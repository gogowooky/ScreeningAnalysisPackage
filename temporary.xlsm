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bookViews>
  <sheets>
    <sheet name="(raw)Template" sheetId="318" r:id="rId1"/>
    <sheet name="TSUKUBA_HELP" sheetId="319" state="veryHidden" r:id="rId2"/>
    <sheet name="TSUKUBA_TEMPLATE" sheetId="277" state="veryHidden" r:id="rId3"/>
    <sheet name="(raw)TSUKUBA_TEMPLATE" sheetId="278" state="veryHidden" r:id="rId4"/>
  </sheets>
  <functionGroups builtInGroupCount="17"/>
  <definedNames>
    <definedName name="CPD_CONC" localSheetId="0">'(raw)Template'!$C$28:$Z$43</definedName>
    <definedName name="CPD_CONC" localSheetId="2">TSUKUBA_TEMPLATE!$C$304:$Z$319</definedName>
    <definedName name="CPD_HIT" localSheetId="2">TSUKUBA_TEMPLATE!$C$716:$Z$731</definedName>
    <definedName name="CPD_RESULT" localSheetId="0">'(raw)Template'!$C$96:$Z$111</definedName>
    <definedName name="CPD_RESULT" localSheetId="2">TSUKUBA_TEMPLATE!$C$610:$Z$625</definedName>
    <definedName name="PLATE_FORMAT" localSheetId="0">'(raw)Template'!$H$1</definedName>
    <definedName name="PLATE_FORMAT" localSheetId="2">TSUKUBA_TEMPLATE!$H$1</definedName>
    <definedName name="PLATE_READER" localSheetId="0">'(raw)Template'!$K$1</definedName>
    <definedName name="PLATE_READER" localSheetId="2">TSUKUBA_TEMPLATE!$K$1</definedName>
    <definedName name="PLATE_TYPE" localSheetId="0">'(raw)Template'!$E$1</definedName>
    <definedName name="PLATE_TYPE" localSheetId="2">TSUKUBA_TEMPLATE!$E$1</definedName>
    <definedName name="_xlnm.Print_Area" localSheetId="0">'(raw)Template'!$A:$AA</definedName>
    <definedName name="_xlnm.Print_Area" localSheetId="2">TSUKUBA_TEMPLATE!$A:$AA</definedName>
    <definedName name="RAW_DATA" localSheetId="0">'(raw)Template'!$C$48:$Z$63</definedName>
    <definedName name="RAW_DATA" localSheetId="2">TSUKUBA_TEMPLATE!$C$436:$Z$451</definedName>
    <definedName name="TABLE" localSheetId="2">TSUKUBA_TEMPLATE!$B$803:$L$843</definedName>
    <definedName name="TEST_ASSAY" localSheetId="0">'(raw)Template'!$C$3</definedName>
    <definedName name="TEST_ASSAY" localSheetId="2">TSUKUBA_TEMPLATE!$C$3</definedName>
    <definedName name="TEST_DATE" localSheetId="0">'(raw)Template'!$H$3</definedName>
    <definedName name="TEST_DATE" localSheetId="2">TSUKUBA_TEMPLATE!$H$3</definedName>
    <definedName name="TEST_TIME" localSheetId="0">'(raw)Template'!$L$3</definedName>
    <definedName name="TEST_TIME" localSheetId="2">TSUKUBA_TEMPLATE!$L$3</definedName>
    <definedName name="WELL_POS" localSheetId="0">'(raw)Template'!#REF!</definedName>
    <definedName name="WELL_POS" localSheetId="2">TSUKUBA_TEMPLATE!$C$28:$Z$43</definedName>
    <definedName name="WELL_ROLE" localSheetId="0">'(raw)Template'!$C$8:$Z$23</definedName>
    <definedName name="WELL_ROLE" localSheetId="2">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V49" i="318" l="1"/>
  <c r="N52" i="318"/>
  <c r="F55" i="318"/>
  <c r="V57" i="318"/>
  <c r="N60" i="318"/>
  <c r="F63" i="318"/>
  <c r="Y52" i="318"/>
  <c r="Y59" i="318"/>
  <c r="G48" i="318"/>
  <c r="W50" i="318"/>
  <c r="O53" i="318"/>
  <c r="G56" i="318"/>
  <c r="W58" i="318"/>
  <c r="O61" i="318"/>
  <c r="Y57" i="318"/>
  <c r="C3" i="318"/>
  <c r="P50" i="318"/>
  <c r="H53" i="318"/>
  <c r="X55" i="318"/>
  <c r="P58" i="318"/>
  <c r="H61" i="318"/>
  <c r="X63" i="318"/>
  <c r="Y49" i="318"/>
  <c r="I56" i="318"/>
  <c r="J50" i="318"/>
  <c r="Z52" i="318"/>
  <c r="R55" i="318"/>
  <c r="J58" i="318"/>
  <c r="Z60" i="318"/>
  <c r="R63" i="318"/>
  <c r="C49" i="318"/>
  <c r="S51" i="318"/>
  <c r="K54" i="318"/>
  <c r="D48" i="318"/>
  <c r="D58" i="318"/>
  <c r="D49" i="318"/>
  <c r="E52" i="318"/>
  <c r="U60" i="318"/>
  <c r="M57" i="318"/>
  <c r="L52" i="318"/>
  <c r="C61" i="318"/>
  <c r="T56" i="318"/>
  <c r="U63" i="318"/>
  <c r="U56" i="318"/>
  <c r="M60" i="318"/>
  <c r="E4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50" i="318"/>
  <c r="V52" i="318"/>
  <c r="N55" i="318"/>
  <c r="F58" i="318"/>
  <c r="V60" i="318"/>
  <c r="N63" i="318"/>
  <c r="I53" i="318"/>
  <c r="Y60" i="318"/>
  <c r="O48" i="318"/>
  <c r="G51" i="318"/>
  <c r="W53" i="318"/>
  <c r="O56" i="318"/>
  <c r="G59" i="318"/>
  <c r="W61" i="318"/>
  <c r="Q58" i="318"/>
  <c r="H48" i="318"/>
  <c r="X50" i="318"/>
  <c r="P53" i="318"/>
  <c r="H56" i="318"/>
  <c r="X58" i="318"/>
  <c r="P61" i="318"/>
  <c r="I50" i="318"/>
  <c r="I57" i="318"/>
  <c r="L3" i="318"/>
  <c r="R50" i="318"/>
  <c r="J53" i="318"/>
  <c r="Z55" i="318"/>
  <c r="R58" i="318"/>
  <c r="J61" i="318"/>
  <c r="Z63" i="318"/>
  <c r="K49" i="318"/>
  <c r="C52" i="318"/>
  <c r="S54" i="318"/>
  <c r="L49" i="318"/>
  <c r="C59" i="318"/>
  <c r="E51" i="318"/>
  <c r="U57" i="318"/>
  <c r="M53" i="318"/>
  <c r="T61" i="318"/>
  <c r="K59" i="318"/>
  <c r="T53" i="318"/>
  <c r="U61" i="318"/>
  <c r="D113" i="318"/>
  <c r="S57" i="318"/>
  <c r="T57" i="318"/>
  <c r="M54" i="318"/>
  <c r="W545" i="277"/>
  <c r="I1005" i="277"/>
  <c r="I980" i="277"/>
  <c r="E557" i="277"/>
  <c r="L1004" i="277"/>
  <c r="G951" i="277"/>
  <c r="D501" i="277"/>
  <c r="P544" i="277"/>
  <c r="L459" i="277"/>
  <c r="Q553" i="277"/>
  <c r="D814" i="277"/>
  <c r="V462" i="277"/>
  <c r="N464" i="277"/>
  <c r="H513" i="277"/>
  <c r="F511" i="277"/>
  <c r="K987" i="277"/>
  <c r="T443" i="277"/>
  <c r="AR473" i="277"/>
  <c r="A1" i="318"/>
  <c r="N50" i="318"/>
  <c r="F53" i="318"/>
  <c r="V55" i="318"/>
  <c r="N58" i="318"/>
  <c r="F61" i="318"/>
  <c r="V63" i="318"/>
  <c r="I54" i="318"/>
  <c r="Y61" i="318"/>
  <c r="W48" i="318"/>
  <c r="O51" i="318"/>
  <c r="G54" i="318"/>
  <c r="W56" i="318"/>
  <c r="O59" i="318"/>
  <c r="G62" i="318"/>
  <c r="I48" i="318"/>
  <c r="Q59" i="318"/>
  <c r="P48" i="318"/>
  <c r="H51" i="318"/>
  <c r="X53" i="318"/>
  <c r="P56" i="318"/>
  <c r="H59" i="318"/>
  <c r="X61" i="318"/>
  <c r="I51" i="318"/>
  <c r="I58" i="318"/>
  <c r="J48" i="318"/>
  <c r="Z50" i="318"/>
  <c r="R53" i="318"/>
  <c r="J56" i="318"/>
  <c r="Z58" i="318"/>
  <c r="R61" i="318"/>
  <c r="S49" i="318"/>
  <c r="K52" i="318"/>
  <c r="C55" i="318"/>
  <c r="T50" i="318"/>
  <c r="U59" i="318"/>
  <c r="M56" i="318"/>
  <c r="S59" i="318"/>
  <c r="M50" i="318"/>
  <c r="U54" i="318"/>
  <c r="S62" i="318"/>
  <c r="C62" i="318"/>
  <c r="D55" i="318"/>
  <c r="T62" i="318"/>
  <c r="T51" i="318"/>
  <c r="U51" i="318"/>
  <c r="T48" i="318"/>
  <c r="M58" i="318"/>
  <c r="U48" i="318"/>
  <c r="S58" i="318"/>
  <c r="D5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48" i="318"/>
  <c r="V50" i="318"/>
  <c r="N53" i="318"/>
  <c r="F56" i="318"/>
  <c r="V58" i="318"/>
  <c r="N61" i="318"/>
  <c r="Y54" i="318"/>
  <c r="Q62" i="318"/>
  <c r="G49" i="318"/>
  <c r="W51" i="318"/>
  <c r="O54" i="318"/>
  <c r="G57" i="318"/>
  <c r="W59" i="318"/>
  <c r="O62" i="318"/>
  <c r="Y50" i="318"/>
  <c r="Q60" i="318"/>
  <c r="X48" i="318"/>
  <c r="P51" i="318"/>
  <c r="H54" i="318"/>
  <c r="X56" i="318"/>
  <c r="P59" i="318"/>
  <c r="H62" i="318"/>
  <c r="Y51" i="318"/>
  <c r="I59" i="318"/>
  <c r="R48" i="318"/>
  <c r="J51" i="318"/>
  <c r="Z53" i="318"/>
  <c r="R56" i="318"/>
  <c r="J59" i="318"/>
  <c r="Z61" i="318"/>
  <c r="C50" i="318"/>
  <c r="S52" i="318"/>
  <c r="K55" i="318"/>
  <c r="D52" i="318"/>
  <c r="T60" i="318"/>
  <c r="L58" i="318"/>
  <c r="E63" i="318"/>
  <c r="U55" i="318"/>
  <c r="E56" i="318"/>
  <c r="M63" i="318"/>
  <c r="T63" i="318"/>
  <c r="L56" i="318"/>
  <c r="S63" i="318"/>
  <c r="L61" i="318"/>
  <c r="T59" i="318"/>
  <c r="D50" i="318"/>
  <c r="L59" i="318"/>
  <c r="E50" i="318"/>
  <c r="M59" i="318"/>
  <c r="L50" i="318"/>
  <c r="U5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48" i="318"/>
  <c r="F51" i="318"/>
  <c r="V53" i="318"/>
  <c r="N56" i="318"/>
  <c r="F59" i="318"/>
  <c r="V61" i="318"/>
  <c r="Y55" i="318"/>
  <c r="I63" i="318"/>
  <c r="O49" i="318"/>
  <c r="G52" i="318"/>
  <c r="W54" i="318"/>
  <c r="O57" i="318"/>
  <c r="G60" i="318"/>
  <c r="W62" i="318"/>
  <c r="I52" i="318"/>
  <c r="Q61" i="318"/>
  <c r="H49" i="318"/>
  <c r="X51" i="318"/>
  <c r="P54" i="318"/>
  <c r="H57" i="318"/>
  <c r="X59" i="318"/>
  <c r="P62" i="318"/>
  <c r="H3" i="318"/>
  <c r="Q52" i="318"/>
  <c r="I60" i="318"/>
  <c r="Z48" i="318"/>
  <c r="R51" i="318"/>
  <c r="J54" i="318"/>
  <c r="Z56" i="318"/>
  <c r="R59" i="318"/>
  <c r="J62" i="318"/>
  <c r="K50" i="318"/>
  <c r="C53" i="318"/>
  <c r="S55" i="318"/>
  <c r="L53" i="318"/>
  <c r="S61" i="318"/>
  <c r="D61" i="318"/>
  <c r="C58" i="318"/>
  <c r="K57" i="318"/>
  <c r="U49" i="318"/>
  <c r="L57" i="318"/>
  <c r="L51" i="318"/>
  <c r="K60" i="318"/>
  <c r="M51" i="318"/>
  <c r="L60" i="318"/>
  <c r="L54" i="318"/>
  <c r="M6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48" i="318"/>
  <c r="N51" i="318"/>
  <c r="F54" i="318"/>
  <c r="V56" i="318"/>
  <c r="N59" i="318"/>
  <c r="F62" i="318"/>
  <c r="Q48" i="318"/>
  <c r="Y56" i="318"/>
  <c r="W49" i="318"/>
  <c r="O52" i="318"/>
  <c r="G55" i="318"/>
  <c r="W57" i="318"/>
  <c r="O60" i="318"/>
  <c r="G63" i="318"/>
  <c r="Y53" i="318"/>
  <c r="Y62" i="318"/>
  <c r="P49" i="318"/>
  <c r="H52" i="318"/>
  <c r="X54" i="318"/>
  <c r="P57" i="318"/>
  <c r="H60" i="318"/>
  <c r="X62" i="318"/>
  <c r="Y48" i="318"/>
  <c r="Q53" i="318"/>
  <c r="I61" i="318"/>
  <c r="J49" i="318"/>
  <c r="Z51" i="318"/>
  <c r="R54" i="318"/>
  <c r="J57" i="318"/>
  <c r="Z59" i="318"/>
  <c r="R62" i="318"/>
  <c r="C48" i="318"/>
  <c r="S50" i="318"/>
  <c r="K53" i="318"/>
  <c r="C56" i="318"/>
  <c r="T54" i="318"/>
  <c r="M62" i="318"/>
  <c r="U62" i="318"/>
  <c r="S60" i="318"/>
  <c r="E48" i="318"/>
  <c r="E58" i="318"/>
  <c r="M52" i="318"/>
  <c r="G113" i="318"/>
  <c r="L48" i="318"/>
  <c r="K58" i="318"/>
  <c r="M48" i="318"/>
  <c r="T52" i="318"/>
  <c r="E61" i="318"/>
  <c r="U52" i="318"/>
  <c r="K61" i="318"/>
  <c r="T5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49" i="318"/>
  <c r="V51" i="318"/>
  <c r="N54" i="318"/>
  <c r="F57" i="318"/>
  <c r="V59" i="318"/>
  <c r="N62" i="318"/>
  <c r="Q50" i="318"/>
  <c r="Q57" i="318"/>
  <c r="G50" i="318"/>
  <c r="W52" i="318"/>
  <c r="O55" i="318"/>
  <c r="G58" i="318"/>
  <c r="W60" i="318"/>
  <c r="O63" i="318"/>
  <c r="I55" i="318"/>
  <c r="Y63" i="318"/>
  <c r="X49" i="318"/>
  <c r="P52" i="318"/>
  <c r="H55" i="318"/>
  <c r="X57" i="318"/>
  <c r="P60" i="318"/>
  <c r="H63" i="318"/>
  <c r="I49" i="318"/>
  <c r="Q54" i="318"/>
  <c r="I62" i="318"/>
  <c r="R49" i="318"/>
  <c r="J52" i="318"/>
  <c r="Z54" i="318"/>
  <c r="R57" i="318"/>
  <c r="J60" i="318"/>
  <c r="Z62" i="318"/>
  <c r="K48" i="318"/>
  <c r="C51" i="318"/>
  <c r="S53" i="318"/>
  <c r="K56" i="318"/>
  <c r="D56" i="318"/>
  <c r="L63" i="318"/>
  <c r="K63" i="318"/>
  <c r="M49" i="318"/>
  <c r="D59" i="318"/>
  <c r="U53" i="318"/>
  <c r="D53" i="318"/>
  <c r="E53" i="318"/>
  <c r="T49" i="318"/>
  <c r="E59" i="318"/>
  <c r="E60" i="318"/>
  <c r="D54" i="318"/>
  <c r="D62" i="318"/>
  <c r="E54" i="318"/>
  <c r="E62" i="318"/>
  <c r="C5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49" i="318"/>
  <c r="F52" i="318"/>
  <c r="V54" i="318"/>
  <c r="N57" i="318"/>
  <c r="F60" i="318"/>
  <c r="V62" i="318"/>
  <c r="Q51" i="318"/>
  <c r="Y58" i="318"/>
  <c r="O1" i="318"/>
  <c r="O50" i="318"/>
  <c r="G53" i="318"/>
  <c r="W55" i="318"/>
  <c r="O58" i="318"/>
  <c r="G61" i="318"/>
  <c r="W63" i="318"/>
  <c r="Q56" i="318"/>
  <c r="H50" i="318"/>
  <c r="X52" i="318"/>
  <c r="P55" i="318"/>
  <c r="H58" i="318"/>
  <c r="X60" i="318"/>
  <c r="P63" i="318"/>
  <c r="Q49" i="318"/>
  <c r="Q55" i="318"/>
  <c r="Q63" i="318"/>
  <c r="Z49" i="318"/>
  <c r="R52" i="318"/>
  <c r="J55" i="318"/>
  <c r="Z57" i="318"/>
  <c r="R60" i="318"/>
  <c r="J63" i="318"/>
  <c r="S48" i="318"/>
  <c r="K51" i="318"/>
  <c r="C54" i="318"/>
  <c r="S56" i="318"/>
  <c r="E57" i="318"/>
  <c r="U50" i="318"/>
  <c r="C60" i="318"/>
  <c r="E55" i="318"/>
  <c r="K62" i="318"/>
  <c r="L62" i="318"/>
  <c r="D51" i="318"/>
  <c r="D60" i="318"/>
  <c r="L55" i="318"/>
  <c r="C63" i="318"/>
  <c r="M55" i="318"/>
  <c r="Y65" i="318" s="1"/>
  <c r="D63" i="318"/>
  <c r="S100" i="318"/>
  <c r="C106" i="318"/>
  <c r="T58" i="318"/>
  <c r="D110" i="318"/>
  <c r="M10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AP475" i="277"/>
  <c r="H510" i="277"/>
  <c r="M543" i="277"/>
  <c r="E598" i="277"/>
  <c r="AC462" i="277"/>
  <c r="P637" i="277"/>
  <c r="AU637" i="277"/>
  <c r="G955" i="277"/>
  <c r="H590" i="277"/>
  <c r="AT639" i="277"/>
  <c r="AP642" i="277"/>
  <c r="L605" i="277"/>
  <c r="AO654" i="277"/>
  <c r="F550" i="277"/>
  <c r="H875" i="277"/>
  <c r="H834" i="277"/>
  <c r="D622" i="277"/>
  <c r="N604" i="277"/>
  <c r="L614" i="277"/>
  <c r="M644" i="277"/>
  <c r="K958" i="277"/>
  <c r="T643" i="277"/>
  <c r="AN645" i="277"/>
  <c r="Y642" i="277"/>
  <c r="AM657" i="277"/>
  <c r="U651" i="277"/>
  <c r="K845" i="277"/>
  <c r="J876" i="277"/>
  <c r="AL642" i="277"/>
  <c r="AM640" i="277"/>
  <c r="K842" i="277"/>
  <c r="AB465" i="277"/>
  <c r="R985" i="277"/>
  <c r="AW652" i="277"/>
  <c r="L471" i="277"/>
  <c r="AT656" i="277"/>
  <c r="M449" i="277"/>
  <c r="AT644" i="277"/>
  <c r="AK659" i="277"/>
  <c r="C618" i="277"/>
  <c r="M616" i="277"/>
  <c r="K605" i="277"/>
  <c r="M604" i="277"/>
  <c r="AH459" i="277"/>
  <c r="F971" i="277"/>
  <c r="J616" i="277"/>
  <c r="J870" i="277"/>
  <c r="AD633" i="277"/>
  <c r="U437" i="277"/>
  <c r="S639" i="277"/>
  <c r="K851" i="277"/>
  <c r="L500" i="277"/>
  <c r="S610" i="277"/>
  <c r="W648" i="277"/>
  <c r="J651" i="277"/>
  <c r="H872" i="277"/>
  <c r="F920" i="277"/>
  <c r="P617" i="277"/>
  <c r="AL657" i="277"/>
  <c r="N663" i="277"/>
  <c r="G892" i="277"/>
  <c r="AI634" i="277"/>
  <c r="G641" i="277"/>
  <c r="AP634" i="277"/>
  <c r="N640" i="277"/>
  <c r="S659" i="277"/>
  <c r="K918" i="277"/>
  <c r="AN484" i="277"/>
  <c r="AA648" i="277"/>
  <c r="X620" i="277"/>
  <c r="J659" i="277"/>
  <c r="K650" i="277"/>
  <c r="AR641" i="277"/>
  <c r="AS654" i="277"/>
  <c r="F948" i="277"/>
  <c r="I635" i="277"/>
  <c r="E590" i="277"/>
  <c r="AL661" i="277"/>
  <c r="P610" i="277"/>
  <c r="AP640" i="277"/>
  <c r="N624" i="277"/>
  <c r="K862" i="277"/>
  <c r="K897" i="27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AW746" i="277"/>
  <c r="AF638" i="277"/>
  <c r="H623" i="277"/>
  <c r="AG648" i="277"/>
  <c r="L497" i="277"/>
  <c r="D848" i="277"/>
  <c r="C654" i="277"/>
  <c r="W634" i="277"/>
  <c r="AQ654" i="277"/>
  <c r="U760" i="277"/>
  <c r="Z741" i="277"/>
  <c r="K924" i="277"/>
  <c r="G427" i="277"/>
  <c r="M633" i="277"/>
  <c r="C613" i="277"/>
  <c r="W747" i="277"/>
  <c r="Y621" i="277"/>
  <c r="AV662" i="277"/>
  <c r="G944" i="277"/>
  <c r="O654" i="277"/>
  <c r="AL662" i="277"/>
  <c r="H902" i="277"/>
  <c r="AH754" i="277"/>
  <c r="AU753" i="277"/>
  <c r="U620" i="277"/>
  <c r="K965" i="277"/>
  <c r="F932" i="277"/>
  <c r="AT761" i="277"/>
  <c r="R763" i="277"/>
  <c r="AI766" i="277"/>
  <c r="L751" i="277"/>
  <c r="AU652" i="277"/>
  <c r="L738" i="277"/>
  <c r="M556" i="277"/>
  <c r="Y647" i="277"/>
  <c r="F969" i="277"/>
  <c r="H599" i="277"/>
  <c r="AP758" i="277"/>
  <c r="R767" i="277"/>
  <c r="T648" i="277"/>
  <c r="S737" i="277"/>
  <c r="AW740" i="277"/>
  <c r="V439" i="277"/>
  <c r="AI761" i="277"/>
  <c r="AC762" i="277"/>
  <c r="O478" i="277"/>
  <c r="AN656" i="277"/>
  <c r="W756" i="277"/>
  <c r="F919" i="277"/>
  <c r="V743" i="277"/>
  <c r="AQ766" i="277"/>
  <c r="J875" i="277"/>
  <c r="K854" i="277"/>
  <c r="X644" i="277"/>
  <c r="K644" i="277"/>
  <c r="M648" i="277"/>
  <c r="P611" i="277"/>
  <c r="AV485" i="277"/>
  <c r="F639" i="277"/>
  <c r="V647" i="277"/>
  <c r="Q762" i="277"/>
  <c r="J612" i="277"/>
  <c r="O745" i="277"/>
  <c r="AU653" i="277"/>
  <c r="K787" i="277"/>
  <c r="K902" i="277"/>
  <c r="R641" i="277"/>
  <c r="D641" i="277"/>
  <c r="AI767" i="277"/>
  <c r="F934" i="277"/>
  <c r="AX744" i="277"/>
  <c r="V760" i="277"/>
  <c r="AL473" i="277"/>
  <c r="F623" i="277"/>
  <c r="U640" i="277"/>
  <c r="AA751" i="277"/>
  <c r="N753" i="277"/>
  <c r="T649" i="277"/>
  <c r="J880" i="277"/>
  <c r="K819" i="277"/>
  <c r="J827" i="277"/>
  <c r="F945" i="277"/>
  <c r="O635" i="277"/>
  <c r="J834" i="277"/>
  <c r="J865" i="277"/>
  <c r="K625" i="277"/>
  <c r="AQ484" i="277"/>
  <c r="AH643" i="277"/>
  <c r="AO635" i="277"/>
  <c r="K782" i="277"/>
  <c r="G473" i="277"/>
  <c r="T530" i="277"/>
  <c r="AE654" i="277"/>
  <c r="AI638" i="277"/>
  <c r="K869" i="277"/>
  <c r="K857" i="27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AD736" i="277"/>
  <c r="AS738" i="277"/>
  <c r="AI644" i="277"/>
  <c r="F960" i="277"/>
  <c r="K936" i="277"/>
  <c r="S749" i="277"/>
  <c r="D743" i="277"/>
  <c r="Q759" i="277"/>
  <c r="X651" i="277"/>
  <c r="H620" i="277"/>
  <c r="AT753" i="277"/>
  <c r="F901" i="277"/>
  <c r="AW643" i="277"/>
  <c r="AL650" i="277"/>
  <c r="J883" i="277"/>
  <c r="K469" i="277"/>
  <c r="H943" i="277"/>
  <c r="AO740" i="277"/>
  <c r="X759" i="277"/>
  <c r="F739" i="277"/>
  <c r="AQ637" i="277"/>
  <c r="F622" i="277"/>
  <c r="AQ767" i="277"/>
  <c r="L622" i="277"/>
  <c r="X752" i="277"/>
  <c r="AF653" i="277"/>
  <c r="D746" i="277"/>
  <c r="D747" i="277"/>
  <c r="K863" i="277"/>
  <c r="I898" i="277"/>
  <c r="AI645" i="277"/>
  <c r="AR752" i="277"/>
  <c r="I659" i="277"/>
  <c r="AL762" i="277"/>
  <c r="K848" i="277"/>
  <c r="F764" i="277"/>
  <c r="H641" i="277"/>
  <c r="AL663" i="277"/>
  <c r="AD744" i="277"/>
  <c r="D537" i="277"/>
  <c r="AF655" i="277"/>
  <c r="AJ641" i="277"/>
  <c r="P640" i="277"/>
  <c r="Q634" i="277"/>
  <c r="AC658" i="277"/>
  <c r="AF745" i="277"/>
  <c r="C604" i="277"/>
  <c r="M637" i="277"/>
  <c r="C625" i="277"/>
  <c r="M757" i="277"/>
  <c r="K860" i="277"/>
  <c r="K873" i="277"/>
  <c r="S650" i="277"/>
  <c r="D762" i="277"/>
  <c r="U662" i="277"/>
  <c r="N499" i="277"/>
  <c r="AO744" i="277"/>
  <c r="AF759" i="277"/>
  <c r="G477" i="277"/>
  <c r="AU746" i="277"/>
  <c r="AF764" i="277"/>
  <c r="AX632" i="277"/>
  <c r="F546" i="277"/>
  <c r="M742" i="277"/>
  <c r="D749" i="277"/>
  <c r="H648" i="277"/>
  <c r="F953" i="277"/>
  <c r="K937" i="277"/>
  <c r="J521" i="277"/>
  <c r="F636" i="277"/>
  <c r="E551" i="277"/>
  <c r="AJ485" i="277"/>
  <c r="N418" i="277"/>
  <c r="AF740" i="277"/>
  <c r="J852" i="277"/>
  <c r="AI739" i="277"/>
  <c r="H662" i="277"/>
  <c r="K799" i="277"/>
  <c r="M612" i="277"/>
  <c r="K737" i="277"/>
  <c r="AA663" i="277"/>
  <c r="K824" i="277"/>
  <c r="D592" i="277"/>
  <c r="G957" i="277"/>
  <c r="L737" i="277"/>
  <c r="AH751" i="277"/>
  <c r="AW738" i="277"/>
  <c r="K640" i="277"/>
  <c r="AM736" i="277"/>
  <c r="E663" i="277"/>
  <c r="C753" i="277"/>
  <c r="J655" i="277"/>
  <c r="C762" i="277"/>
  <c r="W620" i="277"/>
  <c r="Z637" i="277"/>
  <c r="X738" i="27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Z651" i="277"/>
  <c r="AE758" i="277"/>
  <c r="AB460" i="277"/>
  <c r="AI765" i="277"/>
  <c r="Y743" i="277"/>
  <c r="K847" i="277"/>
  <c r="R447" i="277"/>
  <c r="AM660" i="277"/>
  <c r="AO738" i="277"/>
  <c r="I662" i="277"/>
  <c r="O762" i="277"/>
  <c r="F736" i="277"/>
  <c r="F698" i="277"/>
  <c r="AX737" i="277"/>
  <c r="AW753" i="277"/>
  <c r="H529" i="277"/>
  <c r="Q761" i="277"/>
  <c r="G747" i="277"/>
  <c r="J797" i="277"/>
  <c r="AW743" i="277"/>
  <c r="AN650" i="277"/>
  <c r="P647" i="277"/>
  <c r="AX766" i="277"/>
  <c r="F962" i="277"/>
  <c r="M658" i="277"/>
  <c r="AO760" i="277"/>
  <c r="AA745" i="277"/>
  <c r="AI633" i="277"/>
  <c r="H799" i="277"/>
  <c r="N756" i="277"/>
  <c r="X747" i="277"/>
  <c r="AL750" i="277"/>
  <c r="K882" i="277"/>
  <c r="D613" i="277"/>
  <c r="E637" i="277"/>
  <c r="O657" i="277"/>
  <c r="AT756" i="277"/>
  <c r="Y740" i="277"/>
  <c r="K849" i="277"/>
  <c r="T616" i="277"/>
  <c r="AI655" i="277"/>
  <c r="AL659" i="277"/>
  <c r="K807" i="277"/>
  <c r="Q756" i="277"/>
  <c r="AP648" i="277"/>
  <c r="AK752" i="277"/>
  <c r="Q431" i="277"/>
  <c r="P634" i="277"/>
  <c r="K701" i="277"/>
  <c r="AK655" i="277"/>
  <c r="AG653" i="277"/>
  <c r="P742" i="277"/>
  <c r="AC743" i="277"/>
  <c r="H757" i="277"/>
  <c r="K603" i="277"/>
  <c r="J846" i="277"/>
  <c r="Z636" i="277"/>
  <c r="Y764" i="277"/>
  <c r="K927" i="277"/>
  <c r="K899" i="277"/>
  <c r="S625" i="277"/>
  <c r="F911" i="277"/>
  <c r="Y619" i="277"/>
  <c r="K709" i="277"/>
  <c r="H643" i="277"/>
  <c r="H736" i="277"/>
  <c r="S740" i="277"/>
  <c r="K960" i="277"/>
  <c r="AR745" i="277"/>
  <c r="I709" i="277"/>
  <c r="S611" i="277"/>
  <c r="Z479" i="277"/>
  <c r="AB761" i="277"/>
  <c r="J858" i="277"/>
  <c r="C463" i="277"/>
  <c r="AR643" i="277"/>
  <c r="AG745" i="277"/>
  <c r="AP738" i="277"/>
  <c r="R478" i="277"/>
  <c r="AA662" i="277"/>
  <c r="AB659" i="277"/>
  <c r="E710" i="277"/>
  <c r="N759" i="277"/>
  <c r="N431" i="277"/>
  <c r="AC661" i="277"/>
  <c r="AJ642" i="277"/>
  <c r="H880" i="277"/>
  <c r="D995" i="277"/>
  <c r="H639" i="277"/>
  <c r="AD642" i="277"/>
  <c r="L632" i="277"/>
  <c r="J451" i="277"/>
  <c r="F967" i="277"/>
  <c r="AC484" i="277"/>
  <c r="J625" i="277"/>
  <c r="AA482" i="277"/>
  <c r="U554" i="277"/>
  <c r="AH651" i="277"/>
  <c r="G559" i="277"/>
  <c r="V663" i="277"/>
  <c r="E624" i="277"/>
  <c r="AF652" i="277"/>
  <c r="K916" i="277"/>
  <c r="K889" i="27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L466" i="277"/>
  <c r="N741" i="277"/>
  <c r="O640" i="277"/>
  <c r="U642" i="277"/>
  <c r="S635" i="277"/>
  <c r="AX642" i="277"/>
  <c r="G625" i="277"/>
  <c r="P743" i="277"/>
  <c r="J816" i="277"/>
  <c r="Z662" i="277"/>
  <c r="K880" i="277"/>
  <c r="D948" i="277"/>
  <c r="S755" i="277"/>
  <c r="AO750" i="277"/>
  <c r="K653" i="277"/>
  <c r="N428" i="277"/>
  <c r="AL646" i="277"/>
  <c r="Y491" i="277"/>
  <c r="N477" i="277"/>
  <c r="Q622" i="277"/>
  <c r="Q624" i="277"/>
  <c r="AC639" i="277"/>
  <c r="AC645" i="277"/>
  <c r="F928" i="277"/>
  <c r="AQ656" i="277"/>
  <c r="C546" i="277"/>
  <c r="W746" i="277"/>
  <c r="AK643" i="277"/>
  <c r="AQ639" i="277"/>
  <c r="K790" i="277"/>
  <c r="O748" i="277"/>
  <c r="E723" i="277"/>
  <c r="J933" i="277"/>
  <c r="AI651" i="277"/>
  <c r="AL751" i="277"/>
  <c r="Q647" i="277"/>
  <c r="AS736" i="277"/>
  <c r="AF474" i="277"/>
  <c r="AP763" i="277"/>
  <c r="X725" i="277"/>
  <c r="M741" i="277"/>
  <c r="K888" i="277"/>
  <c r="N747" i="277"/>
  <c r="K818" i="277"/>
  <c r="C760" i="277"/>
  <c r="F653" i="277"/>
  <c r="G753" i="277"/>
  <c r="AS753" i="277"/>
  <c r="Y753" i="277"/>
  <c r="AV646" i="277"/>
  <c r="L754" i="277"/>
  <c r="J661" i="277"/>
  <c r="K704" i="277"/>
  <c r="K636" i="277"/>
  <c r="G642" i="277"/>
  <c r="T761" i="277"/>
  <c r="AQ753" i="277"/>
  <c r="F950" i="277"/>
  <c r="AD654" i="277"/>
  <c r="M520" i="277"/>
  <c r="Y635" i="277"/>
  <c r="F697" i="277"/>
  <c r="Y660" i="277"/>
  <c r="K893" i="277"/>
  <c r="L646" i="277"/>
  <c r="Q426" i="277"/>
  <c r="U469" i="277"/>
  <c r="AS747" i="277"/>
  <c r="I602" i="277"/>
  <c r="K881" i="277"/>
  <c r="I649" i="277"/>
  <c r="J793" i="277"/>
  <c r="C707" i="277"/>
  <c r="J799" i="277"/>
  <c r="K968" i="277"/>
  <c r="AD484" i="277"/>
  <c r="I601" i="277"/>
  <c r="AW747" i="277"/>
  <c r="Z613" i="277"/>
  <c r="D431" i="277"/>
  <c r="M503" i="277"/>
  <c r="AV741" i="277"/>
  <c r="G943" i="277"/>
  <c r="H655" i="277"/>
  <c r="AO747" i="277"/>
  <c r="AT642" i="277"/>
  <c r="AP740" i="277"/>
  <c r="AC653" i="277"/>
  <c r="O726" i="277"/>
  <c r="P746" i="277"/>
  <c r="V530" i="277"/>
  <c r="R753" i="277"/>
  <c r="E643" i="277"/>
  <c r="J788" i="277"/>
  <c r="D719" i="277"/>
  <c r="V653" i="277"/>
  <c r="Q731" i="277"/>
  <c r="K856" i="277"/>
  <c r="J868" i="277"/>
  <c r="AS486" i="277"/>
  <c r="H747" i="277"/>
  <c r="J817" i="277"/>
  <c r="G662" i="277"/>
  <c r="R649" i="277"/>
  <c r="AQ652" i="277"/>
  <c r="J869" i="277"/>
  <c r="AB651" i="277"/>
  <c r="AS637" i="277"/>
  <c r="F963" i="277"/>
  <c r="AJ640" i="277"/>
  <c r="N634" i="277"/>
  <c r="AB644" i="277"/>
  <c r="AK463" i="277"/>
  <c r="Q484" i="277"/>
  <c r="K872" i="277"/>
  <c r="K858" i="27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AB655" i="277"/>
  <c r="M730" i="277"/>
  <c r="K792" i="277"/>
  <c r="D723" i="277"/>
  <c r="AN745" i="277"/>
  <c r="K726" i="277"/>
  <c r="H660" i="277"/>
  <c r="AL461" i="277"/>
  <c r="C638" i="277"/>
  <c r="R724" i="277"/>
  <c r="K891" i="277"/>
  <c r="F620" i="277"/>
  <c r="P729" i="277"/>
  <c r="G627" i="277"/>
  <c r="T736" i="277"/>
  <c r="AI460" i="277"/>
  <c r="K804" i="277"/>
  <c r="D834" i="277"/>
  <c r="AR645" i="277"/>
  <c r="C699" i="277"/>
  <c r="I654" i="277"/>
  <c r="D722" i="277"/>
  <c r="G722" i="277"/>
  <c r="AX471" i="277"/>
  <c r="R737" i="277"/>
  <c r="M751" i="277"/>
  <c r="M619" i="277"/>
  <c r="W722" i="277"/>
  <c r="Z653" i="277"/>
  <c r="J725" i="277"/>
  <c r="AI639" i="277"/>
  <c r="E747" i="277"/>
  <c r="H833" i="277"/>
  <c r="K590" i="277"/>
  <c r="Y648" i="277"/>
  <c r="X650" i="277"/>
  <c r="R637" i="277"/>
  <c r="Z633" i="277"/>
  <c r="AN749" i="277"/>
  <c r="D951" i="277"/>
  <c r="L989" i="277"/>
  <c r="AG736" i="277"/>
  <c r="J657" i="277"/>
  <c r="Q655" i="277"/>
  <c r="K850" i="277"/>
  <c r="H986" i="277"/>
  <c r="D559" i="277"/>
  <c r="D755" i="277"/>
  <c r="U728" i="277"/>
  <c r="J727" i="277"/>
  <c r="O761" i="277"/>
  <c r="AT637" i="277"/>
  <c r="Z654" i="277"/>
  <c r="AF761" i="277"/>
  <c r="S728" i="277"/>
  <c r="AI647" i="277"/>
  <c r="F966" i="277"/>
  <c r="O739" i="277"/>
  <c r="AJ761" i="277"/>
  <c r="AB747" i="277"/>
  <c r="L660" i="277"/>
  <c r="J724" i="277"/>
  <c r="AW766" i="277"/>
  <c r="K739" i="277"/>
  <c r="C755" i="277"/>
  <c r="Y716" i="277"/>
  <c r="AQ649" i="277"/>
  <c r="K890" i="277"/>
  <c r="AR748" i="277"/>
  <c r="S657" i="277"/>
  <c r="T612" i="277"/>
  <c r="S723" i="277"/>
  <c r="I727" i="277"/>
  <c r="K961" i="277"/>
  <c r="E752" i="277"/>
  <c r="AC767" i="277"/>
  <c r="O622" i="277"/>
  <c r="L725" i="277"/>
  <c r="F845" i="277"/>
  <c r="X740" i="277"/>
  <c r="AH757" i="277"/>
  <c r="M424" i="277"/>
  <c r="AO634" i="277"/>
  <c r="Y632" i="277"/>
  <c r="T555" i="277"/>
  <c r="J617" i="277"/>
  <c r="F781" i="277"/>
  <c r="Z474" i="277"/>
  <c r="P723" i="277"/>
  <c r="S739" i="277"/>
  <c r="U657" i="277"/>
  <c r="W767" i="277"/>
  <c r="AS751" i="277"/>
  <c r="AM743" i="277"/>
  <c r="E600" i="277"/>
  <c r="P737" i="277"/>
  <c r="AJ754" i="277"/>
  <c r="U747" i="277"/>
  <c r="AP751" i="277"/>
  <c r="AV648" i="277"/>
  <c r="K827" i="277"/>
  <c r="J879" i="27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K651" i="277"/>
  <c r="AQ648" i="277"/>
  <c r="H767" i="277"/>
  <c r="J783" i="277"/>
  <c r="AX637" i="277"/>
  <c r="AB661" i="277"/>
  <c r="K910" i="277"/>
  <c r="Z489" i="277"/>
  <c r="M451" i="277"/>
  <c r="F908" i="277"/>
  <c r="AA643" i="277"/>
  <c r="K843" i="277"/>
  <c r="P550" i="277"/>
  <c r="AH649" i="277"/>
  <c r="AE474" i="277"/>
  <c r="AJ740" i="277"/>
  <c r="N639" i="277"/>
  <c r="H825" i="277"/>
  <c r="AL757" i="277"/>
  <c r="AP764" i="277"/>
  <c r="AJ648" i="277"/>
  <c r="S636" i="277"/>
  <c r="C591" i="277"/>
  <c r="T719" i="277"/>
  <c r="J620" i="277"/>
  <c r="AA646" i="277"/>
  <c r="H592" i="277"/>
  <c r="G547" i="277"/>
  <c r="G591" i="277"/>
  <c r="G615" i="277"/>
  <c r="AX747" i="277"/>
  <c r="T741" i="277"/>
  <c r="AJ756" i="277"/>
  <c r="V738" i="277"/>
  <c r="F648" i="277"/>
  <c r="I722" i="277"/>
  <c r="H928" i="277"/>
  <c r="Z726" i="277"/>
  <c r="G720" i="277"/>
  <c r="U731" i="277"/>
  <c r="K945" i="277"/>
  <c r="Q610" i="277"/>
  <c r="P726" i="277"/>
  <c r="AM646" i="277"/>
  <c r="AD632" i="277"/>
  <c r="J738" i="277"/>
  <c r="U632" i="277"/>
  <c r="Y728" i="277"/>
  <c r="AF766" i="277"/>
  <c r="J877" i="277"/>
  <c r="P755" i="277"/>
  <c r="N613" i="277"/>
  <c r="G894" i="277"/>
  <c r="K894" i="277" s="1"/>
  <c r="R613" i="277"/>
  <c r="Y736" i="277"/>
  <c r="J745" i="277"/>
  <c r="Q764" i="277"/>
  <c r="F743" i="277"/>
  <c r="W721" i="277"/>
  <c r="E755" i="277"/>
  <c r="AB764" i="277"/>
  <c r="AN742" i="277"/>
  <c r="I758" i="277"/>
  <c r="K977" i="277"/>
  <c r="I650" i="277"/>
  <c r="I705" i="277"/>
  <c r="M655" i="277"/>
  <c r="Z620" i="277"/>
  <c r="V729" i="277"/>
  <c r="AO649" i="277"/>
  <c r="AB464" i="277"/>
  <c r="K828" i="277"/>
  <c r="AC757" i="277"/>
  <c r="E729" i="277"/>
  <c r="K764" i="277"/>
  <c r="AE633" i="277"/>
  <c r="O624" i="277"/>
  <c r="AU651" i="277"/>
  <c r="J835" i="277"/>
  <c r="H729" i="27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AX465" i="277"/>
  <c r="F931" i="277"/>
  <c r="K931" i="277" s="1"/>
  <c r="AK738" i="277"/>
  <c r="Q625" i="277"/>
  <c r="K830" i="277"/>
  <c r="R660" i="277"/>
  <c r="W646" i="277"/>
  <c r="U622" i="277"/>
  <c r="K825" i="277"/>
  <c r="L743" i="277"/>
  <c r="AK663" i="277"/>
  <c r="AR640" i="277"/>
  <c r="K622" i="277"/>
  <c r="AJ767" i="277"/>
  <c r="AL660" i="277"/>
  <c r="AX650" i="277"/>
  <c r="AH745" i="277"/>
  <c r="K832" i="277"/>
  <c r="J925" i="277"/>
  <c r="H658" i="277"/>
  <c r="AD764" i="277"/>
  <c r="F591" i="277"/>
  <c r="E437" i="277"/>
  <c r="J711" i="277"/>
  <c r="I738" i="277"/>
  <c r="AQ748" i="277"/>
  <c r="R610" i="277"/>
  <c r="V559" i="277"/>
  <c r="Z747" i="277"/>
  <c r="O723" i="277"/>
  <c r="K870" i="277"/>
  <c r="AQ640" i="277"/>
  <c r="AM633" i="277"/>
  <c r="C993" i="277"/>
  <c r="K809" i="277"/>
  <c r="AB654" i="277"/>
  <c r="D738" i="277"/>
  <c r="AE658" i="277"/>
  <c r="W729" i="277"/>
  <c r="L612" i="277"/>
  <c r="M708" i="277"/>
  <c r="AD761" i="277"/>
  <c r="Q725" i="277"/>
  <c r="K939" i="277"/>
  <c r="I599" i="277"/>
  <c r="L727" i="277"/>
  <c r="M641" i="277"/>
  <c r="AG752" i="27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L645" i="277"/>
  <c r="J804" i="277"/>
  <c r="R760" i="277"/>
  <c r="Z641" i="277"/>
  <c r="K864" i="277"/>
  <c r="AO483" i="277"/>
  <c r="AF662" i="277"/>
  <c r="F441" i="277"/>
  <c r="X717" i="277"/>
  <c r="L750" i="277"/>
  <c r="T718" i="277"/>
  <c r="G636" i="277"/>
  <c r="AP744" i="277"/>
  <c r="V614" i="277"/>
  <c r="L717" i="277"/>
  <c r="AF642" i="277"/>
  <c r="D647" i="277"/>
  <c r="AI650" i="277"/>
  <c r="K900" i="277"/>
  <c r="Q752" i="277"/>
  <c r="L662" i="277"/>
  <c r="H764" i="277"/>
  <c r="AT755" i="277"/>
  <c r="AH659" i="277"/>
  <c r="I729" i="277"/>
  <c r="Z727" i="277"/>
  <c r="C650" i="277"/>
  <c r="F834" i="277"/>
  <c r="AI748" i="277"/>
  <c r="AN739" i="277"/>
  <c r="E711" i="277"/>
  <c r="K967" i="277"/>
  <c r="P655" i="277"/>
  <c r="W757" i="277"/>
  <c r="AQ755" i="277"/>
  <c r="I617" i="277"/>
  <c r="AK755" i="277"/>
  <c r="J730" i="277"/>
  <c r="J789" i="277"/>
  <c r="E638" i="277"/>
  <c r="AB744" i="277"/>
  <c r="M746" i="277"/>
  <c r="Y718" i="277"/>
  <c r="M720" i="277"/>
  <c r="H870" i="277"/>
  <c r="K993" i="277"/>
  <c r="O737" i="277"/>
  <c r="L633" i="277"/>
  <c r="AJ657" i="27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G962" i="277"/>
  <c r="S616" i="277"/>
  <c r="F725" i="277"/>
  <c r="L720" i="277"/>
  <c r="D610" i="277"/>
  <c r="AD737" i="277"/>
  <c r="R650" i="277"/>
  <c r="T742" i="277"/>
  <c r="O722" i="277"/>
  <c r="M721" i="277"/>
  <c r="V728" i="277"/>
  <c r="G989" i="277"/>
  <c r="G624" i="277"/>
  <c r="J461" i="277"/>
  <c r="T765" i="277"/>
  <c r="X743" i="277"/>
  <c r="E716" i="277"/>
  <c r="E634" i="27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S724" i="277"/>
  <c r="AW656" i="277"/>
  <c r="W661" i="277"/>
  <c r="K553" i="277"/>
  <c r="I730" i="277"/>
  <c r="N730" i="277"/>
  <c r="AG740" i="27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H903" i="277"/>
  <c r="F842" i="277"/>
  <c r="D864" i="277"/>
  <c r="C598" i="277"/>
  <c r="R655" i="277"/>
  <c r="U720" i="277"/>
  <c r="E744" i="277"/>
  <c r="N737" i="277"/>
  <c r="E719" i="277"/>
  <c r="E746" i="277"/>
  <c r="Y657" i="277"/>
  <c r="Y439" i="277"/>
  <c r="H798" i="277"/>
  <c r="AB767" i="277"/>
  <c r="J863" i="277"/>
  <c r="R634" i="277"/>
  <c r="Q644" i="277"/>
  <c r="AC487" i="277"/>
  <c r="AC640" i="277"/>
  <c r="R717" i="277"/>
  <c r="C711" i="277"/>
  <c r="D748" i="277"/>
  <c r="R472" i="277"/>
  <c r="J762" i="277"/>
  <c r="H605" i="277"/>
  <c r="K662" i="277"/>
  <c r="AW763" i="277"/>
  <c r="K719" i="277"/>
  <c r="H612" i="277"/>
  <c r="T760" i="277"/>
  <c r="AS658" i="277"/>
  <c r="N657" i="277"/>
  <c r="O767" i="277"/>
  <c r="AS640" i="277"/>
  <c r="F706" i="277"/>
  <c r="D724" i="277"/>
  <c r="AJ764" i="277"/>
  <c r="O652" i="277"/>
  <c r="E696" i="277"/>
  <c r="R722" i="277"/>
  <c r="AM658" i="277"/>
  <c r="AI741" i="277"/>
  <c r="AC747" i="277"/>
  <c r="K797" i="277"/>
  <c r="T737" i="277"/>
  <c r="J747" i="277"/>
  <c r="Y727" i="277"/>
  <c r="X748" i="277"/>
  <c r="J642" i="277"/>
  <c r="K741" i="27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M465" i="277"/>
  <c r="J924" i="277"/>
  <c r="K762" i="277"/>
  <c r="H864" i="277"/>
  <c r="F980" i="277"/>
  <c r="X633" i="277"/>
  <c r="AU741" i="277"/>
  <c r="P753" i="277"/>
  <c r="K838" i="277"/>
  <c r="AW638" i="277"/>
  <c r="P615" i="277"/>
  <c r="Y645" i="277"/>
  <c r="Y656" i="277"/>
  <c r="L745" i="277"/>
  <c r="AW752" i="277"/>
  <c r="V745" i="277"/>
  <c r="F765" i="277"/>
  <c r="S651" i="277"/>
  <c r="G659" i="277"/>
  <c r="AG739" i="277"/>
  <c r="U759" i="277"/>
  <c r="AC479" i="277"/>
  <c r="S663" i="277"/>
  <c r="L724" i="277"/>
  <c r="P546" i="277"/>
  <c r="Z765" i="277"/>
  <c r="K617" i="277"/>
  <c r="H820" i="277"/>
  <c r="AN758" i="277"/>
  <c r="I742" i="277"/>
  <c r="AM751" i="277"/>
  <c r="N749" i="277"/>
  <c r="V547" i="277"/>
  <c r="M711" i="277"/>
  <c r="F914" i="277"/>
  <c r="AR763" i="277"/>
  <c r="K903" i="277"/>
  <c r="AI764" i="277"/>
  <c r="AV757" i="277"/>
  <c r="AR746" i="277"/>
  <c r="K962" i="277"/>
  <c r="N471" i="277"/>
  <c r="T619" i="277"/>
  <c r="AB740" i="277"/>
  <c r="AX738" i="27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L503" i="277"/>
  <c r="AU639" i="277"/>
  <c r="AU649" i="277"/>
  <c r="F730" i="277"/>
  <c r="G727" i="277"/>
  <c r="AA477" i="277"/>
  <c r="J741" i="277"/>
  <c r="AW761" i="277"/>
  <c r="K874" i="277"/>
  <c r="AP645" i="277"/>
  <c r="H697" i="277"/>
  <c r="H865" i="277"/>
  <c r="G613" i="277"/>
  <c r="AB647" i="277"/>
  <c r="F947" i="277"/>
  <c r="K947" i="277" s="1"/>
  <c r="AJ661" i="277"/>
  <c r="P760" i="277"/>
  <c r="Z755" i="277"/>
  <c r="F651" i="277"/>
  <c r="AN654" i="277"/>
  <c r="U636" i="277"/>
  <c r="F766" i="277"/>
  <c r="C477" i="277"/>
  <c r="J656" i="277"/>
  <c r="K877" i="277"/>
  <c r="AU749" i="277"/>
  <c r="I642" i="277"/>
  <c r="K485" i="277"/>
  <c r="Q617" i="277"/>
  <c r="AQ739" i="277"/>
  <c r="Q718" i="27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J821" i="277"/>
  <c r="E660" i="277"/>
  <c r="AQ738" i="277"/>
  <c r="D728" i="277"/>
  <c r="S486" i="277"/>
  <c r="V619" i="277"/>
  <c r="AO752" i="277"/>
  <c r="O749" i="277"/>
  <c r="F724" i="277"/>
  <c r="Q758" i="277"/>
  <c r="M724" i="277"/>
  <c r="V473" i="277"/>
  <c r="K942" i="277"/>
  <c r="AW658" i="277"/>
  <c r="D893" i="277"/>
  <c r="W486" i="277"/>
  <c r="X614" i="277"/>
  <c r="Y658" i="277"/>
  <c r="T625" i="277"/>
  <c r="N720" i="277"/>
  <c r="Z763" i="277"/>
  <c r="K836" i="277"/>
  <c r="AX469" i="277"/>
  <c r="AT767" i="277"/>
  <c r="C704" i="277"/>
  <c r="Y722" i="277"/>
  <c r="U639" i="277"/>
  <c r="F913" i="277"/>
  <c r="AU739" i="277"/>
  <c r="AQ635" i="277"/>
  <c r="H619" i="277"/>
  <c r="AV477" i="277"/>
  <c r="J716" i="277"/>
  <c r="AQ741" i="277"/>
  <c r="K635" i="277"/>
  <c r="Y640" i="277"/>
  <c r="P741" i="277"/>
  <c r="G730" i="277"/>
  <c r="X610" i="277"/>
  <c r="AI740" i="277"/>
  <c r="AW760" i="277"/>
  <c r="T621" i="277"/>
  <c r="D704" i="277"/>
  <c r="K859" i="277"/>
  <c r="H889" i="277"/>
  <c r="U741" i="277"/>
  <c r="E720" i="277"/>
  <c r="X753" i="277"/>
  <c r="E640" i="277"/>
  <c r="AV737" i="277"/>
  <c r="R716" i="277"/>
  <c r="T720" i="27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11" i="318"/>
  <c r="R108" i="318"/>
  <c r="Z105" i="318"/>
  <c r="J103" i="318"/>
  <c r="R100" i="318"/>
  <c r="Z97" i="318"/>
  <c r="Q96" i="318"/>
  <c r="P111" i="318"/>
  <c r="X108" i="318"/>
  <c r="H106" i="318"/>
  <c r="P103" i="318"/>
  <c r="X100" i="318"/>
  <c r="H98" i="318"/>
  <c r="W111" i="318"/>
  <c r="G109" i="318"/>
  <c r="O106" i="318"/>
  <c r="W103" i="318"/>
  <c r="G101" i="318"/>
  <c r="O98" i="318"/>
  <c r="V110" i="318"/>
  <c r="F108" i="318"/>
  <c r="N105" i="318"/>
  <c r="V102" i="318"/>
  <c r="F100" i="318"/>
  <c r="N97" i="318"/>
  <c r="U101" i="318"/>
  <c r="S111" i="318"/>
  <c r="Q107" i="318"/>
  <c r="I102" i="318"/>
  <c r="U96" i="318"/>
  <c r="E105" i="318"/>
  <c r="T111" i="318"/>
  <c r="L106" i="318"/>
  <c r="D101" i="318"/>
  <c r="E106" i="318"/>
  <c r="T106" i="318"/>
  <c r="E111" i="318"/>
  <c r="K106" i="318"/>
  <c r="C101" i="318"/>
  <c r="M107" i="318"/>
  <c r="U107" i="318"/>
  <c r="Q109" i="318"/>
  <c r="I104" i="318"/>
  <c r="Y98" i="318"/>
  <c r="R109" i="318"/>
  <c r="Z106" i="318"/>
  <c r="J104" i="318"/>
  <c r="R101" i="318"/>
  <c r="Z98" i="318"/>
  <c r="J96" i="318"/>
  <c r="X109" i="318"/>
  <c r="H107" i="318"/>
  <c r="P104" i="318"/>
  <c r="X101" i="318"/>
  <c r="H99" i="318"/>
  <c r="P96" i="318"/>
  <c r="G110" i="318"/>
  <c r="O107" i="318"/>
  <c r="W104" i="318"/>
  <c r="G102" i="318"/>
  <c r="O99" i="318"/>
  <c r="W96" i="318"/>
  <c r="V111" i="318"/>
  <c r="F109" i="318"/>
  <c r="N106" i="318"/>
  <c r="V103" i="318"/>
  <c r="F101" i="318"/>
  <c r="N98" i="318"/>
  <c r="M65" i="318"/>
  <c r="M109" i="318"/>
  <c r="L97" i="318"/>
  <c r="S110" i="318"/>
  <c r="S102" i="318"/>
  <c r="K97" i="318"/>
  <c r="Y107" i="318"/>
  <c r="Q102" i="318"/>
  <c r="I97" i="318"/>
  <c r="E103" i="318"/>
  <c r="D111" i="318"/>
  <c r="T105" i="318"/>
  <c r="L100" i="318"/>
  <c r="M103" i="318"/>
  <c r="D104" i="318"/>
  <c r="M108" i="318"/>
  <c r="C111" i="318"/>
  <c r="S105" i="318"/>
  <c r="K100" i="318"/>
  <c r="U104" i="318"/>
  <c r="U105" i="318"/>
  <c r="Y108" i="318"/>
  <c r="Q103" i="318"/>
  <c r="I98" i="318"/>
  <c r="Z111" i="318"/>
  <c r="J109" i="318"/>
  <c r="R106" i="318"/>
  <c r="Z103" i="318"/>
  <c r="J101" i="318"/>
  <c r="R98" i="318"/>
  <c r="P109" i="318"/>
  <c r="X106" i="318"/>
  <c r="H104" i="318"/>
  <c r="P101" i="318"/>
  <c r="X98" i="318"/>
  <c r="H96" i="318"/>
  <c r="W109" i="318"/>
  <c r="G107" i="318"/>
  <c r="O104" i="318"/>
  <c r="W101" i="318"/>
  <c r="G99" i="318"/>
  <c r="O96" i="318"/>
  <c r="N111" i="318"/>
  <c r="V108" i="318"/>
  <c r="F106" i="318"/>
  <c r="N103" i="318"/>
  <c r="V100" i="318"/>
  <c r="F98" i="318"/>
  <c r="U106" i="318"/>
  <c r="G65" i="318"/>
  <c r="K109" i="318"/>
  <c r="C102" i="318"/>
  <c r="M96" i="318"/>
  <c r="I107" i="318"/>
  <c r="Y101" i="318"/>
  <c r="L96" i="318"/>
  <c r="U110" i="318"/>
  <c r="L111" i="318"/>
  <c r="M100" i="318"/>
  <c r="L110" i="318"/>
  <c r="D105" i="318"/>
  <c r="T99" i="318"/>
  <c r="U100" i="318"/>
  <c r="L101" i="318"/>
  <c r="M106" i="318"/>
  <c r="K110" i="318"/>
  <c r="C105" i="318"/>
  <c r="S99" i="318"/>
  <c r="E102" i="318"/>
  <c r="T110" i="318"/>
  <c r="U103" i="318"/>
  <c r="I108" i="318"/>
  <c r="Y102" i="318"/>
  <c r="Q97" i="318"/>
  <c r="R111" i="318"/>
  <c r="Z108" i="318"/>
  <c r="J106" i="318"/>
  <c r="R103" i="318"/>
  <c r="Z100" i="318"/>
  <c r="J98" i="318"/>
  <c r="X111" i="318"/>
  <c r="H109" i="318"/>
  <c r="P106" i="318"/>
  <c r="X103" i="318"/>
  <c r="H101" i="318"/>
  <c r="P98" i="318"/>
  <c r="S65" i="318"/>
  <c r="O109" i="318"/>
  <c r="W106" i="318"/>
  <c r="G104" i="318"/>
  <c r="O101" i="318"/>
  <c r="W98" i="318"/>
  <c r="G96" i="318"/>
  <c r="F111" i="318"/>
  <c r="N108" i="318"/>
  <c r="V105" i="318"/>
  <c r="F103" i="318"/>
  <c r="N100" i="318"/>
  <c r="V97" i="318"/>
  <c r="E104" i="318"/>
  <c r="S106" i="318"/>
  <c r="K101" i="318"/>
  <c r="D65" i="318"/>
  <c r="Y111" i="318"/>
  <c r="Q106" i="318"/>
  <c r="I101" i="318"/>
  <c r="E108" i="318"/>
  <c r="T108" i="318"/>
  <c r="S108" i="318"/>
  <c r="M98" i="318"/>
  <c r="T109" i="318"/>
  <c r="L104" i="318"/>
  <c r="D99" i="318"/>
  <c r="E98" i="318"/>
  <c r="T98" i="318"/>
  <c r="M104" i="318"/>
  <c r="S109" i="318"/>
  <c r="K104" i="318"/>
  <c r="C99" i="318"/>
  <c r="M99" i="318"/>
  <c r="D108" i="318"/>
  <c r="V65" i="318"/>
  <c r="P65" i="318"/>
  <c r="M102" i="318"/>
  <c r="C109" i="318"/>
  <c r="S103" i="318"/>
  <c r="K98" i="318"/>
  <c r="M97" i="318"/>
  <c r="L105" i="318"/>
  <c r="C110" i="318"/>
  <c r="E99" i="318"/>
  <c r="Y106" i="318"/>
  <c r="Q101" i="318"/>
  <c r="C96" i="318"/>
  <c r="Z110" i="318"/>
  <c r="J108" i="318"/>
  <c r="R105" i="318"/>
  <c r="Z102" i="318"/>
  <c r="J100" i="318"/>
  <c r="R97" i="318"/>
  <c r="H111" i="318"/>
  <c r="P108" i="318"/>
  <c r="X105" i="318"/>
  <c r="H103" i="318"/>
  <c r="P100" i="318"/>
  <c r="X97" i="318"/>
  <c r="I96" i="318"/>
  <c r="O111" i="318"/>
  <c r="W108" i="318"/>
  <c r="G106" i="318"/>
  <c r="O103" i="318"/>
  <c r="W100" i="318"/>
  <c r="G98" i="318"/>
  <c r="N110" i="318"/>
  <c r="V107" i="318"/>
  <c r="F105" i="318"/>
  <c r="N102" i="318"/>
  <c r="V99" i="318"/>
  <c r="F97" i="318"/>
  <c r="U98" i="318"/>
  <c r="L107" i="318"/>
  <c r="K105" i="318"/>
  <c r="C100" i="318"/>
  <c r="Q110" i="318"/>
  <c r="I105" i="318"/>
  <c r="Y99" i="318"/>
  <c r="U102" i="318"/>
  <c r="L103" i="318"/>
  <c r="M110" i="318"/>
  <c r="L108" i="318"/>
  <c r="D103" i="318"/>
  <c r="T97" i="318"/>
  <c r="E101" i="318"/>
  <c r="K108" i="318"/>
  <c r="C103" i="318"/>
  <c r="S97" i="318"/>
  <c r="D102" i="318"/>
  <c r="C108" i="318"/>
  <c r="E97" i="318"/>
  <c r="Q111" i="318"/>
  <c r="I106" i="318"/>
  <c r="Y100" i="318"/>
  <c r="R110" i="318"/>
  <c r="Z107" i="318"/>
  <c r="J105" i="318"/>
  <c r="R102" i="318"/>
  <c r="Z99" i="318"/>
  <c r="J97" i="318"/>
  <c r="X110" i="318"/>
  <c r="H108" i="318"/>
  <c r="P105" i="318"/>
  <c r="X102" i="318"/>
  <c r="H100" i="318"/>
  <c r="P97" i="318"/>
  <c r="G111" i="318"/>
  <c r="O108" i="318"/>
  <c r="W105" i="318"/>
  <c r="G103" i="318"/>
  <c r="O100" i="318"/>
  <c r="W97" i="318"/>
  <c r="Y96" i="318"/>
  <c r="F110" i="318"/>
  <c r="N107" i="318"/>
  <c r="V104" i="318"/>
  <c r="F102" i="318"/>
  <c r="N99" i="318"/>
  <c r="V96" i="318"/>
  <c r="J65" i="318"/>
  <c r="T104" i="318"/>
  <c r="S104" i="318"/>
  <c r="K99" i="318"/>
  <c r="Y109" i="318"/>
  <c r="Q104" i="318"/>
  <c r="I99" i="318"/>
  <c r="E100" i="318"/>
  <c r="T100" i="318"/>
  <c r="E109" i="318"/>
  <c r="T107" i="318"/>
  <c r="L102" i="318"/>
  <c r="D97" i="318"/>
  <c r="K111" i="318"/>
  <c r="U99" i="318"/>
  <c r="S107" i="318"/>
  <c r="K102" i="318"/>
  <c r="C97" i="318"/>
  <c r="L99" i="318"/>
  <c r="U111" i="318"/>
  <c r="Y110" i="318"/>
  <c r="Q105" i="318"/>
  <c r="I100" i="318"/>
  <c r="J110" i="318"/>
  <c r="R107" i="318"/>
  <c r="Z104" i="318"/>
  <c r="J102" i="318"/>
  <c r="R99" i="318"/>
  <c r="Z96" i="318"/>
  <c r="P110" i="318"/>
  <c r="X107" i="318"/>
  <c r="H105" i="318"/>
  <c r="P102" i="318"/>
  <c r="X99" i="318"/>
  <c r="H97" i="318"/>
  <c r="W110" i="318"/>
  <c r="G108" i="318"/>
  <c r="O105" i="318"/>
  <c r="W102" i="318"/>
  <c r="G100" i="318"/>
  <c r="O97" i="318"/>
  <c r="V109" i="318"/>
  <c r="F107" i="318"/>
  <c r="N104" i="318"/>
  <c r="V101" i="318"/>
  <c r="F99" i="318"/>
  <c r="N96" i="318"/>
  <c r="T102" i="318"/>
  <c r="C104" i="318"/>
  <c r="S98" i="318"/>
  <c r="I109" i="318"/>
  <c r="Y103" i="318"/>
  <c r="Q98" i="318"/>
  <c r="T96" i="318"/>
  <c r="D98" i="318"/>
  <c r="E107" i="318"/>
  <c r="D107" i="318"/>
  <c r="T101" i="318"/>
  <c r="E96" i="318"/>
  <c r="U108" i="318"/>
  <c r="L109" i="318"/>
  <c r="K107" i="318"/>
  <c r="U97" i="318"/>
  <c r="C107" i="318"/>
  <c r="S101" i="318"/>
  <c r="D96" i="318"/>
  <c r="E110" i="318"/>
  <c r="S96" i="318"/>
  <c r="U109" i="318"/>
  <c r="I110" i="318"/>
  <c r="Y104" i="318"/>
  <c r="Q99" i="318"/>
  <c r="Z109" i="318"/>
  <c r="J107" i="318"/>
  <c r="R104" i="318"/>
  <c r="Z101" i="318"/>
  <c r="J99" i="318"/>
  <c r="R96" i="318"/>
  <c r="H110" i="318"/>
  <c r="P107" i="318"/>
  <c r="X104" i="318"/>
  <c r="H102" i="318"/>
  <c r="P99" i="318"/>
  <c r="X96" i="318"/>
  <c r="O110" i="318"/>
  <c r="W107" i="318"/>
  <c r="G105" i="318"/>
  <c r="O102" i="318"/>
  <c r="W99" i="318"/>
  <c r="G97" i="318"/>
  <c r="N109" i="318"/>
  <c r="V106" i="318"/>
  <c r="F104" i="318"/>
  <c r="N101" i="318"/>
  <c r="V98" i="318"/>
  <c r="F96" i="318"/>
  <c r="M111" i="318"/>
  <c r="D100" i="318"/>
  <c r="K103" i="318"/>
  <c r="C98" i="318"/>
  <c r="Q108" i="318"/>
  <c r="I103" i="318"/>
  <c r="Y97" i="318"/>
  <c r="I111" i="318"/>
  <c r="Y105" i="318"/>
  <c r="Q100" i="318"/>
  <c r="M105" i="318"/>
  <c r="D106" i="318"/>
  <c r="K96" i="318"/>
  <c r="D109" i="318"/>
  <c r="T103" i="318"/>
  <c r="L98" i="318"/>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P627" i="277" l="1"/>
  <c r="J627" i="277"/>
  <c r="M627" i="277"/>
  <c r="N591" i="277"/>
  <c r="N590" i="277"/>
  <c r="N592" i="277"/>
  <c r="Q602" i="277"/>
  <c r="Q601" i="277"/>
  <c r="Q600" i="277"/>
  <c r="J665" i="277"/>
  <c r="P665" i="277"/>
  <c r="M665" i="277"/>
  <c r="M113" i="318"/>
  <c r="P113" i="318"/>
  <c r="J113" i="318"/>
  <c r="K966" i="277"/>
  <c r="K911" i="277"/>
  <c r="K935" i="277"/>
  <c r="K946" i="277"/>
  <c r="K913" i="277"/>
  <c r="K930" i="277"/>
  <c r="K948" i="277"/>
  <c r="K914" i="277"/>
  <c r="K925" i="277"/>
  <c r="K920" i="277"/>
  <c r="K908" i="277"/>
  <c r="K953" i="277"/>
  <c r="K971" i="277"/>
  <c r="K969" i="277"/>
  <c r="K950" i="277"/>
  <c r="K901" i="277"/>
  <c r="K928" i="277"/>
  <c r="K934" i="277"/>
  <c r="K951" i="277"/>
  <c r="K919" i="277"/>
</calcChain>
</file>

<file path=xl/sharedStrings.xml><?xml version="1.0" encoding="utf-8"?>
<sst xmlns="http://schemas.openxmlformats.org/spreadsheetml/2006/main" count="12349" uniqueCount="3388">
  <si>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</si>
  <si>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</si>
  <si>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</si>
  <si>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</si>
  <si>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</si>
  <si>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</si>
  <si>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</si>
  <si>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</si>
  <si>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</si>
  <si>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</si>
  <si>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</si>
  <si>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</si>
  <si>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</si>
  <si>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</si>
  <si>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</si>
  <si>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</si>
  <si>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</si>
  <si>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</si>
  <si>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</si>
  <si>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</si>
  <si>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</si>
  <si>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</si>
  <si>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</si>
  <si>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</si>
  <si>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</si>
  <si>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</si>
  <si>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</si>
  <si>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</si>
  <si>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</si>
  <si>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</si>
  <si>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</si>
  <si>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</si>
  <si>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</si>
  <si>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</si>
  <si>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</si>
  <si>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</si>
  <si>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</si>
  <si>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</si>
  <si>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</si>
  <si>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</si>
  <si>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</si>
  <si>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</si>
  <si>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</si>
  <si>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</si>
  <si>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</si>
  <si>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</si>
  <si>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</si>
  <si>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</si>
  <si>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</si>
  <si>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</si>
  <si>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</si>
  <si>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</si>
  <si>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</si>
  <si>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</si>
  <si>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</si>
  <si>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</si>
  <si>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</si>
  <si>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</si>
  <si>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</si>
  <si>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</si>
  <si>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</si>
  <si>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</si>
  <si>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</si>
  <si>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</si>
  <si>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</si>
  <si>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</si>
  <si>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</si>
  <si>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</si>
  <si>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</si>
  <si>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</si>
  <si>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</si>
  <si>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</si>
  <si>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</si>
  <si>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</si>
  <si>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</si>
  <si>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</si>
  <si>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</si>
  <si>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</si>
  <si>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</si>
  <si>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</si>
  <si>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</si>
  <si>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</si>
  <si>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</si>
  <si>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</si>
  <si>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</si>
  <si>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</si>
  <si>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</si>
  <si>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</si>
  <si>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</si>
  <si>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</si>
  <si>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</si>
  <si>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</si>
  <si>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</si>
  <si>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</si>
  <si>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</si>
  <si>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</si>
  <si>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</si>
  <si>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</si>
  <si>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</si>
  <si>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</si>
  <si>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</si>
  <si>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</si>
  <si>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</si>
  <si>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</si>
  <si>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</si>
  <si>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</si>
  <si>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</si>
  <si>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</si>
  <si>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</si>
  <si>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</si>
  <si>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</si>
  <si>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</si>
  <si>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</si>
  <si>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</si>
  <si>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</si>
  <si>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</si>
  <si>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</si>
  <si>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</si>
  <si>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</si>
  <si>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</si>
  <si>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</si>
  <si>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</si>
  <si>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</si>
  <si>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</si>
  <si>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</si>
  <si>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</si>
  <si>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</si>
  <si>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</si>
  <si>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</si>
  <si>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</si>
  <si>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</si>
  <si>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</si>
  <si>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</si>
  <si>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</si>
  <si>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</si>
  <si>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</si>
  <si>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</si>
  <si>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</si>
  <si>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</si>
  <si>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</si>
  <si>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</si>
  <si>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</si>
  <si>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</si>
  <si>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</si>
  <si>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</si>
  <si>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</si>
  <si>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</si>
  <si>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</si>
  <si>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</si>
  <si>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</si>
  <si>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</si>
  <si>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</si>
  <si>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</si>
  <si>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</si>
  <si>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</si>
  <si>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</si>
  <si>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</si>
  <si>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</si>
  <si>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</si>
  <si>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</si>
  <si>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</si>
  <si>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</si>
  <si>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</si>
  <si>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</si>
  <si>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</si>
  <si>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</si>
  <si>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</si>
  <si>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</si>
  <si>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</si>
  <si>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</si>
  <si>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</si>
  <si>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</si>
  <si>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</si>
  <si>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</si>
  <si>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</si>
  <si>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</si>
  <si>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</si>
  <si>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</si>
  <si>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</si>
  <si>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</si>
  <si>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</si>
  <si>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</si>
  <si>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</si>
  <si>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</si>
  <si>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</si>
  <si>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</si>
  <si>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</si>
  <si>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</si>
  <si>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</si>
  <si>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</si>
  <si>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</si>
  <si>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</si>
  <si>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</si>
  <si>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</si>
  <si>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</si>
  <si>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</si>
  <si>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</si>
  <si>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</si>
  <si>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</si>
  <si>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</si>
  <si>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</si>
  <si>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</si>
  <si>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</si>
  <si>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</si>
  <si>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</si>
  <si>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</si>
  <si>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</si>
  <si>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</si>
  <si>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</si>
  <si>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</si>
  <si>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</si>
  <si>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</si>
  <si>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</si>
  <si>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</si>
  <si>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</si>
  <si>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</si>
  <si>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</si>
  <si>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</si>
  <si>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</si>
  <si>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</si>
  <si>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</si>
  <si>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</si>
  <si>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</si>
  <si>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</si>
  <si>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</si>
  <si>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</si>
  <si>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</si>
  <si>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</si>
  <si>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</si>
  <si>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</si>
  <si>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</si>
  <si>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</si>
  <si>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</si>
  <si>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</si>
  <si>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</si>
  <si>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</si>
  <si>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</si>
  <si>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</si>
  <si>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</si>
  <si>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</si>
  <si>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</si>
  <si>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</si>
  <si>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</si>
  <si>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</si>
  <si>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</si>
  <si>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</si>
  <si>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</si>
  <si>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</si>
  <si>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</si>
  <si>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</si>
  <si>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</si>
  <si>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</si>
  <si>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</si>
  <si>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</si>
  <si>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</si>
  <si>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</si>
  <si>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</si>
  <si>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</si>
  <si>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</si>
  <si>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</si>
  <si>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</si>
  <si>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</si>
  <si>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</si>
  <si>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</si>
  <si>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</si>
  <si>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</si>
  <si>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</si>
  <si>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</si>
  <si>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</si>
  <si>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</si>
  <si>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</si>
  <si>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</si>
  <si>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</si>
  <si>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</si>
  <si>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</si>
  <si>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</si>
  <si>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</si>
  <si>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</si>
  <si>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</si>
  <si>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</si>
  <si>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</si>
  <si>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</si>
  <si>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</si>
  <si>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</si>
  <si>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</si>
  <si>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</si>
  <si>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</si>
  <si>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</si>
  <si>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</si>
  <si>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</si>
  <si>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</si>
  <si>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</si>
  <si>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</si>
  <si>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</si>
  <si>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</si>
  <si>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</si>
  <si>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</si>
  <si>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</si>
  <si>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</si>
  <si>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</si>
  <si>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</si>
  <si>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</si>
  <si>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</si>
  <si>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</si>
  <si>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</si>
  <si>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</si>
  <si>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</si>
  <si>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</si>
  <si>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</si>
  <si>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</si>
  <si>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</si>
  <si>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</si>
  <si>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</si>
  <si>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</si>
  <si>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</si>
  <si>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</si>
  <si>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</si>
  <si>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</si>
  <si>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</si>
  <si>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</si>
  <si>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</si>
  <si>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</si>
  <si>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</si>
  <si>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</si>
  <si>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</si>
  <si>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</si>
  <si>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</si>
  <si>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</si>
  <si>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</si>
  <si>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</si>
  <si>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</si>
  <si>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</si>
  <si>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</si>
  <si>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</si>
  <si>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</si>
  <si>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</si>
  <si>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</si>
  <si>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</si>
  <si>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</si>
  <si>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</si>
  <si>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</si>
  <si>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</si>
  <si>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</si>
  <si>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</si>
  <si>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</si>
  <si>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</si>
  <si>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</si>
  <si>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</si>
  <si>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</si>
  <si>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</si>
  <si>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</si>
  <si>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</si>
  <si>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</si>
  <si>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</si>
  <si>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</si>
  <si>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</si>
  <si>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</si>
  <si>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</si>
  <si>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</si>
  <si>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</si>
  <si>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</si>
  <si>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</si>
  <si>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</si>
  <si>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</si>
  <si>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</si>
  <si>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</si>
  <si>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</si>
  <si>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</si>
  <si>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</si>
  <si>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</si>
  <si>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</si>
  <si>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</si>
  <si>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</si>
  <si>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</si>
  <si>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</si>
  <si>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</si>
  <si>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</si>
  <si>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</si>
  <si>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</si>
  <si>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</si>
  <si>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</si>
  <si>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</si>
  <si>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</si>
  <si>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</si>
  <si>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</si>
  <si>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</si>
  <si>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</si>
  <si>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</si>
  <si>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</si>
  <si>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</si>
  <si>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</si>
  <si>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</si>
  <si>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</si>
  <si>
    <t>20</t>
    <phoneticPr fontId="26"/>
  </si>
  <si>
    <t xml:space="preserve">ID1:   ID2:   ID3: </t>
  </si>
  <si>
    <t>No. of Channels / Multichromatics: 3</t>
  </si>
  <si>
    <t>No. of Cycles: 1</t>
  </si>
  <si>
    <t>Chromatic / Channel: 1A</t>
  </si>
  <si>
    <t>Cycle: 1</t>
  </si>
  <si>
    <t>A</t>
  </si>
  <si>
    <t>B</t>
  </si>
  <si>
    <t>C</t>
  </si>
  <si>
    <t>D</t>
  </si>
  <si>
    <t>E</t>
  </si>
  <si>
    <t>F</t>
  </si>
  <si>
    <t>G</t>
  </si>
  <si>
    <t>H</t>
  </si>
  <si>
    <t>I</t>
  </si>
  <si>
    <t>J</t>
  </si>
  <si>
    <t>K</t>
  </si>
  <si>
    <t>L</t>
  </si>
  <si>
    <t>M</t>
  </si>
  <si>
    <t>N</t>
  </si>
  <si>
    <t>O</t>
  </si>
  <si>
    <t>P</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</si>
  <si>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</si>
  <si>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</si>
  <si>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</si>
  <si>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</si>
  <si>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</si>
  <si>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</si>
  <si>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</si>
  <si>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</si>
  <si>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</si>
  <si>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</si>
  <si>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</si>
  <si>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</si>
  <si>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</si>
  <si>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</si>
  <si>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</si>
  <si>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</si>
  <si>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</si>
  <si>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</si>
  <si>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</si>
  <si>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</si>
  <si>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</si>
  <si>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</si>
  <si>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</si>
  <si>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</si>
  <si>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</si>
  <si>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</si>
  <si>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</si>
  <si>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</si>
  <si>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</si>
  <si>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</si>
  <si>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</si>
  <si>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</si>
  <si>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</si>
  <si>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</si>
  <si>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</si>
  <si>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</si>
  <si>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</si>
  <si>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</si>
  <si>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</si>
  <si>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</si>
  <si>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</si>
  <si>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</si>
  <si>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</si>
  <si>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</si>
  <si>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</si>
  <si>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</si>
  <si>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</si>
  <si>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</si>
  <si>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</si>
  <si>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</si>
  <si>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</si>
  <si>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</si>
  <si>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</si>
  <si>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</si>
  <si>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</si>
  <si>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</si>
  <si>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</si>
  <si>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</si>
  <si>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</si>
  <si>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</si>
  <si>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</si>
  <si>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</si>
  <si>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</si>
  <si>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</si>
  <si>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</si>
  <si>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</si>
  <si>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</si>
  <si>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</si>
  <si>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</si>
  <si>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</si>
  <si>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</si>
  <si>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</si>
  <si>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</si>
  <si>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</si>
  <si>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</si>
  <si>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</si>
  <si>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</si>
  <si>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</si>
  <si>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</si>
  <si>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</si>
  <si>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</si>
  <si>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</si>
  <si>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</si>
  <si>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</si>
  <si>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</si>
  <si>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</si>
  <si>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</si>
  <si>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</si>
  <si>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</si>
  <si>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</si>
  <si>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</si>
  <si>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</si>
  <si>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</si>
  <si>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</si>
  <si>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</si>
  <si>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</si>
  <si>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</si>
  <si>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</si>
  <si>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</si>
  <si>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</si>
  <si>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</si>
  <si>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</si>
  <si>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</si>
  <si>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</si>
  <si>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</si>
  <si>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</si>
  <si>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</si>
  <si>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</si>
  <si>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</si>
  <si>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</si>
  <si>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</si>
  <si>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</si>
  <si>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</si>
  <si>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</si>
  <si>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</si>
  <si>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</si>
  <si>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</si>
  <si>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</si>
  <si>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</si>
  <si>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</si>
  <si>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</si>
  <si>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</si>
  <si>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</si>
  <si>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</si>
  <si>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</si>
  <si>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</si>
  <si>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</si>
  <si>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</si>
  <si>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</si>
  <si>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</si>
  <si>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</si>
  <si>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</si>
  <si>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</si>
  <si>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</si>
  <si>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</si>
  <si>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</si>
  <si>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</si>
  <si>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</si>
  <si>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</si>
  <si>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</si>
  <si>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</si>
  <si>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</si>
  <si>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</si>
  <si>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</si>
  <si>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</si>
  <si>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</si>
  <si>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</si>
  <si>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</si>
  <si>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</si>
  <si>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</si>
  <si>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</si>
  <si>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</si>
  <si>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</si>
  <si>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</si>
  <si>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</si>
  <si>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</si>
  <si>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</si>
  <si>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</si>
  <si>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</si>
  <si>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</si>
  <si>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</si>
  <si>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</si>
  <si>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</si>
  <si>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</si>
  <si>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</si>
  <si>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</si>
  <si>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</si>
  <si>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</si>
  <si>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</si>
  <si>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</si>
  <si>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</si>
  <si>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</si>
  <si>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</si>
  <si>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</si>
  <si>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</si>
  <si>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</si>
  <si>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</si>
  <si>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</si>
  <si>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</si>
  <si>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</si>
  <si>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</si>
  <si>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</si>
  <si>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</si>
  <si>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</si>
  <si>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</si>
  <si>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</si>
  <si>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</si>
  <si>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</si>
  <si>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</si>
  <si>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</si>
  <si>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</si>
  <si>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</si>
  <si>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</si>
  <si>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</si>
  <si>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</si>
  <si>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</si>
  <si>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</si>
  <si>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</si>
  <si>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</si>
  <si>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</si>
  <si>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</si>
  <si>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</si>
  <si>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</si>
  <si>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</si>
  <si>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</si>
  <si>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</si>
  <si>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</si>
  <si>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</si>
  <si>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</si>
  <si>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</si>
  <si>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</si>
  <si>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</si>
  <si>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</si>
  <si>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</si>
  <si>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</si>
  <si>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</si>
  <si>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</si>
  <si>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</si>
  <si>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</si>
  <si>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</si>
  <si>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</si>
  <si>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</si>
  <si>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</si>
  <si>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</si>
  <si>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</si>
  <si>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</si>
  <si>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</si>
  <si>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</si>
  <si>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</si>
  <si>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</si>
  <si>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</si>
  <si>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</si>
  <si>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</si>
  <si>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</si>
  <si>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</si>
  <si>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</si>
  <si>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</si>
  <si>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</si>
  <si>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</si>
  <si>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</si>
  <si>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</si>
  <si>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</si>
  <si>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</si>
  <si>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</si>
  <si>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</si>
  <si>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</si>
  <si>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</si>
  <si>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</si>
  <si>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</si>
  <si>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</si>
  <si>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</si>
  <si>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</si>
  <si>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</si>
  <si>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</si>
  <si>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</si>
  <si>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</si>
  <si>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</si>
  <si>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</si>
  <si>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</si>
  <si>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</si>
  <si>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</si>
  <si>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</si>
  <si>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</si>
  <si>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</si>
  <si>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</si>
  <si>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</si>
  <si>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</si>
  <si>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</si>
  <si>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</si>
  <si>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</si>
  <si>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</si>
  <si>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</si>
  <si>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</si>
  <si>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</si>
  <si>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</si>
  <si>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</si>
  <si>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</si>
  <si>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</si>
  <si>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</si>
  <si>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</si>
  <si>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</si>
  <si>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</si>
  <si>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</si>
  <si>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</si>
  <si>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</si>
  <si>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</si>
  <si>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</si>
  <si>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</si>
  <si>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</si>
  <si>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</si>
  <si>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</si>
  <si>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</si>
  <si>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</si>
  <si>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</si>
  <si>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</si>
  <si>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</si>
  <si>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</si>
  <si>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</si>
  <si>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</si>
  <si>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</si>
  <si>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</si>
  <si>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</si>
  <si>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</si>
  <si>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</si>
  <si>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</si>
  <si>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</si>
  <si>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</si>
  <si>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</si>
  <si>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</si>
  <si>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</si>
  <si>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</si>
  <si>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</si>
  <si>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</si>
  <si>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</si>
  <si>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</si>
  <si>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</si>
  <si>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</si>
  <si>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</si>
  <si>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</si>
  <si>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</si>
  <si>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</si>
  <si>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</si>
  <si>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</si>
  <si>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</si>
  <si>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</si>
  <si>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</si>
  <si>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</si>
  <si>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</si>
  <si>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Testname: KIM_UBI_LANTHA</t>
  </si>
  <si>
    <t>HIT</t>
    <phoneticPr fontId="23"/>
  </si>
  <si>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</si>
  <si>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</si>
  <si>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</si>
  <si>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</si>
  <si>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</si>
  <si>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</si>
  <si>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</si>
  <si>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</si>
  <si>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</si>
  <si>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</si>
  <si>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</si>
  <si>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</si>
  <si>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</si>
  <si>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</si>
  <si>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</si>
  <si>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</si>
  <si>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</si>
  <si>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</si>
  <si>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</si>
  <si>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</si>
  <si>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</si>
  <si>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</si>
  <si>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</si>
  <si>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</si>
  <si>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</si>
  <si>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</si>
  <si>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</si>
  <si>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</si>
  <si>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</si>
  <si>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</si>
  <si>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</si>
  <si>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</si>
  <si>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</si>
  <si>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</si>
  <si>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</si>
  <si>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</si>
  <si>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</si>
  <si>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</si>
  <si>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</si>
  <si>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</si>
  <si>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</si>
  <si>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</si>
  <si>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</si>
  <si>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</si>
  <si>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</si>
  <si>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</si>
  <si>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</si>
  <si>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</si>
  <si>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</si>
  <si>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</si>
  <si>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</si>
  <si>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</si>
  <si>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</si>
  <si>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</si>
  <si>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IC50</t>
    <phoneticPr fontId="23"/>
  </si>
  <si>
    <t>T1.RD_HALF( dose, response )</t>
    <phoneticPr fontId="23"/>
  </si>
  <si>
    <t>T1.SYSTEM( (param) )</t>
    <phoneticPr fontId="23"/>
  </si>
  <si>
    <t>Date:</t>
    <phoneticPr fontId="23"/>
  </si>
  <si>
    <t>Time:</t>
    <phoneticPr fontId="23"/>
  </si>
  <si>
    <t>Name:</t>
    <phoneticPr fontId="23"/>
  </si>
  <si>
    <t>Ratio</t>
    <phoneticPr fontId="23"/>
  </si>
  <si>
    <t>id:</t>
    <phoneticPr fontId="23"/>
  </si>
  <si>
    <t>threshold:</t>
    <phoneticPr fontId="23"/>
  </si>
  <si>
    <t>type:</t>
    <phoneticPr fontId="23"/>
  </si>
  <si>
    <t>format:</t>
    <phoneticPr fontId="23"/>
  </si>
  <si>
    <t>reader:</t>
    <phoneticPr fontId="23"/>
  </si>
  <si>
    <t>CPD_ID</t>
    <phoneticPr fontId="23"/>
  </si>
  <si>
    <t>CPD_RESULT</t>
    <phoneticPr fontId="23"/>
  </si>
  <si>
    <t>CPD</t>
    <phoneticPr fontId="23"/>
  </si>
  <si>
    <t>INHP</t>
    <phoneticPr fontId="23"/>
  </si>
  <si>
    <t>CPD1</t>
    <phoneticPr fontId="23"/>
  </si>
  <si>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</si>
  <si>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</si>
  <si>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</si>
  <si>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</si>
  <si>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</si>
  <si>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</si>
  <si>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</si>
  <si>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</si>
  <si>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</si>
  <si>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</si>
  <si>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</si>
  <si>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</si>
  <si>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</si>
  <si>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</si>
  <si>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</si>
  <si>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</si>
  <si>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</si>
  <si>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</si>
  <si>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</si>
  <si>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</si>
  <si>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</si>
  <si>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</si>
  <si>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</si>
  <si>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</si>
  <si>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</si>
  <si>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</si>
  <si>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</si>
  <si>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</si>
  <si>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</si>
  <si>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</si>
  <si>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</si>
  <si>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</si>
  <si>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</si>
  <si>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</si>
  <si>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</si>
  <si>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</si>
  <si>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</si>
  <si>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</si>
  <si>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</si>
  <si>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</si>
  <si>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</si>
  <si>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</si>
  <si>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</si>
  <si>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</si>
  <si>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</si>
  <si>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</si>
  <si>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</si>
  <si>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</si>
  <si>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</si>
  <si>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</si>
  <si>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</si>
  <si>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</si>
  <si>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</si>
  <si>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</si>
  <si>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</si>
  <si>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</si>
  <si>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</si>
  <si>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</si>
  <si>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</si>
  <si>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</si>
  <si>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</si>
  <si>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</si>
  <si>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</si>
  <si>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</si>
  <si>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</si>
  <si>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</si>
  <si>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</si>
  <si>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</si>
  <si>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</si>
  <si>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</si>
  <si>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</si>
  <si>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</si>
  <si>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</si>
  <si>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</si>
  <si>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</si>
  <si>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</si>
  <si>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</si>
  <si>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</si>
  <si>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</si>
  <si>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</si>
  <si>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</si>
  <si>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</si>
  <si>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</si>
  <si>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</si>
  <si>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</si>
  <si>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</si>
  <si>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</si>
  <si>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</si>
  <si>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</si>
  <si>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</si>
  <si>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</si>
  <si>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</si>
  <si>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</si>
  <si>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</si>
  <si>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</si>
  <si>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</si>
  <si>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</si>
  <si>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</si>
  <si>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</si>
  <si>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</si>
  <si>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</si>
  <si>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</si>
  <si>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</si>
  <si>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</si>
  <si>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</si>
  <si>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</si>
  <si>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</si>
  <si>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</si>
  <si>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</si>
  <si>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</si>
  <si>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</si>
  <si>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</si>
  <si>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</si>
  <si>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</si>
  <si>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</si>
  <si>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</si>
  <si>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</si>
  <si>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</si>
  <si>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</si>
  <si>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</si>
  <si>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</si>
  <si>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</si>
  <si>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</si>
  <si>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</si>
  <si>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</si>
  <si>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</si>
  <si>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</si>
  <si>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</si>
  <si>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</si>
  <si>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</si>
  <si>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</si>
  <si>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</si>
  <si>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</si>
  <si>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</si>
  <si>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</si>
  <si>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</si>
  <si>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</si>
  <si>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</si>
  <si>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</si>
  <si>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</si>
  <si>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</si>
  <si>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</si>
  <si>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</si>
  <si>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</si>
  <si>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</si>
  <si>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</si>
  <si>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</si>
  <si>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</si>
  <si>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</si>
  <si>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</si>
  <si>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</si>
  <si>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</si>
  <si>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</si>
  <si>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</si>
  <si>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</si>
  <si>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</si>
  <si>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</si>
  <si>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</si>
  <si>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</si>
  <si>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</si>
  <si>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</si>
  <si>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</si>
  <si>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</si>
  <si>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</si>
  <si>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</si>
  <si>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</si>
  <si>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</si>
  <si>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</si>
  <si>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</si>
  <si>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</si>
  <si>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</si>
  <si>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</si>
  <si>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</si>
  <si>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</si>
  <si>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</si>
  <si>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</si>
  <si>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</si>
  <si>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</si>
  <si>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</si>
  <si>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</si>
  <si>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</si>
  <si>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</si>
  <si>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</si>
  <si>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</si>
  <si>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</si>
  <si>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</si>
  <si>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</si>
  <si>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</si>
  <si>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</si>
  <si>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</si>
  <si>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</si>
  <si>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</si>
  <si>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</si>
  <si>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</si>
  <si>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</si>
  <si>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</si>
  <si>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</si>
  <si>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</si>
  <si>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</si>
  <si>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</si>
  <si>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</si>
  <si>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</si>
  <si>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</si>
  <si>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</si>
  <si>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</si>
  <si>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</si>
  <si>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</si>
  <si>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</si>
  <si>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</si>
  <si>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</si>
  <si>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</si>
  <si>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</si>
  <si>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</si>
  <si>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</si>
  <si>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</si>
  <si>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</si>
  <si>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</si>
  <si>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</si>
  <si>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</si>
  <si>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</si>
  <si>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</si>
  <si>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</si>
  <si>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</si>
  <si>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</si>
  <si>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</si>
  <si>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</si>
  <si>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</si>
  <si>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</si>
  <si>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</si>
  <si>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</si>
  <si>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</si>
  <si>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</si>
  <si>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</si>
  <si>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</si>
  <si>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</si>
  <si>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</si>
  <si>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</si>
  <si>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</si>
  <si>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</si>
  <si>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</si>
  <si>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</si>
  <si>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</si>
  <si>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</si>
  <si>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</si>
  <si>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</si>
  <si>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</si>
  <si>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</si>
  <si>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</si>
  <si>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</si>
  <si>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</si>
  <si>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</si>
  <si>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</si>
  <si>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</si>
  <si>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</si>
  <si>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</si>
  <si>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</si>
  <si>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</si>
  <si>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</si>
  <si>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</si>
  <si>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</si>
  <si>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</si>
  <si>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</si>
  <si>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</si>
  <si>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</si>
  <si>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</si>
  <si>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</si>
  <si>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</si>
  <si>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</si>
  <si>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</si>
  <si>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</si>
  <si>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</si>
  <si>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</si>
  <si>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</si>
  <si>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</si>
  <si>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</si>
  <si>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</si>
  <si>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</si>
  <si>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</si>
  <si>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</si>
  <si>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</si>
  <si>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</si>
  <si>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</si>
  <si>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</si>
  <si>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</si>
  <si>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</si>
  <si>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</si>
  <si>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</si>
  <si>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</si>
  <si>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</si>
  <si>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</si>
  <si>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</si>
  <si>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</si>
  <si>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</si>
  <si>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</si>
  <si>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</si>
  <si>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</si>
  <si>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</si>
  <si>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</si>
  <si>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</si>
  <si>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</si>
  <si>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</si>
  <si>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</si>
  <si>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</si>
  <si>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</si>
  <si>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</si>
  <si>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</si>
  <si>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</si>
  <si>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</si>
  <si>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</si>
  <si>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</si>
  <si>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</si>
  <si>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</si>
  <si>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</si>
  <si>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</si>
  <si>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</si>
  <si>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</si>
  <si>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</si>
  <si>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</si>
  <si>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</si>
  <si>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</si>
  <si>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</si>
  <si>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</si>
  <si>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</si>
  <si>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</si>
  <si>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</si>
  <si>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</si>
  <si>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</si>
  <si>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</si>
  <si>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</si>
  <si>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</si>
  <si>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</si>
  <si>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</si>
  <si>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</si>
  <si>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</si>
  <si>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</si>
  <si>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</si>
  <si>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</si>
  <si>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</si>
  <si>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</si>
  <si>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</si>
  <si>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</si>
  <si>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</si>
  <si>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</si>
  <si>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</si>
  <si>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</si>
  <si>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</si>
  <si>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</si>
  <si>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</si>
  <si>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</si>
  <si>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</si>
  <si>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</si>
  <si>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</si>
  <si>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</si>
  <si>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</si>
  <si>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</si>
  <si>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</si>
  <si>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</si>
  <si>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</si>
  <si>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</si>
  <si>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</si>
  <si>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</si>
  <si>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</si>
  <si>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</si>
  <si>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</si>
  <si>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</si>
  <si>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</si>
  <si>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</si>
  <si>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</si>
  <si>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</si>
  <si>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</si>
  <si>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</si>
  <si>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</si>
  <si>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</si>
  <si>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</si>
  <si>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</si>
  <si>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</si>
  <si>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</si>
  <si>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</si>
  <si>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</si>
  <si>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</si>
  <si>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</si>
  <si>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</si>
  <si>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</si>
  <si>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</si>
  <si>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</si>
  <si>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</si>
  <si>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</si>
  <si>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</si>
  <si>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</si>
  <si>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</si>
  <si>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</si>
  <si>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</si>
  <si>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</si>
  <si>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</si>
  <si>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</si>
  <si>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</si>
  <si>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</si>
  <si>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</si>
  <si>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</si>
  <si>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</si>
  <si>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</si>
  <si>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</si>
  <si>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</si>
  <si>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</si>
  <si>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</si>
  <si>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</si>
  <si>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</si>
  <si>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</si>
  <si>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</si>
  <si>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</si>
  <si>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</si>
  <si>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</si>
  <si>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</si>
  <si>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</si>
  <si>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</si>
  <si>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</si>
  <si>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</si>
  <si>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</si>
  <si>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</si>
  <si>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</si>
  <si>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</si>
  <si>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</si>
  <si>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</si>
  <si>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</si>
  <si>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</si>
  <si>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</si>
  <si>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</si>
  <si>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</si>
  <si>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</si>
  <si>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</si>
  <si>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</si>
  <si>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</si>
  <si>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</si>
  <si>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</si>
  <si>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</si>
  <si>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</si>
  <si>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</si>
  <si>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</si>
  <si>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</si>
  <si>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</si>
  <si>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</si>
  <si>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</si>
  <si>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</si>
  <si>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</si>
  <si>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</si>
  <si>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</si>
  <si>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</si>
  <si>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</si>
  <si>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</si>
  <si>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</si>
  <si>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</si>
  <si>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</si>
  <si>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</si>
  <si>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</si>
  <si>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</si>
  <si>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</si>
  <si>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</si>
  <si>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</si>
  <si>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</si>
  <si>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</si>
  <si>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</si>
  <si>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</si>
  <si>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</si>
  <si>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</si>
  <si>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</si>
  <si>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</si>
  <si>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</si>
  <si>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</si>
  <si>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</si>
  <si>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</si>
  <si>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</si>
  <si>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</si>
  <si>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</si>
  <si>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</si>
  <si>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</si>
  <si>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</si>
  <si>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</si>
  <si>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</si>
  <si>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</si>
  <si>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</si>
  <si>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</si>
  <si>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</si>
  <si>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</si>
  <si>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</si>
  <si>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</si>
  <si>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</si>
  <si>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</si>
  <si>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</si>
  <si>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</si>
  <si>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</si>
  <si>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</si>
  <si>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</si>
  <si>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</si>
  <si>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</si>
  <si>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</si>
  <si>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</si>
  <si>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</si>
  <si>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</si>
  <si>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</si>
  <si>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</si>
  <si>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</si>
  <si>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</si>
  <si>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</si>
  <si>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</si>
  <si>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</si>
  <si>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</si>
  <si>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</si>
  <si>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</si>
  <si>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</si>
  <si>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</si>
  <si>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</si>
  <si>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</si>
  <si>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</si>
  <si>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</si>
  <si>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</si>
  <si>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</si>
  <si>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</si>
  <si>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</si>
  <si>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</si>
  <si>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</si>
  <si>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</si>
  <si>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</si>
  <si>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</si>
  <si>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</si>
  <si>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</si>
  <si>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</si>
  <si>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</si>
  <si>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</si>
  <si>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</si>
  <si>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</si>
  <si>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</si>
  <si>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</si>
  <si>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</si>
  <si>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</si>
  <si>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</si>
  <si>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</si>
  <si>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</si>
  <si>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</si>
  <si>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</si>
  <si>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</si>
  <si>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</si>
  <si>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</si>
  <si>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</si>
  <si>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</si>
  <si>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</si>
  <si>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</si>
  <si>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</si>
  <si>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</si>
  <si>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</si>
  <si>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</si>
  <si>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</si>
  <si>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</si>
  <si>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</si>
  <si>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</si>
  <si>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</si>
  <si>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</si>
  <si>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</si>
  <si>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</si>
  <si>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</si>
  <si>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</si>
  <si>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</si>
  <si>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</si>
  <si>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</si>
  <si>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</si>
  <si>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</si>
  <si>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</si>
  <si>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</si>
  <si>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</si>
  <si>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</si>
  <si>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</si>
  <si>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</si>
  <si>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</si>
  <si>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</si>
  <si>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</si>
  <si>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</si>
  <si>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</si>
  <si>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</si>
  <si>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</si>
  <si>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</si>
  <si>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</si>
  <si>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</si>
  <si>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</si>
  <si>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</si>
  <si>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</si>
  <si>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</si>
  <si>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</si>
  <si>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</si>
  <si>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</si>
  <si>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</si>
  <si>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</si>
  <si>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</si>
  <si>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</si>
  <si>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</si>
  <si>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</si>
  <si>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</si>
  <si>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</si>
  <si>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</si>
  <si>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</si>
  <si>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</si>
  <si>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</si>
  <si>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</si>
  <si>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</si>
  <si>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</si>
  <si>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</si>
  <si>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</si>
  <si>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</si>
  <si>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</si>
  <si>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</si>
  <si>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</si>
  <si>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</si>
  <si>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</si>
  <si>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</si>
  <si>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</si>
  <si>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</si>
  <si>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</si>
  <si>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</si>
  <si>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</si>
  <si>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</si>
  <si>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</si>
  <si>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</si>
  <si>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</si>
  <si>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</si>
  <si>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</si>
  <si>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</si>
  <si>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</si>
  <si>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</si>
  <si>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</si>
  <si>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</si>
  <si>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</si>
  <si>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</si>
  <si>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</si>
  <si>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</si>
  <si>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</si>
  <si>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</si>
  <si>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</si>
  <si>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</si>
  <si>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</si>
  <si>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</si>
  <si>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</si>
  <si>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</si>
  <si>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</si>
  <si>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</si>
  <si>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</si>
  <si>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</si>
  <si>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</si>
  <si>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</si>
  <si>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</si>
  <si>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</si>
  <si>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</si>
  <si>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</si>
  <si>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</si>
  <si>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</si>
  <si>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</si>
  <si>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</si>
  <si>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</si>
  <si>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</si>
  <si>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</si>
  <si>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</si>
  <si>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</si>
  <si>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</si>
  <si>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</si>
  <si>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</si>
  <si>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</si>
  <si>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</si>
  <si>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</si>
  <si>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</si>
  <si>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</si>
  <si>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</si>
  <si>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</si>
  <si>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</si>
  <si>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</si>
  <si>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</si>
  <si>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</si>
  <si>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</si>
  <si>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</si>
  <si>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</si>
  <si>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</si>
  <si>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</si>
  <si>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</si>
  <si>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</si>
  <si>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</si>
  <si>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</si>
  <si>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</si>
  <si>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</si>
  <si>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</si>
  <si>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</si>
  <si>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</si>
  <si>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</si>
  <si>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</si>
  <si>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</si>
  <si>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</si>
  <si>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</si>
  <si>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</si>
  <si>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</si>
  <si>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</si>
  <si>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</si>
  <si>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</si>
  <si>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</si>
  <si>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</si>
  <si>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</si>
  <si>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</si>
  <si>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</si>
  <si>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</si>
  <si>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</si>
  <si>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</si>
  <si>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</si>
  <si>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</si>
  <si>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</si>
  <si>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</si>
  <si>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</si>
  <si>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</si>
  <si>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</si>
  <si>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</si>
  <si>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</si>
  <si>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</si>
  <si>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</si>
  <si>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</si>
  <si>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</si>
  <si>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</si>
  <si>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</si>
  <si>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</si>
  <si>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</si>
  <si>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</si>
  <si>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</si>
  <si>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</si>
  <si>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</si>
  <si>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</si>
  <si>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</si>
  <si>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</si>
  <si>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</si>
  <si>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</si>
  <si>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</si>
  <si>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</si>
  <si>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</si>
  <si>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</si>
  <si>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</si>
  <si>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</si>
  <si>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</si>
  <si>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</si>
  <si>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</si>
  <si>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</si>
  <si>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</si>
  <si>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</si>
  <si>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</si>
  <si>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</si>
  <si>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</si>
  <si>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</si>
  <si>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</si>
  <si>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</si>
  <si>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</si>
  <si>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</si>
  <si>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</si>
  <si>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</si>
  <si>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</si>
  <si>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</si>
  <si>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</si>
  <si>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</si>
  <si>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</si>
  <si>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</si>
  <si>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</si>
  <si>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</si>
  <si>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</si>
  <si>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</si>
  <si>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</si>
  <si>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</si>
  <si>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</si>
  <si>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</si>
  <si>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</si>
  <si>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</si>
  <si>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</si>
  <si>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</si>
  <si>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</si>
  <si>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</si>
  <si>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</si>
  <si>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</si>
  <si>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</si>
  <si>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</si>
  <si>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</si>
  <si>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</si>
  <si>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</si>
  <si>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</si>
  <si>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</si>
  <si>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</si>
  <si>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</si>
  <si>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</si>
  <si>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</si>
  <si>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</si>
  <si>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</si>
  <si>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</si>
  <si>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</si>
  <si>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</si>
  <si>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</si>
  <si>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</si>
  <si>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</si>
  <si>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</si>
  <si>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</si>
  <si>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</si>
  <si>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</si>
  <si>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</si>
  <si>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</si>
  <si>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</si>
  <si>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</si>
  <si>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</si>
  <si>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</si>
  <si>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</si>
  <si>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</si>
  <si>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</si>
  <si>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</si>
  <si>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</si>
  <si>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</si>
  <si>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</si>
  <si>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</si>
  <si>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</si>
  <si>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</si>
  <si>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</si>
  <si>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</si>
  <si>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</si>
  <si>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</si>
  <si>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</si>
  <si>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</si>
  <si>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</si>
  <si>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</si>
  <si>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</si>
  <si>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</si>
  <si>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</si>
  <si>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</si>
  <si>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</si>
  <si>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</si>
  <si>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</si>
  <si>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</si>
  <si>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</si>
  <si>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</si>
  <si>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</si>
  <si>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</si>
  <si>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</si>
  <si>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</si>
  <si>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</si>
  <si>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</si>
  <si>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</si>
  <si>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</si>
  <si>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</si>
  <si>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</si>
  <si>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</si>
  <si>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</si>
  <si>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</si>
  <si>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</si>
  <si>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</si>
  <si>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</si>
  <si>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</si>
  <si>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</si>
  <si>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</si>
  <si>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</si>
  <si>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</si>
  <si>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</si>
  <si>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</si>
  <si>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</si>
  <si>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</si>
  <si>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</si>
  <si>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</si>
  <si>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</si>
  <si>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</si>
  <si>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</si>
  <si>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</si>
  <si>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</si>
  <si>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</si>
  <si>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</si>
  <si>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</si>
  <si>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</si>
  <si>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</si>
  <si>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</si>
  <si>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</si>
  <si>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</si>
  <si>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</si>
  <si>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</si>
  <si>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</si>
  <si>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</si>
  <si>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</si>
  <si>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</si>
  <si>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</si>
  <si>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</si>
  <si>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</si>
  <si>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</si>
  <si>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</si>
  <si>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</si>
  <si>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</si>
  <si>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</si>
  <si>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</si>
  <si>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</si>
  <si>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</si>
  <si>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</si>
  <si>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</si>
  <si>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</si>
  <si>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</si>
  <si>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</si>
  <si>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</si>
  <si>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</si>
  <si>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</si>
  <si>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</si>
  <si>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</si>
  <si>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</si>
  <si>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</si>
  <si>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</si>
  <si>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</si>
  <si>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</si>
  <si>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</si>
  <si>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</si>
  <si>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</si>
  <si>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</si>
  <si>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</si>
  <si>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</si>
  <si>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</si>
  <si>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</si>
  <si>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</si>
  <si>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</si>
  <si>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</si>
  <si>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</si>
  <si>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</si>
  <si>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</si>
  <si>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</si>
  <si>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</si>
  <si>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</si>
  <si>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</si>
  <si>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</si>
  <si>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</si>
  <si>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</si>
  <si>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</si>
  <si>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</si>
  <si>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</si>
  <si>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</si>
  <si>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</si>
  <si>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</si>
  <si>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</si>
  <si>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</si>
  <si>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</si>
  <si>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</si>
  <si>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</si>
  <si>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</si>
  <si>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</si>
  <si>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</si>
  <si>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</si>
  <si>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</si>
  <si>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</si>
  <si>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</si>
  <si>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</si>
  <si>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</si>
  <si>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</si>
  <si>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</si>
  <si>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</si>
  <si>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</si>
  <si>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</si>
  <si>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</si>
  <si>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</si>
  <si>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</si>
  <si>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</si>
  <si>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</si>
  <si>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</si>
  <si>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</si>
  <si>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</si>
  <si>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</si>
  <si>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</si>
  <si>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</si>
  <si>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</si>
  <si>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</si>
  <si>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</si>
  <si>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</si>
  <si>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</si>
  <si>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</si>
  <si>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</si>
  <si>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</si>
  <si>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</si>
  <si>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</si>
  <si>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</si>
  <si>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</si>
  <si>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</si>
  <si>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</si>
  <si>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</si>
  <si>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</si>
  <si>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</si>
  <si>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</si>
  <si>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</si>
  <si>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</si>
  <si>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</si>
  <si>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</si>
  <si>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</si>
  <si>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</si>
  <si>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</si>
  <si>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</si>
  <si>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</si>
  <si>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</si>
  <si>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</si>
  <si>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</si>
  <si>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</si>
  <si>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</si>
  <si>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</si>
  <si>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</si>
  <si>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</si>
  <si>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</si>
  <si>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</si>
  <si>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</si>
  <si>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</si>
  <si>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</si>
  <si>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</si>
  <si>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</si>
  <si>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</si>
  <si>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</si>
  <si>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</si>
  <si>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</si>
  <si>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</si>
  <si>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</si>
  <si>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</si>
  <si>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</si>
  <si>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</si>
  <si>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</si>
  <si>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</si>
  <si>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</si>
  <si>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</si>
  <si>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</si>
  <si>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</si>
  <si>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</si>
  <si>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</si>
  <si>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</si>
  <si>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</si>
  <si>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</si>
  <si>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</si>
  <si>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</si>
  <si>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</si>
  <si>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</si>
  <si>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</si>
  <si>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</si>
  <si>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</si>
  <si>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</si>
  <si>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</si>
  <si>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</si>
  <si>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</si>
  <si>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</si>
  <si>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</si>
  <si>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</si>
  <si>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</si>
  <si>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</si>
  <si>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</si>
  <si>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</si>
  <si>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</si>
  <si>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</si>
  <si>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</si>
  <si>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</si>
  <si>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</si>
  <si>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</si>
  <si>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</si>
  <si>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</si>
  <si>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</si>
  <si>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</si>
  <si>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</si>
  <si>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</si>
  <si>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</si>
  <si>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</si>
  <si>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</si>
  <si>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</si>
  <si>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</si>
  <si>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</si>
  <si>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</si>
  <si>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</si>
  <si>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</si>
  <si>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</si>
  <si>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</si>
  <si>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</si>
  <si>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</si>
  <si>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</si>
  <si>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</si>
  <si>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</si>
  <si>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</si>
  <si>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</si>
  <si>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</si>
  <si>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</si>
  <si>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</si>
  <si>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</si>
  <si>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</si>
  <si>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</si>
  <si>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</si>
  <si>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</si>
  <si>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</si>
  <si>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</si>
  <si>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</si>
  <si>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</si>
  <si>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</si>
  <si>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</si>
  <si>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</si>
  <si>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</si>
  <si>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</si>
  <si>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</si>
  <si>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</si>
  <si>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</si>
  <si>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</si>
  <si>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</si>
  <si>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</si>
  <si>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</si>
  <si>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</si>
  <si>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</si>
  <si>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</si>
  <si>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</si>
  <si>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</si>
  <si>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</si>
  <si>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</si>
  <si>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</si>
  <si>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</si>
  <si>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</si>
  <si>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</si>
  <si>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</si>
  <si>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</si>
  <si>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</si>
  <si>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</si>
  <si>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</si>
  <si>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</si>
  <si>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</si>
  <si>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</si>
  <si>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</si>
  <si>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</si>
  <si>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</si>
  <si>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</si>
  <si>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</si>
  <si>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</si>
  <si>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</si>
  <si>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</si>
  <si>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</si>
  <si>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</si>
  <si>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</si>
  <si>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</si>
  <si>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</si>
  <si>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</si>
  <si>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</si>
  <si>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</si>
  <si>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</si>
  <si>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</si>
  <si>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</si>
  <si>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</si>
  <si>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</si>
  <si>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</si>
  <si>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</si>
  <si>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</si>
  <si>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</si>
  <si>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</si>
  <si>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</si>
  <si>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</si>
  <si>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</si>
  <si>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</si>
  <si>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</si>
  <si>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</si>
  <si>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</si>
  <si>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</si>
  <si>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</si>
  <si>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</si>
  <si>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</si>
  <si>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</si>
  <si>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</si>
  <si>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</si>
  <si>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</si>
  <si>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</si>
  <si>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</si>
  <si>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</si>
  <si>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</si>
  <si>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</si>
  <si>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</si>
  <si>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</si>
  <si>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</si>
  <si>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</si>
  <si>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</si>
  <si>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</si>
  <si>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</si>
  <si>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</si>
  <si>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</si>
  <si>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</si>
  <si>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</si>
  <si>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</si>
  <si>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</si>
  <si>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</si>
  <si>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</si>
  <si>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</si>
  <si>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</si>
  <si>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</si>
  <si>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</si>
  <si>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</si>
  <si>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</si>
  <si>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</si>
  <si>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</si>
  <si>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</si>
  <si>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</si>
  <si>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</si>
  <si>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</si>
  <si>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</si>
  <si>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</si>
  <si>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</si>
  <si>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</si>
  <si>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</si>
  <si>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</si>
  <si>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</si>
  <si>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</si>
  <si>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</si>
  <si>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</si>
  <si>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</si>
  <si>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</si>
  <si>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</si>
  <si>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</si>
  <si>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</si>
  <si>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</si>
  <si>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</si>
  <si>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</si>
  <si>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</si>
  <si>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</si>
  <si>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</si>
  <si>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</si>
  <si>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</si>
  <si>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</si>
  <si>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</si>
  <si>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</si>
  <si>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</si>
  <si>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</si>
  <si>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</si>
  <si>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</si>
  <si>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</si>
  <si>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</si>
  <si>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</si>
  <si>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</si>
  <si>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</si>
  <si>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</si>
  <si>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</si>
  <si>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</si>
  <si>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</si>
  <si>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</si>
  <si>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</si>
  <si>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</si>
  <si>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</si>
  <si>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</si>
  <si>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</si>
  <si>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</si>
  <si>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</si>
  <si>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</si>
  <si>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</si>
  <si>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</si>
  <si>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</si>
  <si>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</si>
  <si>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</si>
  <si>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</si>
  <si>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</si>
  <si>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</si>
  <si>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</si>
  <si>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</si>
  <si>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</si>
  <si>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</si>
  <si>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</si>
  <si>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</si>
  <si>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</si>
  <si>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</si>
  <si>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</si>
  <si>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</si>
  <si>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</si>
  <si>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</si>
  <si>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</si>
  <si>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</si>
  <si>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</si>
  <si>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</si>
  <si>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</si>
  <si>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</si>
  <si>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</si>
  <si>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</si>
  <si>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</si>
  <si>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</si>
  <si>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</si>
  <si>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</si>
  <si>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</si>
  <si>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</si>
  <si>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</si>
  <si>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</si>
  <si>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</si>
  <si>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</si>
  <si>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</si>
  <si>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</si>
  <si>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</si>
  <si>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</si>
  <si>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</si>
  <si>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</si>
  <si>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</si>
  <si>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</si>
  <si>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</si>
  <si>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</si>
  <si>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</si>
  <si>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</si>
  <si>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</si>
  <si>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</si>
  <si>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</si>
  <si>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</si>
  <si>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</si>
  <si>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</si>
  <si>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</si>
  <si>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</si>
  <si>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</si>
  <si>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</si>
  <si>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</si>
  <si>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</si>
  <si>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</si>
  <si>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</si>
  <si>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</si>
  <si>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</si>
  <si>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</si>
  <si>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</si>
  <si>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</si>
  <si>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</si>
  <si>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</si>
  <si>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</si>
  <si>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</si>
  <si>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</si>
  <si>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</si>
  <si>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</si>
  <si>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</si>
  <si>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</si>
  <si>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</si>
  <si>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</si>
  <si>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</si>
  <si>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</si>
  <si>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</si>
  <si>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</si>
  <si>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</si>
  <si>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</si>
  <si>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</si>
  <si>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</si>
  <si>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</si>
  <si>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</si>
  <si>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</si>
  <si>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</si>
  <si>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</si>
  <si>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</si>
  <si>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</si>
  <si>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</si>
  <si>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</si>
  <si>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</si>
  <si>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</si>
  <si>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</si>
  <si>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</si>
  <si>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</si>
  <si>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</si>
  <si>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</si>
  <si>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</si>
  <si>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</si>
  <si>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</si>
  <si>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</si>
  <si>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</si>
  <si>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</si>
  <si>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</si>
  <si>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</si>
  <si>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</si>
  <si>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</si>
  <si>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</si>
  <si>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</si>
  <si>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</si>
  <si>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</si>
  <si>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</si>
  <si>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</si>
  <si>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</si>
  <si>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</si>
  <si>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</si>
  <si>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</si>
  <si>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</si>
  <si>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</si>
  <si>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</si>
  <si>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</si>
  <si>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</si>
  <si>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</si>
  <si>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</si>
  <si>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</si>
  <si>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</si>
  <si>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</si>
  <si>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</si>
  <si>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</si>
  <si>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</si>
  <si>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</si>
  <si>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</si>
  <si>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</si>
  <si>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</si>
  <si>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</si>
  <si>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</si>
  <si>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</si>
  <si>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</si>
  <si>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</si>
  <si>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</si>
  <si>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</si>
  <si>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</si>
  <si>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</si>
  <si>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</si>
  <si>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</si>
  <si>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</si>
  <si>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</si>
  <si>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</si>
  <si>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</si>
  <si>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</si>
  <si>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</si>
  <si>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</si>
  <si>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</si>
  <si>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</si>
  <si>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</si>
  <si>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</si>
  <si>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</si>
  <si>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</si>
  <si>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</si>
  <si>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</si>
  <si>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</si>
  <si>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</si>
  <si>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</si>
  <si>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</si>
  <si>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</si>
  <si>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</si>
  <si>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</si>
  <si>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</si>
  <si>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</si>
  <si>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</si>
  <si>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</si>
  <si>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</si>
  <si>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</si>
  <si>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</si>
  <si>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</si>
  <si>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</si>
  <si>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</si>
  <si>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</si>
  <si>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</si>
  <si>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</si>
  <si>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</si>
  <si>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</si>
  <si>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</si>
  <si>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</si>
  <si>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</si>
  <si>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</si>
  <si>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</si>
  <si>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</si>
  <si>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</si>
  <si>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</si>
  <si>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</si>
  <si>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</si>
  <si>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</si>
  <si>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</si>
  <si>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</si>
  <si>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</si>
  <si>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</si>
  <si>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</si>
  <si>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</si>
  <si>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</si>
  <si>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</si>
  <si>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</si>
  <si>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</si>
  <si>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</si>
  <si>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</si>
  <si>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</si>
  <si>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</si>
  <si>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</si>
  <si>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</si>
  <si>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</si>
  <si>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</si>
  <si>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</si>
  <si>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</si>
  <si>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</si>
  <si>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</si>
  <si>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</si>
  <si>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</si>
  <si>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</si>
  <si>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</si>
  <si>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</si>
  <si>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</si>
  <si>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</si>
  <si>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</si>
  <si>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</si>
  <si>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</si>
  <si>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</si>
  <si>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</si>
  <si>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</si>
  <si>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</si>
  <si>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</si>
  <si>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</si>
  <si>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</si>
  <si>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</si>
  <si>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</si>
  <si>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</si>
  <si>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</si>
  <si>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</si>
  <si>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</si>
  <si>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</si>
  <si>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</si>
  <si>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</si>
  <si>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</si>
  <si>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</si>
  <si>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</si>
  <si>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</si>
  <si>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</si>
  <si>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</si>
  <si>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</si>
  <si>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</si>
  <si>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</si>
  <si>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</si>
  <si>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</si>
  <si>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</si>
  <si>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</si>
  <si>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</si>
  <si>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</si>
  <si>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</si>
  <si>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</si>
  <si>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</si>
  <si>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</si>
  <si>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</si>
  <si>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</si>
  <si>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</si>
  <si>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</si>
  <si>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</si>
  <si>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</si>
  <si>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</si>
  <si>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</si>
  <si>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</si>
  <si>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</si>
  <si>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</si>
  <si>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</si>
  <si>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</si>
  <si>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</si>
  <si>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</si>
  <si>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</si>
  <si>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</si>
  <si>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</si>
  <si>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</si>
  <si>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</si>
  <si>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</si>
  <si>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</si>
  <si>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</si>
  <si>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</si>
  <si>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</si>
  <si>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</si>
  <si>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</si>
  <si>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</si>
  <si>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</si>
  <si>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</si>
  <si>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</si>
  <si>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</si>
  <si>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</si>
  <si>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</si>
  <si>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</si>
  <si>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</si>
  <si>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</si>
  <si>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</si>
  <si>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</si>
  <si>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</si>
  <si>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</si>
  <si>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</si>
  <si>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</si>
  <si>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</si>
  <si>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</si>
  <si>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</si>
  <si>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</si>
  <si>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</si>
  <si>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</si>
  <si>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</si>
  <si>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</si>
  <si>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</si>
  <si>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</si>
  <si>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</si>
  <si>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</si>
  <si>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</si>
  <si>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</si>
  <si>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</si>
  <si>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</si>
  <si>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</si>
  <si>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</si>
  <si>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</si>
  <si>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</si>
  <si>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</si>
  <si>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</si>
  <si>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</si>
  <si>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</si>
  <si>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</si>
  <si>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</si>
  <si>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</si>
  <si>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</si>
  <si>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</si>
  <si>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</si>
  <si>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</si>
  <si>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</si>
  <si>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</si>
  <si>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</si>
  <si>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</si>
  <si>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</si>
  <si>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</si>
  <si>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</si>
  <si>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</si>
  <si>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</si>
  <si>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</si>
  <si>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</si>
  <si>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</si>
  <si>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</si>
  <si>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</si>
  <si>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</si>
  <si>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</si>
  <si>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</si>
  <si>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</si>
  <si>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</si>
  <si>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</si>
  <si>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</si>
  <si>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</si>
  <si>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</si>
  <si>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</si>
  <si>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</si>
  <si>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</si>
  <si>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</si>
  <si>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</si>
  <si>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</si>
  <si>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</si>
  <si>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</si>
  <si>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</si>
  <si>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</si>
  <si>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</si>
  <si>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</si>
  <si>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</si>
  <si>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</si>
  <si>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</si>
  <si>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</si>
  <si>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</si>
  <si>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</si>
  <si>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</si>
  <si>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</si>
  <si>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</si>
  <si>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</si>
  <si>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</si>
  <si>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</si>
  <si>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</si>
  <si>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</si>
  <si>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</si>
  <si>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</si>
  <si>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</si>
  <si>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</si>
  <si>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</si>
  <si>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</si>
  <si>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</si>
  <si>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</si>
  <si>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</si>
  <si>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</si>
  <si>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</si>
  <si>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</si>
  <si>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</si>
  <si>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</si>
  <si>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</si>
  <si>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</si>
  <si>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</si>
  <si>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</si>
  <si>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</si>
  <si>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</si>
  <si>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</si>
  <si>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</si>
  <si>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</si>
  <si>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</si>
  <si>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</si>
  <si>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</si>
  <si>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</si>
  <si>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</si>
  <si>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</si>
  <si>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</si>
  <si>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</si>
  <si>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</si>
  <si>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</si>
  <si>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</si>
  <si>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</si>
  <si>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</si>
  <si>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</si>
  <si>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</si>
  <si>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</si>
  <si>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</si>
  <si>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</si>
  <si>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</si>
  <si>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</si>
  <si>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</si>
  <si>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</si>
  <si>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</si>
  <si>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</si>
  <si>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</si>
  <si>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</si>
  <si>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</si>
  <si>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</si>
  <si>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</si>
  <si>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</si>
  <si>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</si>
  <si>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</si>
  <si>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</si>
  <si>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</si>
  <si>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</si>
  <si>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</si>
  <si>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</si>
  <si>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</si>
  <si>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</si>
  <si>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</si>
  <si>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</si>
  <si>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</si>
  <si>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</si>
  <si>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</si>
  <si>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</si>
  <si>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</si>
  <si>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</si>
  <si>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</si>
  <si>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</si>
  <si>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</si>
  <si>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</si>
  <si>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</si>
  <si>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</si>
  <si>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</si>
  <si>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</si>
  <si>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</si>
  <si>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</si>
  <si>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</si>
  <si>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</si>
  <si>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</si>
  <si>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</si>
  <si>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</si>
  <si>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</si>
  <si>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</si>
  <si>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</si>
  <si>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</si>
  <si>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</si>
  <si>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</si>
  <si>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</si>
  <si>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</si>
  <si>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</si>
  <si>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</si>
  <si>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</si>
  <si>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</si>
  <si>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</si>
  <si>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</si>
  <si>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</si>
  <si>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</si>
  <si>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</si>
  <si>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</si>
  <si>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</si>
  <si>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</si>
  <si>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</si>
  <si>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</si>
  <si>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</si>
  <si>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</si>
  <si>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</si>
  <si>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</si>
  <si>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</si>
  <si>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</si>
  <si>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</si>
  <si>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</si>
  <si>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</si>
  <si>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</si>
  <si>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</si>
  <si>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</si>
  <si>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</si>
  <si>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</si>
  <si>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</si>
  <si>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</si>
  <si>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</si>
  <si>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</si>
  <si>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</si>
  <si>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</si>
  <si>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</si>
  <si>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</si>
  <si>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</si>
  <si>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</si>
  <si>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</si>
  <si>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</si>
  <si>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</si>
  <si>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</si>
  <si>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</si>
  <si>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</si>
  <si>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</si>
  <si>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</si>
  <si>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</si>
  <si>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</si>
  <si>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</si>
  <si>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</si>
  <si>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</si>
  <si>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</si>
  <si>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</si>
  <si>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</si>
  <si>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</si>
  <si>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</si>
  <si>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</si>
  <si>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</si>
  <si>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</si>
  <si>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</si>
  <si>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</si>
  <si>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</si>
  <si>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</si>
  <si>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</si>
  <si>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</si>
  <si>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</si>
  <si>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</si>
  <si>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</si>
  <si>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</si>
  <si>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</si>
  <si>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</si>
  <si>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</si>
  <si>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</si>
  <si>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</si>
  <si>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</si>
  <si>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</si>
  <si>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</si>
  <si>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</si>
  <si>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</si>
  <si>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</si>
  <si>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</si>
  <si>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</si>
  <si>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</si>
  <si>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</si>
  <si>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</si>
  <si>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</si>
  <si>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</si>
  <si>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</si>
  <si>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</si>
  <si>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</si>
  <si>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</si>
  <si>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</si>
  <si>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</si>
  <si>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</si>
  <si>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</si>
  <si>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</si>
  <si>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</si>
  <si>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</si>
  <si>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</si>
  <si>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</si>
  <si>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</si>
  <si>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</si>
  <si>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</si>
  <si>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</si>
  <si>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</si>
  <si>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</si>
  <si>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</si>
  <si>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</si>
  <si>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</si>
  <si>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</si>
  <si>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</si>
  <si>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</si>
  <si>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</si>
  <si>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</si>
  <si>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</si>
  <si>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</si>
  <si>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</si>
  <si>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</si>
  <si>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</si>
  <si>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</si>
  <si>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</si>
  <si>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</si>
  <si>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</si>
  <si>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</si>
  <si>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</si>
  <si>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</si>
  <si>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</si>
  <si>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</si>
  <si>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</si>
  <si>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</si>
  <si>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</si>
  <si>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</si>
  <si>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</si>
  <si>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</si>
  <si>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</si>
  <si>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</si>
  <si>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</si>
  <si>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</si>
  <si>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</si>
  <si>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</si>
  <si>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</si>
  <si>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</si>
  <si>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</si>
  <si>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</si>
  <si>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</si>
  <si>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</si>
  <si>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</si>
  <si>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</si>
  <si>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</si>
  <si>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</si>
  <si>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</si>
  <si>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</si>
  <si>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</si>
  <si>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</si>
  <si>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</si>
  <si>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</si>
  <si>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</si>
  <si>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</si>
  <si>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</si>
  <si>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</si>
  <si>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</si>
  <si>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</si>
  <si>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</si>
  <si>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</si>
  <si>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</si>
  <si>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</si>
  <si>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</si>
  <si>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</si>
  <si>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</si>
  <si>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</si>
  <si>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</si>
  <si>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</si>
  <si>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</si>
  <si>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</si>
  <si>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</si>
  <si>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</si>
  <si>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</si>
  <si>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</si>
  <si>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</si>
  <si>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</si>
  <si>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</si>
  <si>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</si>
  <si>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</si>
  <si>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</si>
  <si>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</si>
  <si>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</si>
  <si>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</si>
  <si>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</si>
  <si>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</si>
  <si>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</si>
  <si>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</si>
  <si>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</si>
  <si>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</si>
  <si>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</si>
  <si>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</si>
  <si>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</si>
  <si>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</si>
  <si>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</si>
  <si>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</si>
  <si>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</si>
  <si>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</si>
  <si>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</si>
  <si>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</si>
  <si>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</si>
  <si>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</si>
  <si>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</si>
  <si>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</si>
  <si>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</si>
  <si>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</si>
  <si>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</si>
  <si>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</si>
  <si>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</si>
  <si>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</si>
  <si>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</si>
  <si>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</si>
  <si>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</si>
  <si>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</si>
  <si>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</si>
  <si>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</si>
  <si>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</si>
  <si>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</si>
  <si>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</si>
  <si>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</si>
  <si>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</si>
  <si>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</si>
  <si>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</si>
  <si>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</si>
  <si>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</si>
  <si>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</si>
  <si>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</si>
  <si>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</si>
  <si>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</si>
  <si>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</si>
  <si>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</si>
  <si>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</si>
  <si>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</si>
  <si>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</si>
  <si>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</si>
  <si>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</si>
  <si>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</si>
  <si>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</si>
  <si>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</si>
  <si>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</si>
  <si>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</si>
  <si>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</si>
  <si>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</si>
  <si>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</si>
  <si>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</si>
  <si>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</si>
  <si>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</si>
  <si>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</si>
  <si>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</si>
  <si>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</si>
  <si>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</si>
  <si>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</si>
  <si>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</si>
  <si>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</si>
  <si>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</si>
  <si>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</si>
  <si>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</si>
  <si>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</si>
  <si>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</si>
  <si>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</si>
  <si>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</si>
  <si>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</si>
  <si>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</si>
  <si>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</si>
  <si>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</si>
  <si>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</si>
  <si>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</si>
  <si>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</si>
  <si>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</si>
  <si>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</si>
  <si>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</si>
  <si>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</si>
  <si>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</si>
  <si>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</si>
  <si>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</si>
  <si>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</si>
  <si>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</si>
  <si>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</si>
  <si>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</si>
  <si>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</si>
  <si>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</si>
  <si>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</si>
  <si>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</si>
  <si>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</si>
  <si>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</si>
  <si>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</si>
  <si>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</si>
  <si>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</si>
  <si>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</si>
  <si>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</si>
  <si>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</si>
  <si>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</si>
  <si>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</si>
  <si>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</si>
  <si>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</si>
  <si>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</si>
  <si>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</si>
  <si>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</si>
  <si>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</si>
  <si>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</si>
  <si>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</si>
  <si>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</si>
  <si>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</si>
  <si>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</si>
  <si>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</si>
  <si>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</si>
  <si>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</si>
  <si>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</si>
  <si>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</si>
  <si>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</si>
  <si>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</si>
  <si>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</si>
  <si>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</si>
  <si>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</si>
  <si>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</si>
  <si>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</si>
  <si>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</si>
  <si>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</si>
  <si>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</si>
  <si>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</si>
  <si>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</si>
  <si>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</si>
  <si>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</si>
  <si>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</si>
  <si>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</si>
  <si>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</si>
  <si>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</si>
  <si>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</si>
  <si>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</si>
  <si>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</si>
  <si>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</si>
  <si>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</si>
  <si>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</si>
  <si>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</si>
  <si>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</si>
  <si>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</si>
  <si>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</si>
  <si>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</si>
  <si>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</si>
  <si>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</si>
  <si>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</si>
  <si>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</si>
  <si>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</si>
  <si>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</si>
  <si>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</si>
  <si>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</si>
  <si>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</si>
  <si>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</si>
  <si>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</si>
  <si>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</si>
  <si>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</si>
  <si>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</si>
  <si>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</si>
  <si>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</si>
  <si>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</si>
  <si>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</si>
  <si>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</si>
  <si>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</si>
  <si>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</si>
  <si>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</si>
  <si>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</si>
  <si>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</si>
  <si>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</si>
  <si>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</si>
  <si>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</si>
  <si>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</si>
  <si>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</si>
  <si>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</si>
  <si>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</si>
  <si>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</si>
  <si>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</si>
  <si>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</si>
  <si>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</si>
  <si>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</si>
  <si>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</si>
  <si>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</si>
  <si>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</si>
  <si>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</si>
  <si>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</si>
  <si>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</si>
  <si>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</si>
  <si>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</si>
  <si>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</si>
  <si>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</si>
  <si>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</si>
  <si>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</si>
  <si>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</si>
  <si>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</si>
  <si>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</si>
  <si>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</si>
  <si>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</si>
  <si>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</si>
  <si>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</si>
  <si>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</si>
  <si>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</si>
  <si>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</si>
  <si>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</si>
  <si>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</si>
  <si>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</si>
  <si>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</si>
  <si>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</si>
  <si>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</si>
  <si>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</si>
  <si>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</si>
  <si>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</si>
  <si>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</si>
  <si>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</si>
  <si>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</si>
  <si>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</si>
  <si>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</si>
  <si>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</si>
  <si>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</si>
  <si>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</si>
  <si>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</si>
  <si>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</si>
  <si>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</si>
  <si>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</si>
  <si>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</si>
  <si>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</si>
  <si>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</si>
  <si>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</si>
  <si>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</si>
  <si>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</si>
  <si>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</si>
  <si>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</si>
  <si>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</si>
  <si>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</si>
  <si>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</si>
  <si>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</si>
  <si>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</si>
  <si>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</si>
  <si>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</si>
  <si>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</si>
  <si>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</si>
  <si>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</si>
  <si>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</si>
  <si>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</si>
  <si>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</si>
  <si>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</si>
  <si>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</si>
  <si>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</si>
  <si>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</si>
  <si>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</si>
  <si>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</si>
  <si>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</si>
  <si>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</si>
  <si>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</si>
  <si>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</si>
  <si>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</si>
  <si>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</si>
  <si>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</si>
  <si>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</si>
  <si>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</si>
  <si>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</si>
  <si>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</si>
  <si>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</si>
  <si>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</si>
  <si>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</si>
  <si>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</si>
  <si>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</si>
  <si>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</si>
  <si>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</si>
  <si>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</si>
  <si>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</si>
  <si>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</si>
  <si>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</si>
  <si>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</si>
  <si>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</si>
  <si>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</si>
  <si>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</si>
  <si>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</si>
  <si>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</si>
  <si>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</si>
  <si>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</si>
  <si>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</si>
  <si>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</si>
  <si>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</si>
  <si>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</si>
  <si>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</si>
  <si>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</si>
  <si>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</si>
  <si>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</si>
  <si>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</si>
  <si>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</si>
  <si>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</si>
  <si>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</si>
  <si>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</si>
  <si>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</si>
  <si>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</si>
  <si>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</si>
  <si>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</si>
  <si>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</si>
  <si>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</si>
  <si>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</si>
  <si>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</si>
  <si>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</si>
  <si>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</si>
  <si>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</si>
  <si>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</si>
  <si>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TABLE:0:FREE</t>
    <phoneticPr fontId="23"/>
  </si>
  <si>
    <t>PHERASTER</t>
  </si>
  <si>
    <t>PRIMARY</t>
    <phoneticPr fontId="23"/>
  </si>
  <si>
    <t>CPD5</t>
    <phoneticPr fontId="23"/>
  </si>
  <si>
    <t>CPD6</t>
    <phoneticPr fontId="23"/>
  </si>
  <si>
    <t>CPD7</t>
    <phoneticPr fontId="23"/>
  </si>
  <si>
    <t>CPD8</t>
    <phoneticPr fontId="23"/>
  </si>
  <si>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</si>
  <si>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</si>
  <si>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</si>
  <si>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</si>
  <si>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</si>
  <si>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</si>
  <si>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</si>
  <si>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</si>
  <si>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</si>
  <si>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</si>
  <si>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</si>
  <si>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</si>
  <si>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</si>
  <si>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</si>
  <si>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</si>
  <si>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</si>
  <si>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</si>
  <si>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</si>
  <si>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</si>
  <si>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</si>
  <si>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</si>
  <si>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</si>
  <si>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</si>
  <si>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</si>
  <si>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</si>
  <si>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</si>
  <si>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</si>
  <si>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</si>
  <si>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</si>
  <si>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</si>
  <si>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</si>
  <si>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</si>
  <si>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</si>
  <si>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</si>
  <si>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</si>
  <si>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</si>
  <si>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</si>
  <si>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</si>
  <si>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</si>
  <si>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</si>
  <si>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</si>
  <si>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</si>
  <si>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</si>
  <si>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</si>
  <si>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</si>
  <si>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</si>
  <si>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</si>
  <si>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</si>
  <si>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</si>
  <si>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</si>
  <si>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</si>
  <si>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</si>
  <si>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</si>
  <si>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</si>
  <si>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</si>
  <si>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</si>
  <si>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</si>
  <si>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</si>
  <si>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</si>
  <si>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</si>
  <si>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</si>
  <si>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</si>
  <si>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</si>
  <si>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</si>
  <si>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</si>
  <si>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</si>
  <si>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</si>
  <si>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</si>
  <si>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</si>
  <si>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</si>
  <si>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</si>
  <si>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</si>
  <si>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</si>
  <si>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</si>
  <si>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</si>
  <si>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</si>
  <si>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</si>
  <si>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</si>
  <si>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</si>
  <si>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</si>
  <si>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</si>
  <si>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</si>
  <si>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</si>
  <si>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</si>
  <si>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</si>
  <si>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</si>
  <si>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</si>
  <si>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</si>
  <si>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</si>
  <si>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</si>
  <si>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</si>
  <si>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</si>
  <si>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</si>
  <si>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</si>
  <si>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</si>
  <si>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</si>
  <si>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</si>
  <si>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</si>
  <si>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</si>
  <si>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</si>
  <si>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</si>
  <si>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</si>
  <si>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</si>
  <si>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</si>
  <si>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</si>
  <si>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</si>
  <si>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</si>
  <si>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</si>
  <si>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</si>
  <si>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</si>
  <si>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</si>
  <si>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</si>
  <si>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</si>
  <si>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</si>
  <si>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</si>
  <si>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</si>
  <si>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</si>
  <si>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</si>
  <si>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</si>
  <si>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</si>
  <si>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</si>
  <si>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</si>
  <si>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</si>
  <si>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</si>
  <si>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</si>
  <si>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</si>
  <si>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</si>
  <si>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</si>
  <si>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</si>
  <si>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</si>
  <si>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</si>
  <si>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</si>
  <si>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</si>
  <si>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</si>
  <si>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</si>
  <si>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</si>
  <si>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</si>
  <si>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</si>
  <si>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</si>
  <si>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</si>
  <si>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</si>
  <si>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</si>
  <si>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</si>
  <si>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</si>
  <si>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</si>
  <si>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</si>
  <si>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</si>
  <si>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</si>
  <si>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</si>
  <si>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</si>
  <si>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</si>
  <si>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</si>
  <si>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</si>
  <si>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</si>
  <si>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</si>
  <si>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</si>
  <si>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</si>
  <si>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</si>
  <si>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</si>
  <si>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</si>
  <si>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</si>
  <si>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</si>
  <si>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</si>
  <si>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</si>
  <si>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</si>
  <si>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</si>
  <si>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type:</t>
    <phoneticPr fontId="23"/>
  </si>
  <si>
    <t>format:</t>
    <phoneticPr fontId="23"/>
  </si>
  <si>
    <t>reader:</t>
    <phoneticPr fontId="23"/>
  </si>
  <si>
    <t>Name:</t>
    <phoneticPr fontId="23"/>
  </si>
  <si>
    <t>Date:</t>
    <phoneticPr fontId="23"/>
  </si>
  <si>
    <t>Time:</t>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</si>
  <si>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</si>
  <si>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</si>
  <si>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</si>
  <si>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</si>
  <si>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</si>
  <si>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</si>
  <si>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</si>
  <si>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</si>
  <si>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</si>
  <si>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</si>
  <si>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</si>
  <si>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</si>
  <si>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</si>
  <si>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</si>
  <si>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</si>
  <si>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</si>
  <si>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</si>
  <si>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</si>
  <si>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</si>
  <si>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</si>
  <si>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</si>
  <si>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</si>
  <si>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</si>
  <si>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</si>
  <si>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</si>
  <si>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</si>
  <si>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</si>
  <si>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</si>
  <si>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</si>
  <si>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</si>
  <si>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</si>
  <si>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</si>
  <si>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</si>
  <si>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</si>
  <si>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</si>
  <si>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</si>
  <si>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</si>
  <si>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</si>
  <si>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</si>
  <si>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</si>
  <si>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</si>
  <si>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</si>
  <si>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</si>
  <si>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</si>
  <si>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</si>
  <si>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</si>
  <si>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</si>
  <si>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</si>
  <si>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</si>
  <si>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</si>
  <si>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</si>
  <si>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</si>
  <si>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</si>
  <si>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</si>
  <si>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</si>
  <si>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</si>
  <si>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</si>
  <si>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</si>
  <si>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</si>
  <si>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</si>
  <si>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</si>
  <si>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</si>
  <si>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</si>
  <si>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</si>
  <si>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</si>
  <si>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</si>
  <si>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</si>
  <si>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</si>
  <si>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</si>
  <si>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</si>
  <si>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</si>
  <si>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</si>
  <si>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</si>
  <si>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</si>
  <si>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</si>
  <si>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</si>
  <si>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</si>
  <si>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</si>
  <si>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</si>
  <si>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</si>
  <si>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</si>
  <si>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</si>
  <si>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</si>
  <si>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</si>
  <si>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</si>
  <si>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</si>
  <si>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</si>
  <si>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</si>
  <si>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</si>
  <si>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</si>
  <si>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</si>
  <si>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</si>
  <si>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</si>
  <si>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</si>
  <si>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</si>
  <si>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</si>
  <si>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</si>
  <si>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</si>
  <si>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</si>
  <si>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</si>
  <si>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</si>
  <si>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</si>
  <si>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</si>
  <si>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</si>
  <si>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</si>
  <si>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</si>
  <si>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</si>
  <si>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</si>
  <si>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</si>
  <si>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</si>
  <si>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</si>
  <si>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</si>
  <si>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</si>
  <si>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</si>
  <si>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</si>
  <si>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</si>
  <si>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</si>
  <si>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</si>
  <si>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</si>
  <si>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</si>
  <si>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</si>
  <si>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</si>
  <si>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</si>
  <si>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</si>
  <si>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</si>
  <si>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</si>
  <si>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</si>
  <si>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</si>
  <si>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</si>
  <si>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</si>
  <si>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</si>
  <si>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</si>
  <si>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</si>
  <si>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</si>
  <si>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</si>
  <si>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</si>
  <si>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</si>
  <si>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</si>
  <si>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</si>
  <si>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</si>
  <si>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</si>
  <si>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</si>
  <si>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</si>
  <si>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</si>
  <si>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</si>
  <si>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CPD1</t>
    <phoneticPr fontId="26"/>
  </si>
  <si>
    <t>BLANK</t>
    <phoneticPr fontId="26"/>
  </si>
  <si>
    <t>BLANK</t>
    <phoneticPr fontId="26"/>
  </si>
  <si>
    <t>BLANK</t>
    <phoneticPr fontId="26"/>
  </si>
  <si>
    <t>BLANK</t>
    <phoneticPr fontId="26"/>
  </si>
  <si>
    <t>MIN</t>
    <phoneticPr fontId="26"/>
  </si>
  <si>
    <t>MAX</t>
    <phoneticPr fontId="26"/>
  </si>
  <si>
    <t>RAW_DATA</t>
    <phoneticPr fontId="23"/>
  </si>
  <si>
    <t>Chromatic</t>
    <phoneticPr fontId="23"/>
  </si>
  <si>
    <t>RAW_DATA</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</si>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</sst>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0.00_ "/>
    <numFmt numFmtId="179" formatCode="0.0_ "/>
    <numFmt numFmtId="180" formatCode="0_);[Red]\(0\)"/>
  </numFmts>
  <fonts count="61">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sz val="10"/>
      <color theme="1"/>
      <name val="ＭＳ Ｐゴシック"/>
      <family val="3"/>
      <charset val="128"/>
      <scheme val="minor"/>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149">
    <xf numFmtId="0" fontId="0" fillId="0" borderId="0" xfId="0"/>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1"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176" fontId="49" fillId="0" borderId="0" xfId="452" applyNumberFormat="1" applyFont="1" applyBorder="1" applyAlignment="1">
      <alignment horizontal="right" vertical="center"/>
    </xf>
    <xf numFmtId="0" fontId="54" fillId="0" borderId="0" xfId="422" applyFont="1" applyAlignment="1">
      <alignment horizontal="left" vertical="center"/>
    </xf>
    <xf numFmtId="0" fontId="54" fillId="0" borderId="0" xfId="422" applyFont="1">
      <alignment vertical="center"/>
    </xf>
    <xf numFmtId="0" fontId="55" fillId="33" borderId="0" xfId="422" applyFont="1" applyFill="1">
      <alignment vertical="center"/>
    </xf>
    <xf numFmtId="0" fontId="54" fillId="33" borderId="0" xfId="422" applyFont="1" applyFill="1">
      <alignment vertical="center"/>
    </xf>
    <xf numFmtId="0" fontId="55" fillId="34" borderId="0" xfId="422" applyFont="1" applyFill="1">
      <alignment vertical="center"/>
    </xf>
    <xf numFmtId="0" fontId="54" fillId="34" borderId="0" xfId="422" applyFont="1" applyFill="1">
      <alignment vertical="center"/>
    </xf>
    <xf numFmtId="0" fontId="55" fillId="35" borderId="0" xfId="422" applyFont="1" applyFill="1">
      <alignment vertical="center"/>
    </xf>
    <xf numFmtId="0" fontId="54" fillId="35" borderId="0" xfId="422" applyFont="1" applyFill="1">
      <alignment vertical="center"/>
    </xf>
    <xf numFmtId="0" fontId="55" fillId="36" borderId="0" xfId="422" applyFont="1" applyFill="1">
      <alignment vertical="center"/>
    </xf>
    <xf numFmtId="0" fontId="54" fillId="36" borderId="0" xfId="422" applyFont="1" applyFill="1">
      <alignment vertical="center"/>
    </xf>
    <xf numFmtId="0" fontId="55" fillId="37" borderId="0" xfId="422" applyFont="1" applyFill="1">
      <alignment vertical="center"/>
    </xf>
    <xf numFmtId="0" fontId="54" fillId="37" borderId="0" xfId="422" applyFont="1" applyFill="1">
      <alignment vertical="center"/>
    </xf>
    <xf numFmtId="0" fontId="49" fillId="0" borderId="0" xfId="452" applyFont="1" applyBorder="1" applyAlignment="1">
      <alignment horizontal="center" vertical="center"/>
    </xf>
    <xf numFmtId="0" fontId="51" fillId="0" borderId="0" xfId="452" applyFont="1" applyFill="1" applyAlignment="1">
      <alignment horizontal="left" vertical="center"/>
    </xf>
    <xf numFmtId="0" fontId="49" fillId="0" borderId="0" xfId="452" applyFont="1">
      <alignment vertical="center"/>
    </xf>
    <xf numFmtId="0" fontId="56" fillId="0" borderId="0" xfId="452" applyFont="1" applyFill="1" applyAlignment="1">
      <alignment horizontal="left" vertical="center"/>
    </xf>
    <xf numFmtId="0" fontId="56" fillId="0" borderId="0" xfId="452" applyFont="1" applyFill="1">
      <alignment vertical="center"/>
    </xf>
    <xf numFmtId="0" fontId="52" fillId="38"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0" borderId="0" xfId="452" applyFont="1" applyFill="1">
      <alignment vertical="center"/>
    </xf>
    <xf numFmtId="0" fontId="52" fillId="40" borderId="0" xfId="452" applyFont="1" applyFill="1" applyAlignment="1">
      <alignment horizontal="right" vertical="center"/>
    </xf>
    <xf numFmtId="0" fontId="53" fillId="40" borderId="0" xfId="452" applyFont="1" applyFill="1" applyAlignment="1">
      <alignment horizontal="left" vertical="center"/>
    </xf>
    <xf numFmtId="14" fontId="53" fillId="40" borderId="0" xfId="452" applyNumberFormat="1" applyFont="1" applyFill="1" applyAlignment="1">
      <alignment vertical="center"/>
    </xf>
    <xf numFmtId="0" fontId="53" fillId="40" borderId="0" xfId="452" applyFont="1" applyFill="1">
      <alignment vertical="center"/>
    </xf>
    <xf numFmtId="49" fontId="53" fillId="40" borderId="0" xfId="452" quotePrefix="1" applyNumberFormat="1" applyFont="1" applyFill="1" applyAlignment="1">
      <alignment vertical="center"/>
    </xf>
    <xf numFmtId="49" fontId="52" fillId="40" borderId="0" xfId="452" applyNumberFormat="1" applyFont="1" applyFill="1" applyAlignment="1">
      <alignment vertical="center"/>
    </xf>
    <xf numFmtId="0" fontId="52" fillId="41" borderId="0" xfId="452" applyFont="1" applyFill="1">
      <alignment vertical="center"/>
    </xf>
    <xf numFmtId="0" fontId="52" fillId="41" borderId="0" xfId="452" applyFont="1" applyFill="1" applyAlignment="1">
      <alignment horizontal="right" vertical="center"/>
    </xf>
    <xf numFmtId="0" fontId="52" fillId="39" borderId="0" xfId="452" applyFont="1" applyFill="1">
      <alignment vertical="center"/>
    </xf>
    <xf numFmtId="0" fontId="52" fillId="39" borderId="0" xfId="452" applyFont="1" applyFill="1" applyAlignment="1">
      <alignment horizontal="right" vertical="center"/>
    </xf>
    <xf numFmtId="0" fontId="52" fillId="39" borderId="0" xfId="452" applyFont="1" applyFill="1" applyAlignment="1">
      <alignment horizontal="left" vertical="center"/>
    </xf>
    <xf numFmtId="0" fontId="52" fillId="43" borderId="0" xfId="452" applyFont="1" applyFill="1">
      <alignment vertical="center"/>
    </xf>
    <xf numFmtId="0" fontId="52" fillId="43" borderId="0" xfId="452" applyFont="1" applyFill="1" applyAlignment="1">
      <alignment horizontal="right" vertical="center"/>
    </xf>
    <xf numFmtId="1" fontId="52" fillId="43" borderId="0" xfId="452" applyNumberFormat="1" applyFont="1" applyFill="1" applyAlignment="1">
      <alignment horizontal="left" vertical="center"/>
    </xf>
    <xf numFmtId="1" fontId="52" fillId="43" borderId="0" xfId="452" applyNumberFormat="1" applyFont="1" applyFill="1" applyAlignment="1">
      <alignment horizontal="center" vertical="center"/>
    </xf>
    <xf numFmtId="0" fontId="52" fillId="42" borderId="0" xfId="452" applyFont="1" applyFill="1">
      <alignment vertical="center"/>
    </xf>
    <xf numFmtId="0" fontId="52" fillId="44" borderId="0" xfId="452" applyFont="1" applyFill="1">
      <alignment vertical="center"/>
    </xf>
    <xf numFmtId="0" fontId="49" fillId="44" borderId="0" xfId="452" applyFont="1" applyFill="1">
      <alignment vertical="center"/>
    </xf>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3" fillId="40" borderId="0" xfId="457" applyFont="1" applyFill="1">
      <alignment vertical="center"/>
    </xf>
    <xf numFmtId="0" fontId="49" fillId="0" borderId="11" xfId="0" applyFont="1" applyBorder="1" applyAlignment="1">
      <alignment horizontal="left"/>
    </xf>
    <xf numFmtId="0" fontId="54" fillId="0" borderId="0" xfId="422" applyFont="1" applyAlignment="1">
      <alignment vertical="center"/>
    </xf>
    <xf numFmtId="0" fontId="54" fillId="37" borderId="0" xfId="422" applyFont="1" applyFill="1" applyAlignment="1">
      <alignment vertical="center"/>
    </xf>
    <xf numFmtId="0" fontId="54" fillId="36" borderId="0" xfId="422" applyFont="1" applyFill="1" applyAlignment="1">
      <alignment vertical="center"/>
    </xf>
    <xf numFmtId="0" fontId="54" fillId="35" borderId="0" xfId="422" applyFont="1" applyFill="1" applyAlignment="1">
      <alignment vertical="center"/>
    </xf>
    <xf numFmtId="0" fontId="54" fillId="33" borderId="0" xfId="422" applyFont="1" applyFill="1" applyAlignment="1">
      <alignment vertical="center"/>
    </xf>
    <xf numFmtId="0" fontId="54" fillId="34" borderId="0" xfId="422" applyFont="1" applyFill="1" applyAlignment="1">
      <alignment vertical="center"/>
    </xf>
    <xf numFmtId="0" fontId="58" fillId="35" borderId="0" xfId="422" applyFont="1" applyFill="1">
      <alignment vertical="center"/>
    </xf>
    <xf numFmtId="176" fontId="59" fillId="0" borderId="10" xfId="452" applyNumberFormat="1" applyFont="1" applyBorder="1" applyAlignment="1">
      <alignment horizontal="center" vertical="center"/>
    </xf>
    <xf numFmtId="0" fontId="55" fillId="45" borderId="0" xfId="422" applyFont="1" applyFill="1">
      <alignment vertical="center"/>
    </xf>
    <xf numFmtId="0" fontId="54" fillId="45" borderId="0" xfId="422" applyFont="1" applyFill="1">
      <alignment vertical="center"/>
    </xf>
    <xf numFmtId="0" fontId="54" fillId="45" borderId="0" xfId="422" applyFont="1" applyFill="1" applyAlignment="1">
      <alignment vertical="center"/>
    </xf>
    <xf numFmtId="0" fontId="55" fillId="46" borderId="0" xfId="422" applyFont="1" applyFill="1">
      <alignment vertical="center"/>
    </xf>
    <xf numFmtId="0" fontId="54" fillId="46" borderId="0" xfId="422" applyFont="1" applyFill="1">
      <alignment vertical="center"/>
    </xf>
    <xf numFmtId="0" fontId="58" fillId="46" borderId="0" xfId="422" applyFont="1" applyFill="1">
      <alignment vertical="center"/>
    </xf>
    <xf numFmtId="0" fontId="54" fillId="46" borderId="0" xfId="422" applyFont="1" applyFill="1" applyAlignment="1">
      <alignment vertical="center"/>
    </xf>
    <xf numFmtId="0" fontId="58" fillId="46" borderId="0" xfId="422" applyFont="1" applyFill="1" applyAlignment="1">
      <alignment vertical="center"/>
    </xf>
    <xf numFmtId="0" fontId="49" fillId="0" borderId="10" xfId="452" applyFont="1" applyBorder="1" applyAlignment="1">
      <alignment horizontal="center" vertical="center"/>
    </xf>
    <xf numFmtId="0" fontId="53" fillId="40" borderId="0" xfId="466" applyFont="1" applyFill="1">
      <alignment vertical="center"/>
    </xf>
    <xf numFmtId="0" fontId="49" fillId="40" borderId="0" xfId="466" applyFont="1" applyFill="1">
      <alignment vertical="center"/>
    </xf>
    <xf numFmtId="0" fontId="52" fillId="40" borderId="0" xfId="466" applyFont="1" applyFill="1" applyAlignment="1">
      <alignment horizontal="right" vertical="center"/>
    </xf>
    <xf numFmtId="0" fontId="53" fillId="40" borderId="0" xfId="466" applyFont="1" applyFill="1" applyAlignment="1">
      <alignment horizontal="left" vertical="center"/>
    </xf>
    <xf numFmtId="14" fontId="53" fillId="40" borderId="0" xfId="466" applyNumberFormat="1" applyFont="1" applyFill="1" applyAlignment="1">
      <alignment vertical="center"/>
    </xf>
    <xf numFmtId="49" fontId="53" fillId="40" borderId="0" xfId="466" quotePrefix="1" applyNumberFormat="1" applyFont="1" applyFill="1" applyAlignment="1">
      <alignment vertical="center"/>
    </xf>
    <xf numFmtId="49" fontId="52" fillId="40" borderId="0" xfId="466" applyNumberFormat="1" applyFont="1" applyFill="1" applyAlignment="1">
      <alignment vertical="center"/>
    </xf>
    <xf numFmtId="0" fontId="51"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3" fillId="41" borderId="0" xfId="466" applyFont="1" applyFill="1">
      <alignment vertical="center"/>
    </xf>
    <xf numFmtId="0" fontId="52" fillId="41" borderId="0" xfId="466" applyFont="1" applyFill="1">
      <alignment vertical="center"/>
    </xf>
    <xf numFmtId="0" fontId="52" fillId="41" borderId="0" xfId="466" applyFont="1" applyFill="1" applyAlignment="1">
      <alignment horizontal="right" vertical="center"/>
    </xf>
    <xf numFmtId="0" fontId="5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5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3" fillId="43" borderId="0" xfId="466" applyFont="1" applyFill="1">
      <alignment vertical="center"/>
    </xf>
    <xf numFmtId="0" fontId="52" fillId="43" borderId="0" xfId="466" applyFont="1" applyFill="1">
      <alignment vertical="center"/>
    </xf>
    <xf numFmtId="0" fontId="52" fillId="43"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52" fillId="40" borderId="0" xfId="466" applyFont="1" applyFill="1" applyAlignment="1">
      <alignment horizontal="center" vertical="center"/>
    </xf>
    <xf numFmtId="0" fontId="60" fillId="34" borderId="0" xfId="422" applyFont="1" applyFill="1">
      <alignment vertical="center"/>
    </xf>
    <xf numFmtId="0" fontId="60"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52" fillId="47" borderId="0" xfId="452" applyFont="1" applyFill="1">
      <alignment vertical="center"/>
    </xf>
    <xf numFmtId="0" fontId="49" fillId="47" borderId="0" xfId="452" applyFont="1" applyFill="1">
      <alignment vertical="center"/>
    </xf>
    <xf numFmtId="0" fontId="57" fillId="48" borderId="0" xfId="466" applyFont="1" applyFill="1">
      <alignment vertical="center"/>
    </xf>
    <xf numFmtId="0" fontId="49" fillId="48" borderId="0" xfId="466" applyFont="1" applyFill="1">
      <alignment vertical="center"/>
    </xf>
    <xf numFmtId="0" fontId="49" fillId="0" borderId="10" xfId="0" applyFont="1" applyBorder="1" applyAlignment="1">
      <alignment horizontal="center"/>
    </xf>
    <xf numFmtId="0" fontId="58" fillId="34" borderId="0" xfId="422" applyFont="1" applyFill="1">
      <alignment vertical="center"/>
    </xf>
    <xf numFmtId="0" fontId="58" fillId="33" borderId="0" xfId="422" applyFont="1" applyFill="1">
      <alignment vertical="center"/>
    </xf>
    <xf numFmtId="0" fontId="58" fillId="37" borderId="0" xfId="422" applyFont="1" applyFill="1">
      <alignment vertical="center"/>
    </xf>
    <xf numFmtId="0" fontId="53" fillId="39" borderId="0" xfId="452" applyFont="1" applyFill="1">
      <alignment vertical="center"/>
    </xf>
    <xf numFmtId="0" fontId="53" fillId="38" borderId="0" xfId="45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raw)Template'!#REF!,'(raw)Template'!#REF!,'(raw)Template'!#REF!,'(raw)Template'!#REF!,'(raw)Template'!#REF!,'(raw)Template'!#REF!,'(raw)Template'!#REF!,'(raw)Template'!#REF!,'(raw)Template'!#REF!,'(raw)Template'!#REF!,'(raw)Template'!#REF!,'(raw)Template'!#REF!,'(raw)Template'!#REF!,'(raw)Template'!#REF!,'(raw)Template'!#REF!,'(raw)Template'!#REF!)</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raw)Template'!$C$48:$Z$48,'(raw)Template'!$C$49:$Z$49,'(raw)Template'!$C$50:$Z$50,'(raw)Template'!$C$51:$Z$51,'(raw)Template'!$C$52:$Z$52,'(raw)Template'!$C$53:$Z$53,'(raw)Template'!$C$54:$Z$54,'(raw)Template'!$C$55:$Z$55,'(raw)Template'!$C$56:$Z$56,'(raw)Template'!$C$57:$Z$57,'(raw)Template'!$C$58:$Z$58,'(raw)Template'!$C$59:$Z$59,'(raw)Template'!$C$60:$Z$60,'(raw)Template'!$C$61:$Z$61,'(raw)Template'!$C$62:$Z$62,'(raw)Template'!$C$63:$Z$63)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197061632"/>
        <c:axId val="197153536"/>
      </c:scatterChart>
      <c:valAx>
        <c:axId val="197061632"/>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153536"/>
        <c:crosses val="autoZero"/>
        <c:crossBetween val="midCat"/>
      </c:valAx>
      <c:valAx>
        <c:axId val="197153536"/>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0616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68</xdr:row>
      <xdr:rowOff>0</xdr:rowOff>
    </xdr:from>
    <xdr:to>
      <xdr:col>26</xdr:col>
      <xdr:colOff>0</xdr:colOff>
      <xdr:row>91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15"/>
  <sheetViews>
    <sheetView tabSelected="1" zoomScale="85" zoomScaleNormal="85" workbookViewId="0"/>
  </sheetViews>
  <sheetFormatPr defaultColWidth="5.5" defaultRowHeight="11.25" customHeight="1"/>
  <cols>
    <col min="1" max="16384" width="5.5" style="105"/>
  </cols>
  <sheetData>
    <row r="1" spans="1:26" s="95" customFormat="1" ht="11.25" customHeight="1">
      <c r="A1" s="94" t="str">
        <f>T1.PLATE()</f>
        <v>Template</v>
      </c>
      <c r="B1" s="94"/>
      <c r="D1" s="96" t="s">
        <v>3209</v>
      </c>
      <c r="E1" s="97">
        <v>384</v>
      </c>
      <c r="F1" s="98"/>
      <c r="G1" s="96" t="s">
        <v>3210</v>
      </c>
      <c r="H1" s="98" t="s">
        <v>3292</v>
      </c>
      <c r="I1" s="94"/>
      <c r="J1" s="96" t="s">
        <v>3211</v>
      </c>
      <c r="K1" s="99" t="s">
        <v>3037</v>
      </c>
      <c r="L1" s="100"/>
      <c r="N1" s="124" t="s">
        <v>3247</v>
      </c>
      <c r="O1" s="97" t="str">
        <f>T1.System("version")</f>
        <v>ver. 1.1.0</v>
      </c>
    </row>
    <row r="2" spans="1:26" ht="11.25" customHeight="1">
      <c r="A2" s="101"/>
      <c r="B2" s="102"/>
      <c r="C2" s="103"/>
      <c r="D2" s="103"/>
      <c r="E2" s="104"/>
      <c r="F2" s="104"/>
      <c r="G2" s="104"/>
      <c r="H2" s="104"/>
      <c r="I2" s="103"/>
      <c r="J2" s="103"/>
      <c r="K2" s="103"/>
      <c r="L2" s="103"/>
    </row>
    <row r="3" spans="1:26" ht="11.25" customHeight="1">
      <c r="A3" s="101"/>
      <c r="B3" s="102" t="s">
        <v>3212</v>
      </c>
      <c r="C3" s="104" t="str">
        <f>T1.PLATEREADER_INFO("assay")</f>
        <v>ADP-IMA</v>
      </c>
      <c r="D3" s="103"/>
      <c r="E3" s="103"/>
      <c r="F3" s="103"/>
      <c r="G3" s="106" t="s">
        <v>3213</v>
      </c>
      <c r="H3" s="103" t="str">
        <f>T1.PLATEREADER_INFO("date")</f>
        <v>2015/06/18</v>
      </c>
      <c r="I3" s="103"/>
      <c r="J3" s="103"/>
      <c r="K3" s="106" t="s">
        <v>3214</v>
      </c>
      <c r="L3" s="103" t="str">
        <f>T1.PLATEREADER_INFO("time")</f>
        <v>15:47</v>
      </c>
    </row>
    <row r="4" spans="1:26" ht="11.25" customHeight="1">
      <c r="B4" s="103"/>
      <c r="C4" s="103"/>
      <c r="D4" s="103"/>
      <c r="E4" s="103"/>
      <c r="F4" s="103"/>
      <c r="G4" s="103"/>
      <c r="H4" s="103"/>
      <c r="I4" s="103"/>
      <c r="J4" s="103"/>
      <c r="K4" s="103"/>
      <c r="L4" s="102"/>
    </row>
    <row r="5" spans="1:26" s="108" customFormat="1" ht="11.25" customHeight="1">
      <c r="A5" s="107" t="s">
        <v>3231</v>
      </c>
      <c r="H5" s="109"/>
    </row>
    <row r="6" spans="1:26" s="112" customFormat="1" ht="11.25" customHeight="1">
      <c r="A6" s="110"/>
      <c r="B6" s="110"/>
      <c r="H6" s="111"/>
      <c r="O6" s="105"/>
    </row>
    <row r="7" spans="1:26" ht="11.25" customHeight="1">
      <c r="B7" s="113"/>
      <c r="C7" s="113">
        <v>1</v>
      </c>
      <c r="D7" s="113">
        <v>2</v>
      </c>
      <c r="E7" s="113">
        <v>3</v>
      </c>
      <c r="F7" s="113">
        <v>4</v>
      </c>
      <c r="G7" s="113">
        <v>5</v>
      </c>
      <c r="H7" s="113">
        <v>6</v>
      </c>
      <c r="I7" s="113">
        <v>7</v>
      </c>
      <c r="J7" s="113">
        <v>8</v>
      </c>
      <c r="K7" s="113">
        <v>9</v>
      </c>
      <c r="L7" s="113">
        <v>10</v>
      </c>
      <c r="M7" s="113">
        <v>11</v>
      </c>
      <c r="N7" s="113">
        <v>12</v>
      </c>
      <c r="O7" s="113">
        <v>13</v>
      </c>
      <c r="P7" s="113">
        <v>14</v>
      </c>
      <c r="Q7" s="113">
        <v>15</v>
      </c>
      <c r="R7" s="113">
        <v>16</v>
      </c>
      <c r="S7" s="113">
        <v>17</v>
      </c>
      <c r="T7" s="113">
        <v>18</v>
      </c>
      <c r="U7" s="113">
        <v>19</v>
      </c>
      <c r="V7" s="113">
        <v>20</v>
      </c>
      <c r="W7" s="113">
        <v>21</v>
      </c>
      <c r="X7" s="113">
        <v>22</v>
      </c>
      <c r="Y7" s="113">
        <v>23</v>
      </c>
      <c r="Z7" s="113">
        <v>24</v>
      </c>
    </row>
    <row r="8" spans="1:26" ht="11.25" customHeight="1">
      <c r="B8" s="113" t="s">
        <v>3215</v>
      </c>
      <c r="C8" s="114" t="s">
        <v>3361</v>
      </c>
      <c r="D8" s="114" t="s">
        <v>3365</v>
      </c>
      <c r="E8" s="114" t="s">
        <v>3360</v>
      </c>
      <c r="F8" s="114" t="s">
        <v>3233</v>
      </c>
      <c r="G8" s="114" t="s">
        <v>443</v>
      </c>
      <c r="H8" s="114" t="s">
        <v>444</v>
      </c>
      <c r="I8" s="114" t="s">
        <v>445</v>
      </c>
      <c r="J8" s="114" t="s">
        <v>446</v>
      </c>
      <c r="K8" s="114" t="s">
        <v>447</v>
      </c>
      <c r="L8" s="114" t="s">
        <v>448</v>
      </c>
      <c r="M8" s="114" t="s">
        <v>449</v>
      </c>
      <c r="N8" s="114" t="s">
        <v>450</v>
      </c>
      <c r="O8" s="114" t="s">
        <v>451</v>
      </c>
      <c r="P8" s="114" t="s">
        <v>452</v>
      </c>
      <c r="Q8" s="114" t="s">
        <v>453</v>
      </c>
      <c r="R8" s="114" t="s">
        <v>747</v>
      </c>
      <c r="S8" s="114" t="s">
        <v>454</v>
      </c>
      <c r="T8" s="114" t="s">
        <v>455</v>
      </c>
      <c r="U8" s="114" t="s">
        <v>456</v>
      </c>
      <c r="V8" s="114" t="s">
        <v>457</v>
      </c>
      <c r="W8" s="114" t="s">
        <v>458</v>
      </c>
      <c r="X8" s="114" t="s">
        <v>459</v>
      </c>
      <c r="Y8" s="114" t="s">
        <v>3366</v>
      </c>
      <c r="Z8" s="114" t="s">
        <v>3232</v>
      </c>
    </row>
    <row r="9" spans="1:26" ht="11.25" customHeight="1">
      <c r="B9" s="113" t="s">
        <v>3216</v>
      </c>
      <c r="C9" s="114" t="s">
        <v>3362</v>
      </c>
      <c r="D9" s="114" t="s">
        <v>3365</v>
      </c>
      <c r="E9" s="114" t="s">
        <v>3234</v>
      </c>
      <c r="F9" s="114" t="s">
        <v>3235</v>
      </c>
      <c r="G9" s="114" t="s">
        <v>460</v>
      </c>
      <c r="H9" s="114" t="s">
        <v>461</v>
      </c>
      <c r="I9" s="114" t="s">
        <v>462</v>
      </c>
      <c r="J9" s="114" t="s">
        <v>463</v>
      </c>
      <c r="K9" s="114" t="s">
        <v>464</v>
      </c>
      <c r="L9" s="114" t="s">
        <v>465</v>
      </c>
      <c r="M9" s="114" t="s">
        <v>466</v>
      </c>
      <c r="N9" s="114" t="s">
        <v>467</v>
      </c>
      <c r="O9" s="114" t="s">
        <v>468</v>
      </c>
      <c r="P9" s="114" t="s">
        <v>469</v>
      </c>
      <c r="Q9" s="114" t="s">
        <v>470</v>
      </c>
      <c r="R9" s="114" t="s">
        <v>471</v>
      </c>
      <c r="S9" s="114" t="s">
        <v>472</v>
      </c>
      <c r="T9" s="114" t="s">
        <v>473</v>
      </c>
      <c r="U9" s="114" t="s">
        <v>474</v>
      </c>
      <c r="V9" s="114" t="s">
        <v>475</v>
      </c>
      <c r="W9" s="114" t="s">
        <v>476</v>
      </c>
      <c r="X9" s="114" t="s">
        <v>477</v>
      </c>
      <c r="Y9" s="114" t="s">
        <v>3366</v>
      </c>
      <c r="Z9" s="114" t="s">
        <v>3232</v>
      </c>
    </row>
    <row r="10" spans="1:26" ht="11.25" customHeight="1">
      <c r="B10" s="113" t="s">
        <v>3217</v>
      </c>
      <c r="C10" s="114" t="s">
        <v>3363</v>
      </c>
      <c r="D10" s="114" t="s">
        <v>3365</v>
      </c>
      <c r="E10" s="114" t="s">
        <v>434</v>
      </c>
      <c r="F10" s="114" t="s">
        <v>478</v>
      </c>
      <c r="G10" s="114" t="s">
        <v>479</v>
      </c>
      <c r="H10" s="114" t="s">
        <v>480</v>
      </c>
      <c r="I10" s="114" t="s">
        <v>481</v>
      </c>
      <c r="J10" s="114" t="s">
        <v>482</v>
      </c>
      <c r="K10" s="114" t="s">
        <v>483</v>
      </c>
      <c r="L10" s="114" t="s">
        <v>484</v>
      </c>
      <c r="M10" s="114" t="s">
        <v>485</v>
      </c>
      <c r="N10" s="114" t="s">
        <v>486</v>
      </c>
      <c r="O10" s="114" t="s">
        <v>487</v>
      </c>
      <c r="P10" s="114" t="s">
        <v>488</v>
      </c>
      <c r="Q10" s="114" t="s">
        <v>489</v>
      </c>
      <c r="R10" s="114" t="s">
        <v>490</v>
      </c>
      <c r="S10" s="114" t="s">
        <v>491</v>
      </c>
      <c r="T10" s="114" t="s">
        <v>492</v>
      </c>
      <c r="U10" s="114" t="s">
        <v>493</v>
      </c>
      <c r="V10" s="114" t="s">
        <v>494</v>
      </c>
      <c r="W10" s="114" t="s">
        <v>495</v>
      </c>
      <c r="X10" s="114" t="s">
        <v>496</v>
      </c>
      <c r="Y10" s="114" t="s">
        <v>3366</v>
      </c>
      <c r="Z10" s="114" t="s">
        <v>3232</v>
      </c>
    </row>
    <row r="11" spans="1:26" ht="11.25" customHeight="1">
      <c r="B11" s="113" t="s">
        <v>3218</v>
      </c>
      <c r="C11" s="114" t="s">
        <v>3232</v>
      </c>
      <c r="D11" s="114" t="s">
        <v>3365</v>
      </c>
      <c r="E11" s="114" t="s">
        <v>435</v>
      </c>
      <c r="F11" s="114" t="s">
        <v>497</v>
      </c>
      <c r="G11" s="114" t="s">
        <v>498</v>
      </c>
      <c r="H11" s="114" t="s">
        <v>499</v>
      </c>
      <c r="I11" s="114" t="s">
        <v>500</v>
      </c>
      <c r="J11" s="114" t="s">
        <v>501</v>
      </c>
      <c r="K11" s="114" t="s">
        <v>502</v>
      </c>
      <c r="L11" s="114" t="s">
        <v>503</v>
      </c>
      <c r="M11" s="114" t="s">
        <v>504</v>
      </c>
      <c r="N11" s="114" t="s">
        <v>505</v>
      </c>
      <c r="O11" s="114" t="s">
        <v>506</v>
      </c>
      <c r="P11" s="114" t="s">
        <v>507</v>
      </c>
      <c r="Q11" s="114" t="s">
        <v>508</v>
      </c>
      <c r="R11" s="114" t="s">
        <v>509</v>
      </c>
      <c r="S11" s="114" t="s">
        <v>510</v>
      </c>
      <c r="T11" s="114" t="s">
        <v>511</v>
      </c>
      <c r="U11" s="114" t="s">
        <v>512</v>
      </c>
      <c r="V11" s="114" t="s">
        <v>513</v>
      </c>
      <c r="W11" s="114" t="s">
        <v>514</v>
      </c>
      <c r="X11" s="114" t="s">
        <v>515</v>
      </c>
      <c r="Y11" s="114" t="s">
        <v>3366</v>
      </c>
      <c r="Z11" s="114" t="s">
        <v>3232</v>
      </c>
    </row>
    <row r="12" spans="1:26" ht="11.25" customHeight="1">
      <c r="B12" s="113" t="s">
        <v>3219</v>
      </c>
      <c r="C12" s="114" t="s">
        <v>3363</v>
      </c>
      <c r="D12" s="114" t="s">
        <v>3365</v>
      </c>
      <c r="E12" s="114" t="s">
        <v>436</v>
      </c>
      <c r="F12" s="114" t="s">
        <v>516</v>
      </c>
      <c r="G12" s="114" t="s">
        <v>517</v>
      </c>
      <c r="H12" s="114" t="s">
        <v>518</v>
      </c>
      <c r="I12" s="114" t="s">
        <v>519</v>
      </c>
      <c r="J12" s="114" t="s">
        <v>520</v>
      </c>
      <c r="K12" s="114" t="s">
        <v>521</v>
      </c>
      <c r="L12" s="114" t="s">
        <v>522</v>
      </c>
      <c r="M12" s="114" t="s">
        <v>523</v>
      </c>
      <c r="N12" s="114" t="s">
        <v>524</v>
      </c>
      <c r="O12" s="114" t="s">
        <v>525</v>
      </c>
      <c r="P12" s="114" t="s">
        <v>526</v>
      </c>
      <c r="Q12" s="114" t="s">
        <v>527</v>
      </c>
      <c r="R12" s="114" t="s">
        <v>528</v>
      </c>
      <c r="S12" s="114" t="s">
        <v>529</v>
      </c>
      <c r="T12" s="114" t="s">
        <v>530</v>
      </c>
      <c r="U12" s="114" t="s">
        <v>531</v>
      </c>
      <c r="V12" s="114" t="s">
        <v>532</v>
      </c>
      <c r="W12" s="114" t="s">
        <v>533</v>
      </c>
      <c r="X12" s="114" t="s">
        <v>534</v>
      </c>
      <c r="Y12" s="114" t="s">
        <v>3366</v>
      </c>
      <c r="Z12" s="114" t="s">
        <v>3232</v>
      </c>
    </row>
    <row r="13" spans="1:26" ht="11.25" customHeight="1">
      <c r="B13" s="113" t="s">
        <v>3220</v>
      </c>
      <c r="C13" s="114" t="s">
        <v>3232</v>
      </c>
      <c r="D13" s="114" t="s">
        <v>3365</v>
      </c>
      <c r="E13" s="114" t="s">
        <v>437</v>
      </c>
      <c r="F13" s="114" t="s">
        <v>535</v>
      </c>
      <c r="G13" s="114" t="s">
        <v>536</v>
      </c>
      <c r="H13" s="114" t="s">
        <v>537</v>
      </c>
      <c r="I13" s="114" t="s">
        <v>538</v>
      </c>
      <c r="J13" s="114" t="s">
        <v>539</v>
      </c>
      <c r="K13" s="114" t="s">
        <v>540</v>
      </c>
      <c r="L13" s="114" t="s">
        <v>541</v>
      </c>
      <c r="M13" s="114" t="s">
        <v>542</v>
      </c>
      <c r="N13" s="114" t="s">
        <v>543</v>
      </c>
      <c r="O13" s="114" t="s">
        <v>544</v>
      </c>
      <c r="P13" s="114" t="s">
        <v>545</v>
      </c>
      <c r="Q13" s="114" t="s">
        <v>546</v>
      </c>
      <c r="R13" s="114" t="s">
        <v>547</v>
      </c>
      <c r="S13" s="114" t="s">
        <v>548</v>
      </c>
      <c r="T13" s="114" t="s">
        <v>549</v>
      </c>
      <c r="U13" s="114" t="s">
        <v>550</v>
      </c>
      <c r="V13" s="114" t="s">
        <v>551</v>
      </c>
      <c r="W13" s="114" t="s">
        <v>552</v>
      </c>
      <c r="X13" s="114" t="s">
        <v>553</v>
      </c>
      <c r="Y13" s="114" t="s">
        <v>3366</v>
      </c>
      <c r="Z13" s="114" t="s">
        <v>3232</v>
      </c>
    </row>
    <row r="14" spans="1:26" ht="11.25" customHeight="1">
      <c r="B14" s="113" t="s">
        <v>3221</v>
      </c>
      <c r="C14" s="114" t="s">
        <v>3232</v>
      </c>
      <c r="D14" s="114" t="s">
        <v>3365</v>
      </c>
      <c r="E14" s="114" t="s">
        <v>438</v>
      </c>
      <c r="F14" s="114" t="s">
        <v>554</v>
      </c>
      <c r="G14" s="114" t="s">
        <v>555</v>
      </c>
      <c r="H14" s="114" t="s">
        <v>556</v>
      </c>
      <c r="I14" s="114" t="s">
        <v>557</v>
      </c>
      <c r="J14" s="114" t="s">
        <v>558</v>
      </c>
      <c r="K14" s="114" t="s">
        <v>559</v>
      </c>
      <c r="L14" s="114" t="s">
        <v>560</v>
      </c>
      <c r="M14" s="114" t="s">
        <v>561</v>
      </c>
      <c r="N14" s="114" t="s">
        <v>562</v>
      </c>
      <c r="O14" s="114" t="s">
        <v>563</v>
      </c>
      <c r="P14" s="114" t="s">
        <v>564</v>
      </c>
      <c r="Q14" s="114" t="s">
        <v>565</v>
      </c>
      <c r="R14" s="114" t="s">
        <v>566</v>
      </c>
      <c r="S14" s="114" t="s">
        <v>567</v>
      </c>
      <c r="T14" s="114" t="s">
        <v>568</v>
      </c>
      <c r="U14" s="114" t="s">
        <v>569</v>
      </c>
      <c r="V14" s="114" t="s">
        <v>570</v>
      </c>
      <c r="W14" s="114" t="s">
        <v>571</v>
      </c>
      <c r="X14" s="114" t="s">
        <v>572</v>
      </c>
      <c r="Y14" s="114" t="s">
        <v>3366</v>
      </c>
      <c r="Z14" s="114" t="s">
        <v>3232</v>
      </c>
    </row>
    <row r="15" spans="1:26" ht="11.25" customHeight="1">
      <c r="B15" s="113" t="s">
        <v>3222</v>
      </c>
      <c r="C15" s="114" t="s">
        <v>3232</v>
      </c>
      <c r="D15" s="114" t="s">
        <v>3365</v>
      </c>
      <c r="E15" s="114" t="s">
        <v>439</v>
      </c>
      <c r="F15" s="114" t="s">
        <v>573</v>
      </c>
      <c r="G15" s="114" t="s">
        <v>574</v>
      </c>
      <c r="H15" s="114" t="s">
        <v>575</v>
      </c>
      <c r="I15" s="114" t="s">
        <v>576</v>
      </c>
      <c r="J15" s="114" t="s">
        <v>577</v>
      </c>
      <c r="K15" s="114" t="s">
        <v>578</v>
      </c>
      <c r="L15" s="114" t="s">
        <v>579</v>
      </c>
      <c r="M15" s="114" t="s">
        <v>580</v>
      </c>
      <c r="N15" s="114" t="s">
        <v>748</v>
      </c>
      <c r="O15" s="114" t="s">
        <v>581</v>
      </c>
      <c r="P15" s="114" t="s">
        <v>582</v>
      </c>
      <c r="Q15" s="114" t="s">
        <v>583</v>
      </c>
      <c r="R15" s="114" t="s">
        <v>584</v>
      </c>
      <c r="S15" s="114" t="s">
        <v>585</v>
      </c>
      <c r="T15" s="114" t="s">
        <v>586</v>
      </c>
      <c r="U15" s="114" t="s">
        <v>587</v>
      </c>
      <c r="V15" s="114" t="s">
        <v>588</v>
      </c>
      <c r="W15" s="114" t="s">
        <v>589</v>
      </c>
      <c r="X15" s="114" t="s">
        <v>590</v>
      </c>
      <c r="Y15" s="114" t="s">
        <v>3366</v>
      </c>
      <c r="Z15" s="114" t="s">
        <v>3232</v>
      </c>
    </row>
    <row r="16" spans="1:26" ht="11.25" customHeight="1">
      <c r="B16" s="113" t="s">
        <v>3223</v>
      </c>
      <c r="C16" s="114" t="s">
        <v>3232</v>
      </c>
      <c r="D16" s="114" t="s">
        <v>3365</v>
      </c>
      <c r="E16" s="114" t="s">
        <v>440</v>
      </c>
      <c r="F16" s="114" t="s">
        <v>749</v>
      </c>
      <c r="G16" s="114" t="s">
        <v>591</v>
      </c>
      <c r="H16" s="114" t="s">
        <v>592</v>
      </c>
      <c r="I16" s="114" t="s">
        <v>593</v>
      </c>
      <c r="J16" s="114" t="s">
        <v>594</v>
      </c>
      <c r="K16" s="114" t="s">
        <v>595</v>
      </c>
      <c r="L16" s="114" t="s">
        <v>596</v>
      </c>
      <c r="M16" s="114" t="s">
        <v>597</v>
      </c>
      <c r="N16" s="114" t="s">
        <v>598</v>
      </c>
      <c r="O16" s="114" t="s">
        <v>599</v>
      </c>
      <c r="P16" s="114" t="s">
        <v>600</v>
      </c>
      <c r="Q16" s="114" t="s">
        <v>601</v>
      </c>
      <c r="R16" s="114" t="s">
        <v>602</v>
      </c>
      <c r="S16" s="114" t="s">
        <v>603</v>
      </c>
      <c r="T16" s="114" t="s">
        <v>604</v>
      </c>
      <c r="U16" s="114" t="s">
        <v>605</v>
      </c>
      <c r="V16" s="114" t="s">
        <v>606</v>
      </c>
      <c r="W16" s="114" t="s">
        <v>607</v>
      </c>
      <c r="X16" s="114" t="s">
        <v>608</v>
      </c>
      <c r="Y16" s="114" t="s">
        <v>3366</v>
      </c>
      <c r="Z16" s="114" t="s">
        <v>3232</v>
      </c>
    </row>
    <row r="17" spans="1:26" ht="11.25" customHeight="1">
      <c r="B17" s="113" t="s">
        <v>3224</v>
      </c>
      <c r="C17" s="114" t="s">
        <v>3232</v>
      </c>
      <c r="D17" s="114" t="s">
        <v>3365</v>
      </c>
      <c r="E17" s="114" t="s">
        <v>2</v>
      </c>
      <c r="F17" s="114" t="s">
        <v>609</v>
      </c>
      <c r="G17" s="114" t="s">
        <v>610</v>
      </c>
      <c r="H17" s="114" t="s">
        <v>611</v>
      </c>
      <c r="I17" s="114" t="s">
        <v>612</v>
      </c>
      <c r="J17" s="114" t="s">
        <v>613</v>
      </c>
      <c r="K17" s="114" t="s">
        <v>614</v>
      </c>
      <c r="L17" s="114" t="s">
        <v>615</v>
      </c>
      <c r="M17" s="114" t="s">
        <v>616</v>
      </c>
      <c r="N17" s="114" t="s">
        <v>617</v>
      </c>
      <c r="O17" s="114" t="s">
        <v>618</v>
      </c>
      <c r="P17" s="114" t="s">
        <v>619</v>
      </c>
      <c r="Q17" s="114" t="s">
        <v>620</v>
      </c>
      <c r="R17" s="114" t="s">
        <v>621</v>
      </c>
      <c r="S17" s="114" t="s">
        <v>622</v>
      </c>
      <c r="T17" s="114" t="s">
        <v>623</v>
      </c>
      <c r="U17" s="114" t="s">
        <v>624</v>
      </c>
      <c r="V17" s="114" t="s">
        <v>625</v>
      </c>
      <c r="W17" s="114" t="s">
        <v>626</v>
      </c>
      <c r="X17" s="114" t="s">
        <v>627</v>
      </c>
      <c r="Y17" s="114" t="s">
        <v>3366</v>
      </c>
      <c r="Z17" s="114" t="s">
        <v>3232</v>
      </c>
    </row>
    <row r="18" spans="1:26" ht="11.25" customHeight="1">
      <c r="B18" s="113" t="s">
        <v>3225</v>
      </c>
      <c r="C18" s="114" t="s">
        <v>3232</v>
      </c>
      <c r="D18" s="114" t="s">
        <v>3365</v>
      </c>
      <c r="E18" s="114" t="s">
        <v>4</v>
      </c>
      <c r="F18" s="114" t="s">
        <v>628</v>
      </c>
      <c r="G18" s="114" t="s">
        <v>629</v>
      </c>
      <c r="H18" s="114" t="s">
        <v>630</v>
      </c>
      <c r="I18" s="114" t="s">
        <v>631</v>
      </c>
      <c r="J18" s="114" t="s">
        <v>632</v>
      </c>
      <c r="K18" s="114" t="s">
        <v>633</v>
      </c>
      <c r="L18" s="114" t="s">
        <v>634</v>
      </c>
      <c r="M18" s="114" t="s">
        <v>635</v>
      </c>
      <c r="N18" s="114" t="s">
        <v>636</v>
      </c>
      <c r="O18" s="114" t="s">
        <v>637</v>
      </c>
      <c r="P18" s="114" t="s">
        <v>638</v>
      </c>
      <c r="Q18" s="114" t="s">
        <v>639</v>
      </c>
      <c r="R18" s="114" t="s">
        <v>640</v>
      </c>
      <c r="S18" s="114" t="s">
        <v>641</v>
      </c>
      <c r="T18" s="114" t="s">
        <v>642</v>
      </c>
      <c r="U18" s="114" t="s">
        <v>643</v>
      </c>
      <c r="V18" s="114" t="s">
        <v>644</v>
      </c>
      <c r="W18" s="114" t="s">
        <v>645</v>
      </c>
      <c r="X18" s="114" t="s">
        <v>646</v>
      </c>
      <c r="Y18" s="114" t="s">
        <v>3366</v>
      </c>
      <c r="Z18" s="114" t="s">
        <v>3232</v>
      </c>
    </row>
    <row r="19" spans="1:26" ht="11.25" customHeight="1">
      <c r="B19" s="113" t="s">
        <v>3226</v>
      </c>
      <c r="C19" s="114" t="s">
        <v>3232</v>
      </c>
      <c r="D19" s="114" t="s">
        <v>3365</v>
      </c>
      <c r="E19" s="114" t="s">
        <v>6</v>
      </c>
      <c r="F19" s="114" t="s">
        <v>647</v>
      </c>
      <c r="G19" s="114" t="s">
        <v>648</v>
      </c>
      <c r="H19" s="114" t="s">
        <v>649</v>
      </c>
      <c r="I19" s="114" t="s">
        <v>650</v>
      </c>
      <c r="J19" s="114" t="s">
        <v>651</v>
      </c>
      <c r="K19" s="114" t="s">
        <v>652</v>
      </c>
      <c r="L19" s="114" t="s">
        <v>750</v>
      </c>
      <c r="M19" s="114" t="s">
        <v>653</v>
      </c>
      <c r="N19" s="114" t="s">
        <v>654</v>
      </c>
      <c r="O19" s="114" t="s">
        <v>655</v>
      </c>
      <c r="P19" s="114" t="s">
        <v>656</v>
      </c>
      <c r="Q19" s="114" t="s">
        <v>657</v>
      </c>
      <c r="R19" s="114" t="s">
        <v>658</v>
      </c>
      <c r="S19" s="114" t="s">
        <v>659</v>
      </c>
      <c r="T19" s="114" t="s">
        <v>660</v>
      </c>
      <c r="U19" s="114" t="s">
        <v>661</v>
      </c>
      <c r="V19" s="114" t="s">
        <v>662</v>
      </c>
      <c r="W19" s="114" t="s">
        <v>663</v>
      </c>
      <c r="X19" s="114" t="s">
        <v>664</v>
      </c>
      <c r="Y19" s="114" t="s">
        <v>3366</v>
      </c>
      <c r="Z19" s="114" t="s">
        <v>3232</v>
      </c>
    </row>
    <row r="20" spans="1:26" ht="11.25" customHeight="1">
      <c r="B20" s="113" t="s">
        <v>3227</v>
      </c>
      <c r="C20" s="114" t="s">
        <v>3232</v>
      </c>
      <c r="D20" s="114" t="s">
        <v>3365</v>
      </c>
      <c r="E20" s="114" t="s">
        <v>1</v>
      </c>
      <c r="F20" s="114" t="s">
        <v>665</v>
      </c>
      <c r="G20" s="114" t="s">
        <v>666</v>
      </c>
      <c r="H20" s="114" t="s">
        <v>667</v>
      </c>
      <c r="I20" s="114" t="s">
        <v>668</v>
      </c>
      <c r="J20" s="114" t="s">
        <v>669</v>
      </c>
      <c r="K20" s="114" t="s">
        <v>670</v>
      </c>
      <c r="L20" s="114" t="s">
        <v>671</v>
      </c>
      <c r="M20" s="114" t="s">
        <v>672</v>
      </c>
      <c r="N20" s="114" t="s">
        <v>673</v>
      </c>
      <c r="O20" s="114" t="s">
        <v>674</v>
      </c>
      <c r="P20" s="114" t="s">
        <v>675</v>
      </c>
      <c r="Q20" s="114" t="s">
        <v>676</v>
      </c>
      <c r="R20" s="114" t="s">
        <v>677</v>
      </c>
      <c r="S20" s="114" t="s">
        <v>678</v>
      </c>
      <c r="T20" s="114" t="s">
        <v>679</v>
      </c>
      <c r="U20" s="114" t="s">
        <v>680</v>
      </c>
      <c r="V20" s="114" t="s">
        <v>681</v>
      </c>
      <c r="W20" s="114" t="s">
        <v>682</v>
      </c>
      <c r="X20" s="114" t="s">
        <v>683</v>
      </c>
      <c r="Y20" s="114" t="s">
        <v>3366</v>
      </c>
      <c r="Z20" s="114" t="s">
        <v>3232</v>
      </c>
    </row>
    <row r="21" spans="1:26" ht="11.25" customHeight="1">
      <c r="B21" s="113" t="s">
        <v>3228</v>
      </c>
      <c r="C21" s="114" t="s">
        <v>3232</v>
      </c>
      <c r="D21" s="114" t="s">
        <v>3365</v>
      </c>
      <c r="E21" s="114" t="s">
        <v>3</v>
      </c>
      <c r="F21" s="114" t="s">
        <v>684</v>
      </c>
      <c r="G21" s="114" t="s">
        <v>685</v>
      </c>
      <c r="H21" s="114" t="s">
        <v>686</v>
      </c>
      <c r="I21" s="114" t="s">
        <v>687</v>
      </c>
      <c r="J21" s="114" t="s">
        <v>688</v>
      </c>
      <c r="K21" s="114" t="s">
        <v>689</v>
      </c>
      <c r="L21" s="114" t="s">
        <v>690</v>
      </c>
      <c r="M21" s="114" t="s">
        <v>691</v>
      </c>
      <c r="N21" s="114" t="s">
        <v>692</v>
      </c>
      <c r="O21" s="114" t="s">
        <v>693</v>
      </c>
      <c r="P21" s="114" t="s">
        <v>694</v>
      </c>
      <c r="Q21" s="114" t="s">
        <v>695</v>
      </c>
      <c r="R21" s="114" t="s">
        <v>696</v>
      </c>
      <c r="S21" s="114" t="s">
        <v>697</v>
      </c>
      <c r="T21" s="114" t="s">
        <v>698</v>
      </c>
      <c r="U21" s="114" t="s">
        <v>699</v>
      </c>
      <c r="V21" s="114" t="s">
        <v>700</v>
      </c>
      <c r="W21" s="114" t="s">
        <v>701</v>
      </c>
      <c r="X21" s="114" t="s">
        <v>702</v>
      </c>
      <c r="Y21" s="114" t="s">
        <v>3366</v>
      </c>
      <c r="Z21" s="114" t="s">
        <v>3232</v>
      </c>
    </row>
    <row r="22" spans="1:26" ht="11.25" customHeight="1">
      <c r="B22" s="113" t="s">
        <v>3229</v>
      </c>
      <c r="C22" s="114" t="s">
        <v>3232</v>
      </c>
      <c r="D22" s="114" t="s">
        <v>3365</v>
      </c>
      <c r="E22" s="114" t="s">
        <v>5</v>
      </c>
      <c r="F22" s="114" t="s">
        <v>703</v>
      </c>
      <c r="G22" s="114" t="s">
        <v>704</v>
      </c>
      <c r="H22" s="114" t="s">
        <v>705</v>
      </c>
      <c r="I22" s="114" t="s">
        <v>706</v>
      </c>
      <c r="J22" s="114" t="s">
        <v>707</v>
      </c>
      <c r="K22" s="114" t="s">
        <v>708</v>
      </c>
      <c r="L22" s="114" t="s">
        <v>709</v>
      </c>
      <c r="M22" s="114" t="s">
        <v>710</v>
      </c>
      <c r="N22" s="114" t="s">
        <v>711</v>
      </c>
      <c r="O22" s="114" t="s">
        <v>712</v>
      </c>
      <c r="P22" s="114" t="s">
        <v>713</v>
      </c>
      <c r="Q22" s="114" t="s">
        <v>714</v>
      </c>
      <c r="R22" s="114" t="s">
        <v>715</v>
      </c>
      <c r="S22" s="114" t="s">
        <v>716</v>
      </c>
      <c r="T22" s="114" t="s">
        <v>717</v>
      </c>
      <c r="U22" s="114" t="s">
        <v>718</v>
      </c>
      <c r="V22" s="114" t="s">
        <v>719</v>
      </c>
      <c r="W22" s="114" t="s">
        <v>720</v>
      </c>
      <c r="X22" s="114" t="s">
        <v>721</v>
      </c>
      <c r="Y22" s="114" t="s">
        <v>3366</v>
      </c>
      <c r="Z22" s="114" t="s">
        <v>3232</v>
      </c>
    </row>
    <row r="23" spans="1:26" ht="11.25" customHeight="1">
      <c r="B23" s="113" t="s">
        <v>3230</v>
      </c>
      <c r="C23" s="114" t="s">
        <v>3232</v>
      </c>
      <c r="D23" s="114" t="s">
        <v>3365</v>
      </c>
      <c r="E23" s="114" t="s">
        <v>7</v>
      </c>
      <c r="F23" s="114" t="s">
        <v>722</v>
      </c>
      <c r="G23" s="114" t="s">
        <v>723</v>
      </c>
      <c r="H23" s="114" t="s">
        <v>724</v>
      </c>
      <c r="I23" s="114" t="s">
        <v>725</v>
      </c>
      <c r="J23" s="114" t="s">
        <v>726</v>
      </c>
      <c r="K23" s="114" t="s">
        <v>727</v>
      </c>
      <c r="L23" s="114" t="s">
        <v>728</v>
      </c>
      <c r="M23" s="114" t="s">
        <v>729</v>
      </c>
      <c r="N23" s="114" t="s">
        <v>730</v>
      </c>
      <c r="O23" s="114" t="s">
        <v>731</v>
      </c>
      <c r="P23" s="114" t="s">
        <v>732</v>
      </c>
      <c r="Q23" s="114" t="s">
        <v>733</v>
      </c>
      <c r="R23" s="114" t="s">
        <v>734</v>
      </c>
      <c r="S23" s="114" t="s">
        <v>735</v>
      </c>
      <c r="T23" s="114" t="s">
        <v>736</v>
      </c>
      <c r="U23" s="114" t="s">
        <v>737</v>
      </c>
      <c r="V23" s="114" t="s">
        <v>738</v>
      </c>
      <c r="W23" s="114" t="s">
        <v>739</v>
      </c>
      <c r="X23" s="114" t="s">
        <v>740</v>
      </c>
      <c r="Y23" s="114" t="s">
        <v>3366</v>
      </c>
      <c r="Z23" s="114" t="s">
        <v>3364</v>
      </c>
    </row>
    <row r="25" spans="1:26" s="108" customFormat="1" ht="11.25" customHeight="1">
      <c r="A25" s="107" t="s">
        <v>3236</v>
      </c>
      <c r="H25" s="109"/>
    </row>
    <row r="26" spans="1:26" s="112" customFormat="1" ht="11.25" customHeight="1">
      <c r="A26" s="110"/>
      <c r="B26" s="110"/>
      <c r="H26" s="111"/>
    </row>
    <row r="27" spans="1:26" ht="11.25" customHeight="1">
      <c r="B27" s="113"/>
      <c r="C27" s="113">
        <v>1</v>
      </c>
      <c r="D27" s="113">
        <v>2</v>
      </c>
      <c r="E27" s="113">
        <v>3</v>
      </c>
      <c r="F27" s="113">
        <v>4</v>
      </c>
      <c r="G27" s="113">
        <v>5</v>
      </c>
      <c r="H27" s="113">
        <v>6</v>
      </c>
      <c r="I27" s="113">
        <v>7</v>
      </c>
      <c r="J27" s="113">
        <v>8</v>
      </c>
      <c r="K27" s="113">
        <v>9</v>
      </c>
      <c r="L27" s="113">
        <v>10</v>
      </c>
      <c r="M27" s="113">
        <v>11</v>
      </c>
      <c r="N27" s="113">
        <v>12</v>
      </c>
      <c r="O27" s="113">
        <v>13</v>
      </c>
      <c r="P27" s="113">
        <v>14</v>
      </c>
      <c r="Q27" s="113">
        <v>15</v>
      </c>
      <c r="R27" s="113">
        <v>16</v>
      </c>
      <c r="S27" s="113">
        <v>17</v>
      </c>
      <c r="T27" s="113">
        <v>18</v>
      </c>
      <c r="U27" s="113">
        <v>19</v>
      </c>
      <c r="V27" s="113">
        <v>20</v>
      </c>
      <c r="W27" s="113">
        <v>21</v>
      </c>
      <c r="X27" s="113">
        <v>22</v>
      </c>
      <c r="Y27" s="113">
        <v>23</v>
      </c>
      <c r="Z27" s="113">
        <v>24</v>
      </c>
    </row>
    <row r="28" spans="1:26" ht="11.25" customHeight="1">
      <c r="B28" s="113" t="s">
        <v>3215</v>
      </c>
      <c r="C28" s="114"/>
      <c r="D28" s="114"/>
      <c r="E28" s="114" t="s">
        <v>3237</v>
      </c>
      <c r="F28" s="114" t="s">
        <v>3237</v>
      </c>
      <c r="G28" s="114" t="s">
        <v>3237</v>
      </c>
      <c r="H28" s="114" t="s">
        <v>3237</v>
      </c>
      <c r="I28" s="114" t="s">
        <v>3237</v>
      </c>
      <c r="J28" s="114" t="s">
        <v>3237</v>
      </c>
      <c r="K28" s="114" t="s">
        <v>3237</v>
      </c>
      <c r="L28" s="114" t="s">
        <v>3237</v>
      </c>
      <c r="M28" s="114" t="s">
        <v>3237</v>
      </c>
      <c r="N28" s="114" t="s">
        <v>3237</v>
      </c>
      <c r="O28" s="114" t="s">
        <v>3237</v>
      </c>
      <c r="P28" s="114" t="s">
        <v>3237</v>
      </c>
      <c r="Q28" s="115">
        <v>20</v>
      </c>
      <c r="R28" s="114" t="s">
        <v>3237</v>
      </c>
      <c r="S28" s="114" t="s">
        <v>3237</v>
      </c>
      <c r="T28" s="114" t="s">
        <v>3237</v>
      </c>
      <c r="U28" s="114" t="s">
        <v>3237</v>
      </c>
      <c r="V28" s="114" t="s">
        <v>3237</v>
      </c>
      <c r="W28" s="114" t="s">
        <v>3237</v>
      </c>
      <c r="X28" s="114" t="s">
        <v>3237</v>
      </c>
      <c r="Y28" s="114"/>
      <c r="Z28" s="114"/>
    </row>
    <row r="29" spans="1:26" ht="11.25" customHeight="1">
      <c r="B29" s="113" t="s">
        <v>3216</v>
      </c>
      <c r="C29" s="114"/>
      <c r="D29" s="114"/>
      <c r="E29" s="114" t="s">
        <v>3237</v>
      </c>
      <c r="F29" s="114" t="s">
        <v>3237</v>
      </c>
      <c r="G29" s="114" t="s">
        <v>3237</v>
      </c>
      <c r="H29" s="114" t="s">
        <v>3237</v>
      </c>
      <c r="I29" s="114" t="s">
        <v>3237</v>
      </c>
      <c r="J29" s="114" t="s">
        <v>3237</v>
      </c>
      <c r="K29" s="114" t="s">
        <v>3237</v>
      </c>
      <c r="L29" s="114" t="s">
        <v>3237</v>
      </c>
      <c r="M29" s="114" t="s">
        <v>3237</v>
      </c>
      <c r="N29" s="114" t="s">
        <v>3237</v>
      </c>
      <c r="O29" s="114" t="s">
        <v>3237</v>
      </c>
      <c r="P29" s="114" t="s">
        <v>3237</v>
      </c>
      <c r="Q29" s="114" t="s">
        <v>3237</v>
      </c>
      <c r="R29" s="114" t="s">
        <v>3237</v>
      </c>
      <c r="S29" s="114" t="s">
        <v>3237</v>
      </c>
      <c r="T29" s="114" t="s">
        <v>3237</v>
      </c>
      <c r="U29" s="114" t="s">
        <v>3237</v>
      </c>
      <c r="V29" s="114" t="s">
        <v>3237</v>
      </c>
      <c r="W29" s="114" t="s">
        <v>3237</v>
      </c>
      <c r="X29" s="114" t="s">
        <v>3237</v>
      </c>
      <c r="Y29" s="114"/>
      <c r="Z29" s="114"/>
    </row>
    <row r="30" spans="1:26" ht="11.25" customHeight="1">
      <c r="B30" s="113" t="s">
        <v>3217</v>
      </c>
      <c r="C30" s="114"/>
      <c r="D30" s="114"/>
      <c r="E30" s="114" t="s">
        <v>3237</v>
      </c>
      <c r="F30" s="114" t="s">
        <v>3237</v>
      </c>
      <c r="G30" s="114" t="s">
        <v>3237</v>
      </c>
      <c r="H30" s="114" t="s">
        <v>3237</v>
      </c>
      <c r="I30" s="114" t="s">
        <v>3237</v>
      </c>
      <c r="J30" s="114" t="s">
        <v>3237</v>
      </c>
      <c r="K30" s="114" t="s">
        <v>3237</v>
      </c>
      <c r="L30" s="114" t="s">
        <v>3237</v>
      </c>
      <c r="M30" s="114" t="s">
        <v>3237</v>
      </c>
      <c r="N30" s="114" t="s">
        <v>3237</v>
      </c>
      <c r="O30" s="114" t="s">
        <v>3237</v>
      </c>
      <c r="P30" s="114" t="s">
        <v>3237</v>
      </c>
      <c r="Q30" s="114" t="s">
        <v>3237</v>
      </c>
      <c r="R30" s="114" t="s">
        <v>3237</v>
      </c>
      <c r="S30" s="114" t="s">
        <v>3237</v>
      </c>
      <c r="T30" s="114" t="s">
        <v>3237</v>
      </c>
      <c r="U30" s="114" t="s">
        <v>3237</v>
      </c>
      <c r="V30" s="114" t="s">
        <v>3237</v>
      </c>
      <c r="W30" s="114" t="s">
        <v>3237</v>
      </c>
      <c r="X30" s="114" t="s">
        <v>3237</v>
      </c>
      <c r="Y30" s="114"/>
      <c r="Z30" s="114"/>
    </row>
    <row r="31" spans="1:26" ht="11.25" customHeight="1">
      <c r="B31" s="113" t="s">
        <v>3218</v>
      </c>
      <c r="C31" s="114"/>
      <c r="D31" s="114"/>
      <c r="E31" s="114" t="s">
        <v>3237</v>
      </c>
      <c r="F31" s="114" t="s">
        <v>3237</v>
      </c>
      <c r="G31" s="114" t="s">
        <v>3237</v>
      </c>
      <c r="H31" s="114" t="s">
        <v>3237</v>
      </c>
      <c r="I31" s="114" t="s">
        <v>3237</v>
      </c>
      <c r="J31" s="114" t="s">
        <v>3237</v>
      </c>
      <c r="K31" s="114" t="s">
        <v>3237</v>
      </c>
      <c r="L31" s="114" t="s">
        <v>3237</v>
      </c>
      <c r="M31" s="114" t="s">
        <v>3237</v>
      </c>
      <c r="N31" s="114" t="s">
        <v>3237</v>
      </c>
      <c r="O31" s="114" t="s">
        <v>3237</v>
      </c>
      <c r="P31" s="114" t="s">
        <v>3237</v>
      </c>
      <c r="Q31" s="114" t="s">
        <v>3237</v>
      </c>
      <c r="R31" s="114" t="s">
        <v>3237</v>
      </c>
      <c r="S31" s="114" t="s">
        <v>3237</v>
      </c>
      <c r="T31" s="114" t="s">
        <v>3237</v>
      </c>
      <c r="U31" s="114" t="s">
        <v>3237</v>
      </c>
      <c r="V31" s="114" t="s">
        <v>3237</v>
      </c>
      <c r="W31" s="114" t="s">
        <v>3237</v>
      </c>
      <c r="X31" s="114" t="s">
        <v>3237</v>
      </c>
      <c r="Y31" s="114"/>
      <c r="Z31" s="114"/>
    </row>
    <row r="32" spans="1:26" ht="11.25" customHeight="1">
      <c r="B32" s="113" t="s">
        <v>3219</v>
      </c>
      <c r="C32" s="114"/>
      <c r="D32" s="114"/>
      <c r="E32" s="114" t="s">
        <v>3237</v>
      </c>
      <c r="F32" s="114" t="s">
        <v>3237</v>
      </c>
      <c r="G32" s="114" t="s">
        <v>3237</v>
      </c>
      <c r="H32" s="114" t="s">
        <v>3237</v>
      </c>
      <c r="I32" s="114" t="s">
        <v>3237</v>
      </c>
      <c r="J32" s="114" t="s">
        <v>3237</v>
      </c>
      <c r="K32" s="114" t="s">
        <v>3237</v>
      </c>
      <c r="L32" s="114" t="s">
        <v>3237</v>
      </c>
      <c r="M32" s="114" t="s">
        <v>3237</v>
      </c>
      <c r="N32" s="114" t="s">
        <v>3237</v>
      </c>
      <c r="O32" s="114" t="s">
        <v>3237</v>
      </c>
      <c r="P32" s="114" t="s">
        <v>3237</v>
      </c>
      <c r="Q32" s="114" t="s">
        <v>3237</v>
      </c>
      <c r="R32" s="114" t="s">
        <v>3237</v>
      </c>
      <c r="S32" s="114" t="s">
        <v>3237</v>
      </c>
      <c r="T32" s="114" t="s">
        <v>3237</v>
      </c>
      <c r="U32" s="114" t="s">
        <v>3237</v>
      </c>
      <c r="V32" s="114" t="s">
        <v>3237</v>
      </c>
      <c r="W32" s="114" t="s">
        <v>3237</v>
      </c>
      <c r="X32" s="114" t="s">
        <v>3237</v>
      </c>
      <c r="Y32" s="114"/>
      <c r="Z32" s="114"/>
    </row>
    <row r="33" spans="1:26" ht="11.25" customHeight="1">
      <c r="B33" s="113" t="s">
        <v>3220</v>
      </c>
      <c r="C33" s="114"/>
      <c r="D33" s="114"/>
      <c r="E33" s="114" t="s">
        <v>3237</v>
      </c>
      <c r="F33" s="114" t="s">
        <v>3237</v>
      </c>
      <c r="G33" s="114" t="s">
        <v>3237</v>
      </c>
      <c r="H33" s="114" t="s">
        <v>3237</v>
      </c>
      <c r="I33" s="114" t="s">
        <v>3237</v>
      </c>
      <c r="J33" s="114" t="s">
        <v>3237</v>
      </c>
      <c r="K33" s="114" t="s">
        <v>3237</v>
      </c>
      <c r="L33" s="114" t="s">
        <v>3237</v>
      </c>
      <c r="M33" s="114" t="s">
        <v>3237</v>
      </c>
      <c r="N33" s="114" t="s">
        <v>3237</v>
      </c>
      <c r="O33" s="114" t="s">
        <v>3237</v>
      </c>
      <c r="P33" s="114" t="s">
        <v>3237</v>
      </c>
      <c r="Q33" s="114" t="s">
        <v>3237</v>
      </c>
      <c r="R33" s="114" t="s">
        <v>3237</v>
      </c>
      <c r="S33" s="114" t="s">
        <v>3237</v>
      </c>
      <c r="T33" s="114" t="s">
        <v>3237</v>
      </c>
      <c r="U33" s="114" t="s">
        <v>3237</v>
      </c>
      <c r="V33" s="114" t="s">
        <v>3237</v>
      </c>
      <c r="W33" s="114" t="s">
        <v>3237</v>
      </c>
      <c r="X33" s="114" t="s">
        <v>3237</v>
      </c>
      <c r="Y33" s="114"/>
      <c r="Z33" s="114"/>
    </row>
    <row r="34" spans="1:26" ht="11.25" customHeight="1">
      <c r="B34" s="113" t="s">
        <v>3221</v>
      </c>
      <c r="C34" s="114"/>
      <c r="D34" s="114"/>
      <c r="E34" s="114" t="s">
        <v>3237</v>
      </c>
      <c r="F34" s="114" t="s">
        <v>3237</v>
      </c>
      <c r="G34" s="114" t="s">
        <v>3237</v>
      </c>
      <c r="H34" s="114" t="s">
        <v>3237</v>
      </c>
      <c r="I34" s="114" t="s">
        <v>3237</v>
      </c>
      <c r="J34" s="114" t="s">
        <v>3237</v>
      </c>
      <c r="K34" s="114" t="s">
        <v>3237</v>
      </c>
      <c r="L34" s="114" t="s">
        <v>3237</v>
      </c>
      <c r="M34" s="114" t="s">
        <v>3237</v>
      </c>
      <c r="N34" s="114" t="s">
        <v>3237</v>
      </c>
      <c r="O34" s="114" t="s">
        <v>3237</v>
      </c>
      <c r="P34" s="114" t="s">
        <v>3237</v>
      </c>
      <c r="Q34" s="114" t="s">
        <v>3237</v>
      </c>
      <c r="R34" s="114" t="s">
        <v>3237</v>
      </c>
      <c r="S34" s="114" t="s">
        <v>3237</v>
      </c>
      <c r="T34" s="114" t="s">
        <v>3237</v>
      </c>
      <c r="U34" s="114" t="s">
        <v>3237</v>
      </c>
      <c r="V34" s="114" t="s">
        <v>3237</v>
      </c>
      <c r="W34" s="114" t="s">
        <v>3237</v>
      </c>
      <c r="X34" s="114" t="s">
        <v>3237</v>
      </c>
      <c r="Y34" s="114"/>
      <c r="Z34" s="114"/>
    </row>
    <row r="35" spans="1:26" ht="11.25" customHeight="1">
      <c r="B35" s="113" t="s">
        <v>3222</v>
      </c>
      <c r="C35" s="114"/>
      <c r="D35" s="114"/>
      <c r="E35" s="114" t="s">
        <v>3237</v>
      </c>
      <c r="F35" s="114" t="s">
        <v>3237</v>
      </c>
      <c r="G35" s="114" t="s">
        <v>3237</v>
      </c>
      <c r="H35" s="114" t="s">
        <v>3237</v>
      </c>
      <c r="I35" s="114" t="s">
        <v>3237</v>
      </c>
      <c r="J35" s="114" t="s">
        <v>3237</v>
      </c>
      <c r="K35" s="114" t="s">
        <v>3237</v>
      </c>
      <c r="L35" s="114" t="s">
        <v>3237</v>
      </c>
      <c r="M35" s="114" t="s">
        <v>3237</v>
      </c>
      <c r="N35" s="114" t="s">
        <v>3237</v>
      </c>
      <c r="O35" s="114" t="s">
        <v>3237</v>
      </c>
      <c r="P35" s="114" t="s">
        <v>3237</v>
      </c>
      <c r="Q35" s="114" t="s">
        <v>3237</v>
      </c>
      <c r="R35" s="114" t="s">
        <v>3237</v>
      </c>
      <c r="S35" s="114" t="s">
        <v>3237</v>
      </c>
      <c r="T35" s="114" t="s">
        <v>3237</v>
      </c>
      <c r="U35" s="114" t="s">
        <v>3237</v>
      </c>
      <c r="V35" s="114" t="s">
        <v>3237</v>
      </c>
      <c r="W35" s="114" t="s">
        <v>3237</v>
      </c>
      <c r="X35" s="114" t="s">
        <v>3237</v>
      </c>
      <c r="Y35" s="114"/>
      <c r="Z35" s="114"/>
    </row>
    <row r="36" spans="1:26" ht="11.25" customHeight="1">
      <c r="B36" s="113" t="s">
        <v>3223</v>
      </c>
      <c r="C36" s="114"/>
      <c r="D36" s="114"/>
      <c r="E36" s="114" t="s">
        <v>3237</v>
      </c>
      <c r="F36" s="114" t="s">
        <v>3237</v>
      </c>
      <c r="G36" s="114" t="s">
        <v>3237</v>
      </c>
      <c r="H36" s="114" t="s">
        <v>3237</v>
      </c>
      <c r="I36" s="114" t="s">
        <v>3237</v>
      </c>
      <c r="J36" s="114" t="s">
        <v>3237</v>
      </c>
      <c r="K36" s="114" t="s">
        <v>3237</v>
      </c>
      <c r="L36" s="114" t="s">
        <v>3237</v>
      </c>
      <c r="M36" s="114" t="s">
        <v>3237</v>
      </c>
      <c r="N36" s="114" t="s">
        <v>3237</v>
      </c>
      <c r="O36" s="114" t="s">
        <v>3237</v>
      </c>
      <c r="P36" s="114" t="s">
        <v>3237</v>
      </c>
      <c r="Q36" s="114" t="s">
        <v>3237</v>
      </c>
      <c r="R36" s="114" t="s">
        <v>3237</v>
      </c>
      <c r="S36" s="114" t="s">
        <v>3237</v>
      </c>
      <c r="T36" s="114" t="s">
        <v>3237</v>
      </c>
      <c r="U36" s="114" t="s">
        <v>3237</v>
      </c>
      <c r="V36" s="114" t="s">
        <v>3237</v>
      </c>
      <c r="W36" s="114" t="s">
        <v>3237</v>
      </c>
      <c r="X36" s="114" t="s">
        <v>3237</v>
      </c>
      <c r="Y36" s="114"/>
      <c r="Z36" s="114"/>
    </row>
    <row r="37" spans="1:26" ht="11.25" customHeight="1">
      <c r="B37" s="113" t="s">
        <v>3224</v>
      </c>
      <c r="C37" s="114"/>
      <c r="D37" s="114"/>
      <c r="E37" s="114" t="s">
        <v>3237</v>
      </c>
      <c r="F37" s="114" t="s">
        <v>3237</v>
      </c>
      <c r="G37" s="114" t="s">
        <v>3237</v>
      </c>
      <c r="H37" s="114" t="s">
        <v>3237</v>
      </c>
      <c r="I37" s="114" t="s">
        <v>3237</v>
      </c>
      <c r="J37" s="114" t="s">
        <v>3237</v>
      </c>
      <c r="K37" s="114" t="s">
        <v>3237</v>
      </c>
      <c r="L37" s="114" t="s">
        <v>3237</v>
      </c>
      <c r="M37" s="114" t="s">
        <v>3237</v>
      </c>
      <c r="N37" s="114" t="s">
        <v>3237</v>
      </c>
      <c r="O37" s="114" t="s">
        <v>3237</v>
      </c>
      <c r="P37" s="114" t="s">
        <v>3237</v>
      </c>
      <c r="Q37" s="114" t="s">
        <v>3237</v>
      </c>
      <c r="R37" s="114" t="s">
        <v>3237</v>
      </c>
      <c r="S37" s="114" t="s">
        <v>3237</v>
      </c>
      <c r="T37" s="114" t="s">
        <v>3237</v>
      </c>
      <c r="U37" s="114" t="s">
        <v>3237</v>
      </c>
      <c r="V37" s="114" t="s">
        <v>3237</v>
      </c>
      <c r="W37" s="114" t="s">
        <v>3237</v>
      </c>
      <c r="X37" s="114" t="s">
        <v>3237</v>
      </c>
      <c r="Y37" s="114"/>
      <c r="Z37" s="114"/>
    </row>
    <row r="38" spans="1:26" ht="11.25" customHeight="1">
      <c r="B38" s="113" t="s">
        <v>3225</v>
      </c>
      <c r="C38" s="114"/>
      <c r="D38" s="114"/>
      <c r="E38" s="114" t="s">
        <v>3237</v>
      </c>
      <c r="F38" s="114" t="s">
        <v>3237</v>
      </c>
      <c r="G38" s="114" t="s">
        <v>3237</v>
      </c>
      <c r="H38" s="114" t="s">
        <v>3237</v>
      </c>
      <c r="I38" s="114" t="s">
        <v>3237</v>
      </c>
      <c r="J38" s="114" t="s">
        <v>3237</v>
      </c>
      <c r="K38" s="114" t="s">
        <v>3237</v>
      </c>
      <c r="L38" s="114" t="s">
        <v>3237</v>
      </c>
      <c r="M38" s="114" t="s">
        <v>3237</v>
      </c>
      <c r="N38" s="114" t="s">
        <v>3237</v>
      </c>
      <c r="O38" s="114" t="s">
        <v>3237</v>
      </c>
      <c r="P38" s="114" t="s">
        <v>3237</v>
      </c>
      <c r="Q38" s="114" t="s">
        <v>3237</v>
      </c>
      <c r="R38" s="114" t="s">
        <v>3237</v>
      </c>
      <c r="S38" s="114" t="s">
        <v>3237</v>
      </c>
      <c r="T38" s="114" t="s">
        <v>3237</v>
      </c>
      <c r="U38" s="114" t="s">
        <v>3237</v>
      </c>
      <c r="V38" s="114" t="s">
        <v>3237</v>
      </c>
      <c r="W38" s="114" t="s">
        <v>3237</v>
      </c>
      <c r="X38" s="114" t="s">
        <v>3237</v>
      </c>
      <c r="Y38" s="114"/>
      <c r="Z38" s="114"/>
    </row>
    <row r="39" spans="1:26" ht="11.25" customHeight="1">
      <c r="B39" s="113" t="s">
        <v>3226</v>
      </c>
      <c r="C39" s="114"/>
      <c r="D39" s="114"/>
      <c r="E39" s="114" t="s">
        <v>3237</v>
      </c>
      <c r="F39" s="114" t="s">
        <v>3237</v>
      </c>
      <c r="G39" s="114" t="s">
        <v>3237</v>
      </c>
      <c r="H39" s="114" t="s">
        <v>3237</v>
      </c>
      <c r="I39" s="114" t="s">
        <v>3237</v>
      </c>
      <c r="J39" s="114" t="s">
        <v>3237</v>
      </c>
      <c r="K39" s="114" t="s">
        <v>3237</v>
      </c>
      <c r="L39" s="114" t="s">
        <v>3237</v>
      </c>
      <c r="M39" s="114" t="s">
        <v>3237</v>
      </c>
      <c r="N39" s="114" t="s">
        <v>3237</v>
      </c>
      <c r="O39" s="114" t="s">
        <v>3237</v>
      </c>
      <c r="P39" s="114" t="s">
        <v>3237</v>
      </c>
      <c r="Q39" s="114" t="s">
        <v>3237</v>
      </c>
      <c r="R39" s="114" t="s">
        <v>3237</v>
      </c>
      <c r="S39" s="114" t="s">
        <v>3237</v>
      </c>
      <c r="T39" s="114" t="s">
        <v>3237</v>
      </c>
      <c r="U39" s="114" t="s">
        <v>3237</v>
      </c>
      <c r="V39" s="114" t="s">
        <v>3237</v>
      </c>
      <c r="W39" s="114" t="s">
        <v>3237</v>
      </c>
      <c r="X39" s="114" t="s">
        <v>3237</v>
      </c>
      <c r="Y39" s="114"/>
      <c r="Z39" s="114"/>
    </row>
    <row r="40" spans="1:26" ht="11.25" customHeight="1">
      <c r="B40" s="113" t="s">
        <v>3227</v>
      </c>
      <c r="C40" s="114"/>
      <c r="D40" s="114"/>
      <c r="E40" s="114" t="s">
        <v>3237</v>
      </c>
      <c r="F40" s="114" t="s">
        <v>3237</v>
      </c>
      <c r="G40" s="114" t="s">
        <v>3237</v>
      </c>
      <c r="H40" s="114" t="s">
        <v>3237</v>
      </c>
      <c r="I40" s="114" t="s">
        <v>3237</v>
      </c>
      <c r="J40" s="114" t="s">
        <v>3237</v>
      </c>
      <c r="K40" s="114" t="s">
        <v>3237</v>
      </c>
      <c r="L40" s="114" t="s">
        <v>3237</v>
      </c>
      <c r="M40" s="114" t="s">
        <v>3237</v>
      </c>
      <c r="N40" s="114" t="s">
        <v>3237</v>
      </c>
      <c r="O40" s="114" t="s">
        <v>3237</v>
      </c>
      <c r="P40" s="114" t="s">
        <v>3237</v>
      </c>
      <c r="Q40" s="114" t="s">
        <v>3237</v>
      </c>
      <c r="R40" s="114" t="s">
        <v>393</v>
      </c>
      <c r="S40" s="114" t="s">
        <v>3237</v>
      </c>
      <c r="T40" s="114" t="s">
        <v>3237</v>
      </c>
      <c r="U40" s="114" t="s">
        <v>3237</v>
      </c>
      <c r="V40" s="114" t="s">
        <v>3237</v>
      </c>
      <c r="W40" s="114" t="s">
        <v>3237</v>
      </c>
      <c r="X40" s="114" t="s">
        <v>3237</v>
      </c>
      <c r="Y40" s="114"/>
      <c r="Z40" s="114"/>
    </row>
    <row r="41" spans="1:26" ht="11.25" customHeight="1">
      <c r="B41" s="113" t="s">
        <v>3228</v>
      </c>
      <c r="C41" s="114"/>
      <c r="D41" s="114"/>
      <c r="E41" s="114" t="s">
        <v>3237</v>
      </c>
      <c r="F41" s="114" t="s">
        <v>3237</v>
      </c>
      <c r="G41" s="114" t="s">
        <v>3237</v>
      </c>
      <c r="H41" s="114" t="s">
        <v>3237</v>
      </c>
      <c r="I41" s="114" t="s">
        <v>3237</v>
      </c>
      <c r="J41" s="114" t="s">
        <v>3237</v>
      </c>
      <c r="K41" s="114" t="s">
        <v>3237</v>
      </c>
      <c r="L41" s="114" t="s">
        <v>3237</v>
      </c>
      <c r="M41" s="114" t="s">
        <v>3237</v>
      </c>
      <c r="N41" s="114" t="s">
        <v>3237</v>
      </c>
      <c r="O41" s="114" t="s">
        <v>3237</v>
      </c>
      <c r="P41" s="114" t="s">
        <v>3237</v>
      </c>
      <c r="Q41" s="114" t="s">
        <v>3237</v>
      </c>
      <c r="R41" s="114" t="s">
        <v>3237</v>
      </c>
      <c r="S41" s="114" t="s">
        <v>3237</v>
      </c>
      <c r="T41" s="114" t="s">
        <v>3237</v>
      </c>
      <c r="U41" s="114" t="s">
        <v>3237</v>
      </c>
      <c r="V41" s="114" t="s">
        <v>3237</v>
      </c>
      <c r="W41" s="114" t="s">
        <v>3237</v>
      </c>
      <c r="X41" s="114" t="s">
        <v>3237</v>
      </c>
      <c r="Y41" s="114"/>
      <c r="Z41" s="114"/>
    </row>
    <row r="42" spans="1:26" ht="11.25" customHeight="1">
      <c r="B42" s="113" t="s">
        <v>3229</v>
      </c>
      <c r="C42" s="114"/>
      <c r="D42" s="114"/>
      <c r="E42" s="114" t="s">
        <v>3237</v>
      </c>
      <c r="F42" s="114" t="s">
        <v>3237</v>
      </c>
      <c r="G42" s="114" t="s">
        <v>3237</v>
      </c>
      <c r="H42" s="114" t="s">
        <v>3237</v>
      </c>
      <c r="I42" s="114" t="s">
        <v>3237</v>
      </c>
      <c r="J42" s="114" t="s">
        <v>3237</v>
      </c>
      <c r="K42" s="114" t="s">
        <v>3237</v>
      </c>
      <c r="L42" s="114" t="s">
        <v>3237</v>
      </c>
      <c r="M42" s="114" t="s">
        <v>3237</v>
      </c>
      <c r="N42" s="114" t="s">
        <v>3237</v>
      </c>
      <c r="O42" s="114" t="s">
        <v>3237</v>
      </c>
      <c r="P42" s="114" t="s">
        <v>3237</v>
      </c>
      <c r="Q42" s="114" t="s">
        <v>3237</v>
      </c>
      <c r="R42" s="114" t="s">
        <v>3237</v>
      </c>
      <c r="S42" s="114" t="s">
        <v>3237</v>
      </c>
      <c r="T42" s="114" t="s">
        <v>3237</v>
      </c>
      <c r="U42" s="114" t="s">
        <v>3237</v>
      </c>
      <c r="V42" s="114" t="s">
        <v>3237</v>
      </c>
      <c r="W42" s="114" t="s">
        <v>3237</v>
      </c>
      <c r="X42" s="114" t="s">
        <v>3237</v>
      </c>
      <c r="Y42" s="114"/>
      <c r="Z42" s="114"/>
    </row>
    <row r="43" spans="1:26" ht="11.25" customHeight="1">
      <c r="B43" s="113" t="s">
        <v>3230</v>
      </c>
      <c r="C43" s="114"/>
      <c r="D43" s="114"/>
      <c r="E43" s="114" t="s">
        <v>3237</v>
      </c>
      <c r="F43" s="114" t="s">
        <v>3237</v>
      </c>
      <c r="G43" s="114" t="s">
        <v>3237</v>
      </c>
      <c r="H43" s="114" t="s">
        <v>3237</v>
      </c>
      <c r="I43" s="114" t="s">
        <v>3237</v>
      </c>
      <c r="J43" s="114" t="s">
        <v>3237</v>
      </c>
      <c r="K43" s="114" t="s">
        <v>3237</v>
      </c>
      <c r="L43" s="114" t="s">
        <v>3237</v>
      </c>
      <c r="M43" s="114" t="s">
        <v>3237</v>
      </c>
      <c r="N43" s="114" t="s">
        <v>3237</v>
      </c>
      <c r="O43" s="114" t="s">
        <v>3237</v>
      </c>
      <c r="P43" s="114" t="s">
        <v>3237</v>
      </c>
      <c r="Q43" s="114" t="s">
        <v>3237</v>
      </c>
      <c r="R43" s="114" t="s">
        <v>3237</v>
      </c>
      <c r="S43" s="114" t="s">
        <v>3237</v>
      </c>
      <c r="T43" s="114" t="s">
        <v>3237</v>
      </c>
      <c r="U43" s="114" t="s">
        <v>3237</v>
      </c>
      <c r="V43" s="114" t="s">
        <v>3237</v>
      </c>
      <c r="W43" s="114" t="s">
        <v>3237</v>
      </c>
      <c r="X43" s="114" t="s">
        <v>3237</v>
      </c>
      <c r="Y43" s="114"/>
      <c r="Z43" s="114"/>
    </row>
    <row r="45" spans="1:26" s="63" customFormat="1" ht="11.25" customHeight="1">
      <c r="A45" s="137" t="s">
        <v>3367</v>
      </c>
      <c r="D45" s="64" t="s">
        <v>806</v>
      </c>
      <c r="E45" s="65" t="s">
        <v>3368</v>
      </c>
    </row>
    <row r="46" spans="1:26" s="35" customFormat="1" ht="11.25" customHeight="1">
      <c r="A46" s="27"/>
      <c r="B46" s="27"/>
    </row>
    <row r="47" spans="1:26" s="25" customFormat="1" ht="11.25" customHeight="1">
      <c r="B47" s="1"/>
      <c r="C47" s="1">
        <v>1</v>
      </c>
      <c r="D47" s="1">
        <v>2</v>
      </c>
      <c r="E47" s="1">
        <v>3</v>
      </c>
      <c r="F47" s="1">
        <v>4</v>
      </c>
      <c r="G47" s="1">
        <v>5</v>
      </c>
      <c r="H47" s="1">
        <v>6</v>
      </c>
      <c r="I47" s="1">
        <v>7</v>
      </c>
      <c r="J47" s="1">
        <v>8</v>
      </c>
      <c r="K47" s="1">
        <v>9</v>
      </c>
      <c r="L47" s="1">
        <v>10</v>
      </c>
      <c r="M47" s="1">
        <v>11</v>
      </c>
      <c r="N47" s="1">
        <v>12</v>
      </c>
      <c r="O47" s="1">
        <v>13</v>
      </c>
      <c r="P47" s="1">
        <v>14</v>
      </c>
      <c r="Q47" s="1">
        <v>15</v>
      </c>
      <c r="R47" s="1">
        <v>16</v>
      </c>
      <c r="S47" s="1">
        <v>17</v>
      </c>
      <c r="T47" s="1">
        <v>18</v>
      </c>
      <c r="U47" s="1">
        <v>19</v>
      </c>
      <c r="V47" s="1">
        <v>20</v>
      </c>
      <c r="W47" s="1">
        <v>21</v>
      </c>
      <c r="X47" s="1">
        <v>22</v>
      </c>
      <c r="Y47" s="1">
        <v>23</v>
      </c>
      <c r="Z47" s="1">
        <v>24</v>
      </c>
    </row>
    <row r="48" spans="1:26" s="25" customFormat="1" ht="11.25" customHeight="1">
      <c r="B48" s="1" t="s">
        <v>415</v>
      </c>
      <c r="C48" s="4" t="str">
        <f>T1.PLATEREADER_VALUE("",E45)</f>
        <v xml:space="preserve">           -</v>
      </c>
      <c r="D48" s="4">
        <f>T1.PLATEREADER_VALUE("",E45)</f>
        <v>11694</v>
      </c>
      <c r="E48" s="4">
        <f>T1.PLATEREADER_VALUE("",E45)</f>
        <v>3973</v>
      </c>
      <c r="F48" s="4">
        <f>T1.PLATEREADER_VALUE("",E45)</f>
        <v>4011</v>
      </c>
      <c r="G48" s="4">
        <f>T1.PLATEREADER_VALUE("",E45)</f>
        <v>4678</v>
      </c>
      <c r="H48" s="4">
        <f>T1.PLATEREADER_VALUE("",E45)</f>
        <v>5534</v>
      </c>
      <c r="I48" s="4">
        <f>T1.PLATEREADER_VALUE("",E45)</f>
        <v>7638</v>
      </c>
      <c r="J48" s="4">
        <f>T1.PLATEREADER_VALUE("",E45)</f>
        <v>9215</v>
      </c>
      <c r="K48" s="4">
        <f>T1.PLATEREADER_VALUE("",E45)</f>
        <v>10759</v>
      </c>
      <c r="L48" s="4">
        <f>T1.PLATEREADER_VALUE("",E45)</f>
        <v>10817</v>
      </c>
      <c r="M48" s="4">
        <f>T1.PLATEREADER_VALUE("",E45)</f>
        <v>11419</v>
      </c>
      <c r="N48" s="4">
        <f>T1.PLATEREADER_VALUE("",E45)</f>
        <v>11025</v>
      </c>
      <c r="O48" s="4">
        <f>T1.PLATEREADER_VALUE("",E45)</f>
        <v>11205</v>
      </c>
      <c r="P48" s="4">
        <f>T1.PLATEREADER_VALUE("",E45)</f>
        <v>10016</v>
      </c>
      <c r="Q48" s="4">
        <f>T1.PLATEREADER_VALUE("",E45)</f>
        <v>10221</v>
      </c>
      <c r="R48" s="4">
        <f>T1.PLATEREADER_VALUE("",E45)</f>
        <v>2750</v>
      </c>
      <c r="S48" s="4">
        <f>T1.PLATEREADER_VALUE("",E45)</f>
        <v>2764</v>
      </c>
      <c r="T48" s="4">
        <f>T1.PLATEREADER_VALUE("",E45)</f>
        <v>9663</v>
      </c>
      <c r="U48" s="4">
        <f>T1.PLATEREADER_VALUE("",E45)</f>
        <v>10085</v>
      </c>
      <c r="V48" s="4">
        <f>T1.PLATEREADER_VALUE("",E45)</f>
        <v>3113</v>
      </c>
      <c r="W48" s="4">
        <f>T1.PLATEREADER_VALUE("",E45)</f>
        <v>49992</v>
      </c>
      <c r="X48" s="4">
        <f>T1.PLATEREADER_VALUE("",E45)</f>
        <v>50409</v>
      </c>
      <c r="Y48" s="4">
        <f>T1.PLATEREADER_VALUE("",E45)</f>
        <v>3565</v>
      </c>
      <c r="Z48" s="4" t="str">
        <f>T1.PLATEREADER_VALUE("",E45)</f>
        <v xml:space="preserve">           -</v>
      </c>
    </row>
    <row r="49" spans="2:26" s="25" customFormat="1" ht="11.25" customHeight="1">
      <c r="B49" s="1" t="s">
        <v>416</v>
      </c>
      <c r="C49" s="4" t="str">
        <f>T1.PLATEREADER_VALUE("",E45)</f>
        <v xml:space="preserve">           -</v>
      </c>
      <c r="D49" s="4">
        <f>T1.PLATEREADER_VALUE("",E45)</f>
        <v>13102</v>
      </c>
      <c r="E49" s="4">
        <f>T1.PLATEREADER_VALUE("",E45)</f>
        <v>3734</v>
      </c>
      <c r="F49" s="4">
        <f>T1.PLATEREADER_VALUE("",E45)</f>
        <v>4057</v>
      </c>
      <c r="G49" s="4">
        <f>T1.PLATEREADER_VALUE("",E45)</f>
        <v>4337</v>
      </c>
      <c r="H49" s="4">
        <f>T1.PLATEREADER_VALUE("",E45)</f>
        <v>6148</v>
      </c>
      <c r="I49" s="4">
        <f>T1.PLATEREADER_VALUE("",E45)</f>
        <v>7394</v>
      </c>
      <c r="J49" s="4">
        <f>T1.PLATEREADER_VALUE("",E45)</f>
        <v>9802</v>
      </c>
      <c r="K49" s="4">
        <f>T1.PLATEREADER_VALUE("",E45)</f>
        <v>10261</v>
      </c>
      <c r="L49" s="4">
        <f>T1.PLATEREADER_VALUE("",E45)</f>
        <v>11719</v>
      </c>
      <c r="M49" s="4">
        <f>T1.PLATEREADER_VALUE("",E45)</f>
        <v>12063</v>
      </c>
      <c r="N49" s="4">
        <f>T1.PLATEREADER_VALUE("",E45)</f>
        <v>11064</v>
      </c>
      <c r="O49" s="4">
        <f>T1.PLATEREADER_VALUE("",E45)</f>
        <v>10769</v>
      </c>
      <c r="P49" s="4">
        <f>T1.PLATEREADER_VALUE("",E45)</f>
        <v>10157</v>
      </c>
      <c r="Q49" s="4">
        <f>T1.PLATEREADER_VALUE("",E45)</f>
        <v>9777</v>
      </c>
      <c r="R49" s="4">
        <f>T1.PLATEREADER_VALUE("",E45)</f>
        <v>2690</v>
      </c>
      <c r="S49" s="4">
        <f>T1.PLATEREADER_VALUE("",E45)</f>
        <v>2719</v>
      </c>
      <c r="T49" s="4">
        <f>T1.PLATEREADER_VALUE("",E45)</f>
        <v>9672</v>
      </c>
      <c r="U49" s="4">
        <f>T1.PLATEREADER_VALUE("",E45)</f>
        <v>11308</v>
      </c>
      <c r="V49" s="4">
        <f>T1.PLATEREADER_VALUE("",E45)</f>
        <v>3265</v>
      </c>
      <c r="W49" s="4">
        <f>T1.PLATEREADER_VALUE("",E45)</f>
        <v>50758</v>
      </c>
      <c r="X49" s="4">
        <f>T1.PLATEREADER_VALUE("",E45)</f>
        <v>55431</v>
      </c>
      <c r="Y49" s="4">
        <f>T1.PLATEREADER_VALUE("",E45)</f>
        <v>3660</v>
      </c>
      <c r="Z49" s="4" t="str">
        <f>T1.PLATEREADER_VALUE("",E45)</f>
        <v xml:space="preserve">           -</v>
      </c>
    </row>
    <row r="50" spans="2:26" s="25" customFormat="1" ht="11.25" customHeight="1">
      <c r="B50" s="1" t="s">
        <v>417</v>
      </c>
      <c r="C50" s="4" t="str">
        <f>T1.PLATEREADER_VALUE("",E45)</f>
        <v xml:space="preserve">           -</v>
      </c>
      <c r="D50" s="4">
        <f>T1.PLATEREADER_VALUE("",E45)</f>
        <v>11373</v>
      </c>
      <c r="E50" s="4">
        <f>T1.PLATEREADER_VALUE("",E45)</f>
        <v>3976</v>
      </c>
      <c r="F50" s="4">
        <f>T1.PLATEREADER_VALUE("",E45)</f>
        <v>4005</v>
      </c>
      <c r="G50" s="4">
        <f>T1.PLATEREADER_VALUE("",E45)</f>
        <v>4621</v>
      </c>
      <c r="H50" s="4">
        <f>T1.PLATEREADER_VALUE("",E45)</f>
        <v>5622</v>
      </c>
      <c r="I50" s="4">
        <f>T1.PLATEREADER_VALUE("",E45)</f>
        <v>7697</v>
      </c>
      <c r="J50" s="4">
        <f>T1.PLATEREADER_VALUE("",E45)</f>
        <v>9161</v>
      </c>
      <c r="K50" s="4">
        <f>T1.PLATEREADER_VALUE("",E45)</f>
        <v>10834</v>
      </c>
      <c r="L50" s="4">
        <f>T1.PLATEREADER_VALUE("",E45)</f>
        <v>10700</v>
      </c>
      <c r="M50" s="4">
        <f>T1.PLATEREADER_VALUE("",E45)</f>
        <v>11198</v>
      </c>
      <c r="N50" s="4">
        <f>T1.PLATEREADER_VALUE("",E45)</f>
        <v>10855</v>
      </c>
      <c r="O50" s="4">
        <f>T1.PLATEREADER_VALUE("",E45)</f>
        <v>11238</v>
      </c>
      <c r="P50" s="4">
        <f>T1.PLATEREADER_VALUE("",E45)</f>
        <v>9817</v>
      </c>
      <c r="Q50" s="4">
        <f>T1.PLATEREADER_VALUE("",E45)</f>
        <v>9978</v>
      </c>
      <c r="R50" s="4">
        <f>T1.PLATEREADER_VALUE("",E45)</f>
        <v>2734</v>
      </c>
      <c r="S50" s="4">
        <f>T1.PLATEREADER_VALUE("",E45)</f>
        <v>2836</v>
      </c>
      <c r="T50" s="4">
        <f>T1.PLATEREADER_VALUE("",E45)</f>
        <v>9018</v>
      </c>
      <c r="U50" s="4">
        <f>T1.PLATEREADER_VALUE("",E45)</f>
        <v>10117</v>
      </c>
      <c r="V50" s="4">
        <f>T1.PLATEREADER_VALUE("",E45)</f>
        <v>3222</v>
      </c>
      <c r="W50" s="4">
        <f>T1.PLATEREADER_VALUE("",E45)</f>
        <v>35084</v>
      </c>
      <c r="X50" s="4">
        <f>T1.PLATEREADER_VALUE("",E45)</f>
        <v>35839</v>
      </c>
      <c r="Y50" s="4">
        <f>T1.PLATEREADER_VALUE("",E45)</f>
        <v>3623</v>
      </c>
      <c r="Z50" s="4" t="str">
        <f>T1.PLATEREADER_VALUE("",E45)</f>
        <v xml:space="preserve">           -</v>
      </c>
    </row>
    <row r="51" spans="2:26" s="25" customFormat="1" ht="11.25" customHeight="1">
      <c r="B51" s="1" t="s">
        <v>418</v>
      </c>
      <c r="C51" s="4" t="str">
        <f>T1.PLATEREADER_VALUE("",E45)</f>
        <v xml:space="preserve">           -</v>
      </c>
      <c r="D51" s="4">
        <f>T1.PLATEREADER_VALUE("",E45)</f>
        <v>12316</v>
      </c>
      <c r="E51" s="4">
        <f>T1.PLATEREADER_VALUE("",E45)</f>
        <v>3785</v>
      </c>
      <c r="F51" s="4">
        <f>T1.PLATEREADER_VALUE("",E45)</f>
        <v>4142</v>
      </c>
      <c r="G51" s="4">
        <f>T1.PLATEREADER_VALUE("",E45)</f>
        <v>4536</v>
      </c>
      <c r="H51" s="4">
        <f>T1.PLATEREADER_VALUE("",E45)</f>
        <v>5684</v>
      </c>
      <c r="I51" s="4">
        <f>T1.PLATEREADER_VALUE("",E45)</f>
        <v>7362</v>
      </c>
      <c r="J51" s="4">
        <f>T1.PLATEREADER_VALUE("",E45)</f>
        <v>9667</v>
      </c>
      <c r="K51" s="4">
        <f>T1.PLATEREADER_VALUE("",E45)</f>
        <v>10363</v>
      </c>
      <c r="L51" s="4">
        <f>T1.PLATEREADER_VALUE("",E45)</f>
        <v>11125</v>
      </c>
      <c r="M51" s="4">
        <f>T1.PLATEREADER_VALUE("",E45)</f>
        <v>10925</v>
      </c>
      <c r="N51" s="4">
        <f>T1.PLATEREADER_VALUE("",E45)</f>
        <v>11198</v>
      </c>
      <c r="O51" s="4">
        <f>T1.PLATEREADER_VALUE("",E45)</f>
        <v>10792</v>
      </c>
      <c r="P51" s="4">
        <f>T1.PLATEREADER_VALUE("",E45)</f>
        <v>10127</v>
      </c>
      <c r="Q51" s="4">
        <f>T1.PLATEREADER_VALUE("",E45)</f>
        <v>10219</v>
      </c>
      <c r="R51" s="4">
        <f>T1.PLATEREADER_VALUE("",E45)</f>
        <v>2697</v>
      </c>
      <c r="S51" s="4">
        <f>T1.PLATEREADER_VALUE("",E45)</f>
        <v>2943</v>
      </c>
      <c r="T51" s="4">
        <f>T1.PLATEREADER_VALUE("",E45)</f>
        <v>9711</v>
      </c>
      <c r="U51" s="4">
        <f>T1.PLATEREADER_VALUE("",E45)</f>
        <v>9440</v>
      </c>
      <c r="V51" s="4">
        <f>T1.PLATEREADER_VALUE("",E45)</f>
        <v>3258</v>
      </c>
      <c r="W51" s="4">
        <f>T1.PLATEREADER_VALUE("",E45)</f>
        <v>35852</v>
      </c>
      <c r="X51" s="4">
        <f>T1.PLATEREADER_VALUE("",E45)</f>
        <v>35759</v>
      </c>
      <c r="Y51" s="4">
        <f>T1.PLATEREADER_VALUE("",E45)</f>
        <v>3665</v>
      </c>
      <c r="Z51" s="4" t="str">
        <f>T1.PLATEREADER_VALUE("",E45)</f>
        <v xml:space="preserve">           -</v>
      </c>
    </row>
    <row r="52" spans="2:26" s="25" customFormat="1" ht="11.25" customHeight="1">
      <c r="B52" s="1" t="s">
        <v>419</v>
      </c>
      <c r="C52" s="4" t="str">
        <f>T1.PLATEREADER_VALUE("",E45)</f>
        <v xml:space="preserve">           -</v>
      </c>
      <c r="D52" s="4">
        <f>T1.PLATEREADER_VALUE("",E45)</f>
        <v>11481</v>
      </c>
      <c r="E52" s="4">
        <f>T1.PLATEREADER_VALUE("",E45)</f>
        <v>3947</v>
      </c>
      <c r="F52" s="4">
        <f>T1.PLATEREADER_VALUE("",E45)</f>
        <v>3973</v>
      </c>
      <c r="G52" s="4">
        <f>T1.PLATEREADER_VALUE("",E45)</f>
        <v>4761</v>
      </c>
      <c r="H52" s="4">
        <f>T1.PLATEREADER_VALUE("",E45)</f>
        <v>5601</v>
      </c>
      <c r="I52" s="4">
        <f>T1.PLATEREADER_VALUE("",E45)</f>
        <v>7784</v>
      </c>
      <c r="J52" s="4">
        <f>T1.PLATEREADER_VALUE("",E45)</f>
        <v>9198</v>
      </c>
      <c r="K52" s="4">
        <f>T1.PLATEREADER_VALUE("",E45)</f>
        <v>10847</v>
      </c>
      <c r="L52" s="4">
        <f>T1.PLATEREADER_VALUE("",E45)</f>
        <v>10705</v>
      </c>
      <c r="M52" s="4">
        <f>T1.PLATEREADER_VALUE("",E45)</f>
        <v>11802</v>
      </c>
      <c r="N52" s="4">
        <f>T1.PLATEREADER_VALUE("",E45)</f>
        <v>10865</v>
      </c>
      <c r="O52" s="4">
        <f>T1.PLATEREADER_VALUE("",E45)</f>
        <v>11388</v>
      </c>
      <c r="P52" s="4">
        <f>T1.PLATEREADER_VALUE("",E45)</f>
        <v>10383</v>
      </c>
      <c r="Q52" s="4">
        <f>T1.PLATEREADER_VALUE("",E45)</f>
        <v>10210</v>
      </c>
      <c r="R52" s="4">
        <f>T1.PLATEREADER_VALUE("",E45)</f>
        <v>2763</v>
      </c>
      <c r="S52" s="4">
        <f>T1.PLATEREADER_VALUE("",E45)</f>
        <v>2823</v>
      </c>
      <c r="T52" s="4">
        <f>T1.PLATEREADER_VALUE("",E45)</f>
        <v>8789</v>
      </c>
      <c r="U52" s="4">
        <f>T1.PLATEREADER_VALUE("",E45)</f>
        <v>10901</v>
      </c>
      <c r="V52" s="4">
        <f>T1.PLATEREADER_VALUE("",E45)</f>
        <v>3217</v>
      </c>
      <c r="W52" s="4">
        <f>T1.PLATEREADER_VALUE("",E45)</f>
        <v>24760</v>
      </c>
      <c r="X52" s="4">
        <f>T1.PLATEREADER_VALUE("",E45)</f>
        <v>24996</v>
      </c>
      <c r="Y52" s="4">
        <f>T1.PLATEREADER_VALUE("",E45)</f>
        <v>3565</v>
      </c>
      <c r="Z52" s="4" t="str">
        <f>T1.PLATEREADER_VALUE("",E45)</f>
        <v xml:space="preserve">           -</v>
      </c>
    </row>
    <row r="53" spans="2:26" s="25" customFormat="1" ht="11.25" customHeight="1">
      <c r="B53" s="1" t="s">
        <v>420</v>
      </c>
      <c r="C53" s="4" t="str">
        <f>T1.PLATEREADER_VALUE("",E45)</f>
        <v xml:space="preserve">           -</v>
      </c>
      <c r="D53" s="4">
        <f>T1.PLATEREADER_VALUE("",E45)</f>
        <v>11559</v>
      </c>
      <c r="E53" s="4">
        <f>T1.PLATEREADER_VALUE("",E45)</f>
        <v>3557</v>
      </c>
      <c r="F53" s="4">
        <f>T1.PLATEREADER_VALUE("",E45)</f>
        <v>3718</v>
      </c>
      <c r="G53" s="4">
        <f>T1.PLATEREADER_VALUE("",E45)</f>
        <v>3732</v>
      </c>
      <c r="H53" s="4">
        <f>T1.PLATEREADER_VALUE("",E45)</f>
        <v>4123</v>
      </c>
      <c r="I53" s="4">
        <f>T1.PLATEREADER_VALUE("",E45)</f>
        <v>4438</v>
      </c>
      <c r="J53" s="4">
        <f>T1.PLATEREADER_VALUE("",E45)</f>
        <v>5786</v>
      </c>
      <c r="K53" s="4">
        <f>T1.PLATEREADER_VALUE("",E45)</f>
        <v>7525</v>
      </c>
      <c r="L53" s="4">
        <f>T1.PLATEREADER_VALUE("",E45)</f>
        <v>9945</v>
      </c>
      <c r="M53" s="4">
        <f>T1.PLATEREADER_VALUE("",E45)</f>
        <v>10331</v>
      </c>
      <c r="N53" s="4">
        <f>T1.PLATEREADER_VALUE("",E45)</f>
        <v>11129</v>
      </c>
      <c r="O53" s="4">
        <f>T1.PLATEREADER_VALUE("",E45)</f>
        <v>11049</v>
      </c>
      <c r="P53" s="4">
        <f>T1.PLATEREADER_VALUE("",E45)</f>
        <v>10012</v>
      </c>
      <c r="Q53" s="4">
        <f>T1.PLATEREADER_VALUE("",E45)</f>
        <v>10026</v>
      </c>
      <c r="R53" s="4">
        <f>T1.PLATEREADER_VALUE("",E45)</f>
        <v>2735</v>
      </c>
      <c r="S53" s="4">
        <f>T1.PLATEREADER_VALUE("",E45)</f>
        <v>2796</v>
      </c>
      <c r="T53" s="4">
        <f>T1.PLATEREADER_VALUE("",E45)</f>
        <v>9769</v>
      </c>
      <c r="U53" s="4">
        <f>T1.PLATEREADER_VALUE("",E45)</f>
        <v>9875</v>
      </c>
      <c r="V53" s="4">
        <f>T1.PLATEREADER_VALUE("",E45)</f>
        <v>3185</v>
      </c>
      <c r="W53" s="4">
        <f>T1.PLATEREADER_VALUE("",E45)</f>
        <v>24993</v>
      </c>
      <c r="X53" s="4">
        <f>T1.PLATEREADER_VALUE("",E45)</f>
        <v>24894</v>
      </c>
      <c r="Y53" s="4">
        <f>T1.PLATEREADER_VALUE("",E45)</f>
        <v>3674</v>
      </c>
      <c r="Z53" s="4" t="str">
        <f>T1.PLATEREADER_VALUE("",E45)</f>
        <v xml:space="preserve">           -</v>
      </c>
    </row>
    <row r="54" spans="2:26" s="25" customFormat="1" ht="11.25" customHeight="1">
      <c r="B54" s="1" t="s">
        <v>421</v>
      </c>
      <c r="C54" s="4" t="str">
        <f>T1.PLATEREADER_VALUE("",E45)</f>
        <v xml:space="preserve">           -</v>
      </c>
      <c r="D54" s="4">
        <f>T1.PLATEREADER_VALUE("",E45)</f>
        <v>11512</v>
      </c>
      <c r="E54" s="4">
        <f>T1.PLATEREADER_VALUE("",E45)</f>
        <v>3821</v>
      </c>
      <c r="F54" s="4">
        <f>T1.PLATEREADER_VALUE("",E45)</f>
        <v>3747</v>
      </c>
      <c r="G54" s="4">
        <f>T1.PLATEREADER_VALUE("",E45)</f>
        <v>3971</v>
      </c>
      <c r="H54" s="4">
        <f>T1.PLATEREADER_VALUE("",E45)</f>
        <v>4031</v>
      </c>
      <c r="I54" s="4">
        <f>T1.PLATEREADER_VALUE("",E45)</f>
        <v>4690</v>
      </c>
      <c r="J54" s="4">
        <f>T1.PLATEREADER_VALUE("",E45)</f>
        <v>5543</v>
      </c>
      <c r="K54" s="4">
        <f>T1.PLATEREADER_VALUE("",E45)</f>
        <v>7874</v>
      </c>
      <c r="L54" s="4">
        <f>T1.PLATEREADER_VALUE("",E45)</f>
        <v>9628</v>
      </c>
      <c r="M54" s="4">
        <f>T1.PLATEREADER_VALUE("",E45)</f>
        <v>10867</v>
      </c>
      <c r="N54" s="4">
        <f>T1.PLATEREADER_VALUE("",E45)</f>
        <v>10766</v>
      </c>
      <c r="O54" s="4">
        <f>T1.PLATEREADER_VALUE("",E45)</f>
        <v>11317</v>
      </c>
      <c r="P54" s="4">
        <f>T1.PLATEREADER_VALUE("",E45)</f>
        <v>9952</v>
      </c>
      <c r="Q54" s="4">
        <f>T1.PLATEREADER_VALUE("",E45)</f>
        <v>10254</v>
      </c>
      <c r="R54" s="4">
        <f>T1.PLATEREADER_VALUE("",E45)</f>
        <v>2781</v>
      </c>
      <c r="S54" s="4">
        <f>T1.PLATEREADER_VALUE("",E45)</f>
        <v>2838</v>
      </c>
      <c r="T54" s="4">
        <f>T1.PLATEREADER_VALUE("",E45)</f>
        <v>9684</v>
      </c>
      <c r="U54" s="4">
        <f>T1.PLATEREADER_VALUE("",E45)</f>
        <v>10257</v>
      </c>
      <c r="V54" s="4">
        <f>T1.PLATEREADER_VALUE("",E45)</f>
        <v>3164</v>
      </c>
      <c r="W54" s="4">
        <f>T1.PLATEREADER_VALUE("",E45)</f>
        <v>17107</v>
      </c>
      <c r="X54" s="4">
        <f>T1.PLATEREADER_VALUE("",E45)</f>
        <v>17424</v>
      </c>
      <c r="Y54" s="4">
        <f>T1.PLATEREADER_VALUE("",E45)</f>
        <v>3589</v>
      </c>
      <c r="Z54" s="4" t="str">
        <f>T1.PLATEREADER_VALUE("",E45)</f>
        <v xml:space="preserve">           -</v>
      </c>
    </row>
    <row r="55" spans="2:26" s="25" customFormat="1" ht="11.25" customHeight="1">
      <c r="B55" s="1" t="s">
        <v>422</v>
      </c>
      <c r="C55" s="4" t="str">
        <f>T1.PLATEREADER_VALUE("",E45)</f>
        <v xml:space="preserve">           -</v>
      </c>
      <c r="D55" s="4">
        <f>T1.PLATEREADER_VALUE("",E45)</f>
        <v>11423</v>
      </c>
      <c r="E55" s="4">
        <f>T1.PLATEREADER_VALUE("",E45)</f>
        <v>3566</v>
      </c>
      <c r="F55" s="4">
        <f>T1.PLATEREADER_VALUE("",E45)</f>
        <v>3825</v>
      </c>
      <c r="G55" s="4">
        <f>T1.PLATEREADER_VALUE("",E45)</f>
        <v>3787</v>
      </c>
      <c r="H55" s="4">
        <f>T1.PLATEREADER_VALUE("",E45)</f>
        <v>4122</v>
      </c>
      <c r="I55" s="4">
        <f>T1.PLATEREADER_VALUE("",E45)</f>
        <v>4412</v>
      </c>
      <c r="J55" s="4">
        <f>T1.PLATEREADER_VALUE("",E45)</f>
        <v>5789</v>
      </c>
      <c r="K55" s="4">
        <f>T1.PLATEREADER_VALUE("",E45)</f>
        <v>7739</v>
      </c>
      <c r="L55" s="4">
        <f>T1.PLATEREADER_VALUE("",E45)</f>
        <v>9821</v>
      </c>
      <c r="M55" s="4">
        <f>T1.PLATEREADER_VALUE("",E45)</f>
        <v>10423</v>
      </c>
      <c r="N55" s="4">
        <f>T1.PLATEREADER_VALUE("",E45)</f>
        <v>10900</v>
      </c>
      <c r="O55" s="4">
        <f>T1.PLATEREADER_VALUE("",E45)</f>
        <v>11134</v>
      </c>
      <c r="P55" s="4">
        <f>T1.PLATEREADER_VALUE("",E45)</f>
        <v>10296</v>
      </c>
      <c r="Q55" s="4">
        <f>T1.PLATEREADER_VALUE("",E45)</f>
        <v>10295</v>
      </c>
      <c r="R55" s="4">
        <f>T1.PLATEREADER_VALUE("",E45)</f>
        <v>2728</v>
      </c>
      <c r="S55" s="4">
        <f>T1.PLATEREADER_VALUE("",E45)</f>
        <v>2834</v>
      </c>
      <c r="T55" s="4">
        <f>T1.PLATEREADER_VALUE("",E45)</f>
        <v>13419</v>
      </c>
      <c r="U55" s="4">
        <f>T1.PLATEREADER_VALUE("",E45)</f>
        <v>10516</v>
      </c>
      <c r="V55" s="4">
        <f>T1.PLATEREADER_VALUE("",E45)</f>
        <v>3357</v>
      </c>
      <c r="W55" s="4">
        <f>T1.PLATEREADER_VALUE("",E45)</f>
        <v>17057</v>
      </c>
      <c r="X55" s="4">
        <f>T1.PLATEREADER_VALUE("",E45)</f>
        <v>17296</v>
      </c>
      <c r="Y55" s="4">
        <f>T1.PLATEREADER_VALUE("",E45)</f>
        <v>3661</v>
      </c>
      <c r="Z55" s="4" t="str">
        <f>T1.PLATEREADER_VALUE("",E45)</f>
        <v xml:space="preserve">           -</v>
      </c>
    </row>
    <row r="56" spans="2:26" s="25" customFormat="1" ht="11.25" customHeight="1">
      <c r="B56" s="1" t="s">
        <v>423</v>
      </c>
      <c r="C56" s="4" t="str">
        <f>T1.PLATEREADER_VALUE("",E45)</f>
        <v xml:space="preserve">           -</v>
      </c>
      <c r="D56" s="4">
        <f>T1.PLATEREADER_VALUE("",E45)</f>
        <v>11311</v>
      </c>
      <c r="E56" s="4">
        <f>T1.PLATEREADER_VALUE("",E45)</f>
        <v>3814</v>
      </c>
      <c r="F56" s="4">
        <f>T1.PLATEREADER_VALUE("",E45)</f>
        <v>3697</v>
      </c>
      <c r="G56" s="4">
        <f>T1.PLATEREADER_VALUE("",E45)</f>
        <v>3929</v>
      </c>
      <c r="H56" s="4">
        <f>T1.PLATEREADER_VALUE("",E45)</f>
        <v>3994</v>
      </c>
      <c r="I56" s="4">
        <f>T1.PLATEREADER_VALUE("",E45)</f>
        <v>4685</v>
      </c>
      <c r="J56" s="4">
        <f>T1.PLATEREADER_VALUE("",E45)</f>
        <v>5537</v>
      </c>
      <c r="K56" s="4">
        <f>T1.PLATEREADER_VALUE("",E45)</f>
        <v>7767</v>
      </c>
      <c r="L56" s="4">
        <f>T1.PLATEREADER_VALUE("",E45)</f>
        <v>9305</v>
      </c>
      <c r="M56" s="4">
        <f>T1.PLATEREADER_VALUE("",E45)</f>
        <v>10783</v>
      </c>
      <c r="N56" s="4">
        <f>T1.PLATEREADER_VALUE("",E45)</f>
        <v>10655</v>
      </c>
      <c r="O56" s="4">
        <f>T1.PLATEREADER_VALUE("",E45)</f>
        <v>11252</v>
      </c>
      <c r="P56" s="4">
        <f>T1.PLATEREADER_VALUE("",E45)</f>
        <v>10062</v>
      </c>
      <c r="Q56" s="4">
        <f>T1.PLATEREADER_VALUE("",E45)</f>
        <v>10339</v>
      </c>
      <c r="R56" s="4">
        <f>T1.PLATEREADER_VALUE("",E45)</f>
        <v>2766</v>
      </c>
      <c r="S56" s="4">
        <f>T1.PLATEREADER_VALUE("",E45)</f>
        <v>2797</v>
      </c>
      <c r="T56" s="4">
        <f>T1.PLATEREADER_VALUE("",E45)</f>
        <v>9681</v>
      </c>
      <c r="U56" s="4">
        <f>T1.PLATEREADER_VALUE("",E45)</f>
        <v>10154</v>
      </c>
      <c r="V56" s="4">
        <f>T1.PLATEREADER_VALUE("",E45)</f>
        <v>3202</v>
      </c>
      <c r="W56" s="4">
        <f>T1.PLATEREADER_VALUE("",E45)</f>
        <v>11936</v>
      </c>
      <c r="X56" s="4">
        <f>T1.PLATEREADER_VALUE("",E45)</f>
        <v>12298</v>
      </c>
      <c r="Y56" s="4">
        <f>T1.PLATEREADER_VALUE("",E45)</f>
        <v>3535</v>
      </c>
      <c r="Z56" s="4" t="str">
        <f>T1.PLATEREADER_VALUE("",E45)</f>
        <v xml:space="preserve">           -</v>
      </c>
    </row>
    <row r="57" spans="2:26" s="25" customFormat="1" ht="11.25" customHeight="1">
      <c r="B57" s="1" t="s">
        <v>424</v>
      </c>
      <c r="C57" s="4" t="str">
        <f>T1.PLATEREADER_VALUE("",E45)</f>
        <v xml:space="preserve">           -</v>
      </c>
      <c r="D57" s="4">
        <f>T1.PLATEREADER_VALUE("",E45)</f>
        <v>13239</v>
      </c>
      <c r="E57" s="4">
        <f>T1.PLATEREADER_VALUE("",E45)</f>
        <v>3778</v>
      </c>
      <c r="F57" s="4">
        <f>T1.PLATEREADER_VALUE("",E45)</f>
        <v>3868</v>
      </c>
      <c r="G57" s="4">
        <f>T1.PLATEREADER_VALUE("",E45)</f>
        <v>3741</v>
      </c>
      <c r="H57" s="4">
        <f>T1.PLATEREADER_VALUE("",E45)</f>
        <v>4016</v>
      </c>
      <c r="I57" s="4">
        <f>T1.PLATEREADER_VALUE("",E45)</f>
        <v>4359</v>
      </c>
      <c r="J57" s="4">
        <f>T1.PLATEREADER_VALUE("",E45)</f>
        <v>5748</v>
      </c>
      <c r="K57" s="4">
        <f>T1.PLATEREADER_VALUE("",E45)</f>
        <v>7994</v>
      </c>
      <c r="L57" s="4">
        <f>T1.PLATEREADER_VALUE("",E45)</f>
        <v>9941</v>
      </c>
      <c r="M57" s="4">
        <f>T1.PLATEREADER_VALUE("",E45)</f>
        <v>10296</v>
      </c>
      <c r="N57" s="4">
        <f>T1.PLATEREADER_VALUE("",E45)</f>
        <v>11050</v>
      </c>
      <c r="O57" s="4">
        <f>T1.PLATEREADER_VALUE("",E45)</f>
        <v>10760</v>
      </c>
      <c r="P57" s="4">
        <f>T1.PLATEREADER_VALUE("",E45)</f>
        <v>10339</v>
      </c>
      <c r="Q57" s="4">
        <f>T1.PLATEREADER_VALUE("",E45)</f>
        <v>10266</v>
      </c>
      <c r="R57" s="4">
        <f>T1.PLATEREADER_VALUE("",E45)</f>
        <v>2712</v>
      </c>
      <c r="S57" s="4">
        <f>T1.PLATEREADER_VALUE("",E45)</f>
        <v>2879</v>
      </c>
      <c r="T57" s="4">
        <f>T1.PLATEREADER_VALUE("",E45)</f>
        <v>10143</v>
      </c>
      <c r="U57" s="4">
        <f>T1.PLATEREADER_VALUE("",E45)</f>
        <v>8140</v>
      </c>
      <c r="V57" s="4">
        <f>T1.PLATEREADER_VALUE("",E45)</f>
        <v>3270</v>
      </c>
      <c r="W57" s="4">
        <f>T1.PLATEREADER_VALUE("",E45)</f>
        <v>12022</v>
      </c>
      <c r="X57" s="4">
        <f>T1.PLATEREADER_VALUE("",E45)</f>
        <v>12180</v>
      </c>
      <c r="Y57" s="4">
        <f>T1.PLATEREADER_VALUE("",E45)</f>
        <v>3609</v>
      </c>
      <c r="Z57" s="4" t="str">
        <f>T1.PLATEREADER_VALUE("",E45)</f>
        <v xml:space="preserve">           -</v>
      </c>
    </row>
    <row r="58" spans="2:26" s="25" customFormat="1" ht="11.25" customHeight="1">
      <c r="B58" s="1" t="s">
        <v>425</v>
      </c>
      <c r="C58" s="4" t="str">
        <f>T1.PLATEREADER_VALUE("",E45)</f>
        <v xml:space="preserve">           -</v>
      </c>
      <c r="D58" s="4">
        <f>T1.PLATEREADER_VALUE("",E45)</f>
        <v>11029</v>
      </c>
      <c r="E58" s="4">
        <f>T1.PLATEREADER_VALUE("",E45)</f>
        <v>3796</v>
      </c>
      <c r="F58" s="4">
        <f>T1.PLATEREADER_VALUE("",E45)</f>
        <v>3672</v>
      </c>
      <c r="G58" s="4">
        <f>T1.PLATEREADER_VALUE("",E45)</f>
        <v>4007</v>
      </c>
      <c r="H58" s="4">
        <f>T1.PLATEREADER_VALUE("",E45)</f>
        <v>4322</v>
      </c>
      <c r="I58" s="4">
        <f>T1.PLATEREADER_VALUE("",E45)</f>
        <v>5551</v>
      </c>
      <c r="J58" s="4">
        <f>T1.PLATEREADER_VALUE("",E45)</f>
        <v>7048</v>
      </c>
      <c r="K58" s="4">
        <f>T1.PLATEREADER_VALUE("",E45)</f>
        <v>9391</v>
      </c>
      <c r="L58" s="4">
        <f>T1.PLATEREADER_VALUE("",E45)</f>
        <v>10150</v>
      </c>
      <c r="M58" s="4">
        <f>T1.PLATEREADER_VALUE("",E45)</f>
        <v>11364</v>
      </c>
      <c r="N58" s="4">
        <f>T1.PLATEREADER_VALUE("",E45)</f>
        <v>10348</v>
      </c>
      <c r="O58" s="4">
        <f>T1.PLATEREADER_VALUE("",E45)</f>
        <v>10878</v>
      </c>
      <c r="P58" s="4">
        <f>T1.PLATEREADER_VALUE("",E45)</f>
        <v>9510</v>
      </c>
      <c r="Q58" s="4">
        <f>T1.PLATEREADER_VALUE("",E45)</f>
        <v>9826</v>
      </c>
      <c r="R58" s="4">
        <f>T1.PLATEREADER_VALUE("",E45)</f>
        <v>2736</v>
      </c>
      <c r="S58" s="4">
        <f>T1.PLATEREADER_VALUE("",E45)</f>
        <v>2795</v>
      </c>
      <c r="T58" s="4">
        <f>T1.PLATEREADER_VALUE("",E45)</f>
        <v>8851</v>
      </c>
      <c r="U58" s="4">
        <f>T1.PLATEREADER_VALUE("",E45)</f>
        <v>8797</v>
      </c>
      <c r="V58" s="4">
        <f>T1.PLATEREADER_VALUE("",E45)</f>
        <v>3146</v>
      </c>
      <c r="W58" s="4">
        <f>T1.PLATEREADER_VALUE("",E45)</f>
        <v>8146</v>
      </c>
      <c r="X58" s="4">
        <f>T1.PLATEREADER_VALUE("",E45)</f>
        <v>8417</v>
      </c>
      <c r="Y58" s="4">
        <f>T1.PLATEREADER_VALUE("",E45)</f>
        <v>3475</v>
      </c>
      <c r="Z58" s="4" t="str">
        <f>T1.PLATEREADER_VALUE("",E45)</f>
        <v xml:space="preserve">           -</v>
      </c>
    </row>
    <row r="59" spans="2:26" s="25" customFormat="1" ht="11.25" customHeight="1">
      <c r="B59" s="1" t="s">
        <v>426</v>
      </c>
      <c r="C59" s="4" t="str">
        <f>T1.PLATEREADER_VALUE("",E45)</f>
        <v xml:space="preserve">           -</v>
      </c>
      <c r="D59" s="4">
        <f>T1.PLATEREADER_VALUE("",E45)</f>
        <v>10620</v>
      </c>
      <c r="E59" s="4">
        <f>T1.PLATEREADER_VALUE("",E45)</f>
        <v>3624</v>
      </c>
      <c r="F59" s="4">
        <f>T1.PLATEREADER_VALUE("",E45)</f>
        <v>3951</v>
      </c>
      <c r="G59" s="4">
        <f>T1.PLATEREADER_VALUE("",E45)</f>
        <v>3749</v>
      </c>
      <c r="H59" s="4">
        <f>T1.PLATEREADER_VALUE("",E45)</f>
        <v>4363</v>
      </c>
      <c r="I59" s="4">
        <f>T1.PLATEREADER_VALUE("",E45)</f>
        <v>5241</v>
      </c>
      <c r="J59" s="4">
        <f>T1.PLATEREADER_VALUE("",E45)</f>
        <v>7497</v>
      </c>
      <c r="K59" s="4">
        <f>T1.PLATEREADER_VALUE("",E45)</f>
        <v>9001</v>
      </c>
      <c r="L59" s="4">
        <f>T1.PLATEREADER_VALUE("",E45)</f>
        <v>10345</v>
      </c>
      <c r="M59" s="4">
        <f>T1.PLATEREADER_VALUE("",E45)</f>
        <v>10176</v>
      </c>
      <c r="N59" s="4">
        <f>T1.PLATEREADER_VALUE("",E45)</f>
        <v>10753</v>
      </c>
      <c r="O59" s="4">
        <f>T1.PLATEREADER_VALUE("",E45)</f>
        <v>10274</v>
      </c>
      <c r="P59" s="4">
        <f>T1.PLATEREADER_VALUE("",E45)</f>
        <v>9795</v>
      </c>
      <c r="Q59" s="4">
        <f>T1.PLATEREADER_VALUE("",E45)</f>
        <v>9360</v>
      </c>
      <c r="R59" s="4">
        <f>T1.PLATEREADER_VALUE("",E45)</f>
        <v>2701</v>
      </c>
      <c r="S59" s="4">
        <f>T1.PLATEREADER_VALUE("",E45)</f>
        <v>2731</v>
      </c>
      <c r="T59" s="4">
        <f>T1.PLATEREADER_VALUE("",E45)</f>
        <v>9377</v>
      </c>
      <c r="U59" s="4">
        <f>T1.PLATEREADER_VALUE("",E45)</f>
        <v>9598</v>
      </c>
      <c r="V59" s="4">
        <f>T1.PLATEREADER_VALUE("",E45)</f>
        <v>3088</v>
      </c>
      <c r="W59" s="4">
        <f>T1.PLATEREADER_VALUE("",E45)</f>
        <v>8611</v>
      </c>
      <c r="X59" s="4">
        <f>T1.PLATEREADER_VALUE("",E45)</f>
        <v>8244</v>
      </c>
      <c r="Y59" s="4">
        <f>T1.PLATEREADER_VALUE("",E45)</f>
        <v>3535</v>
      </c>
      <c r="Z59" s="4" t="str">
        <f>T1.PLATEREADER_VALUE("",E45)</f>
        <v xml:space="preserve">           -</v>
      </c>
    </row>
    <row r="60" spans="2:26" s="25" customFormat="1" ht="11.25" customHeight="1">
      <c r="B60" s="1" t="s">
        <v>427</v>
      </c>
      <c r="C60" s="4" t="str">
        <f>T1.PLATEREADER_VALUE("",E45)</f>
        <v xml:space="preserve">           -</v>
      </c>
      <c r="D60" s="4">
        <f>T1.PLATEREADER_VALUE("",E45)</f>
        <v>11218</v>
      </c>
      <c r="E60" s="4">
        <f>T1.PLATEREADER_VALUE("",E45)</f>
        <v>3956</v>
      </c>
      <c r="F60" s="4">
        <f>T1.PLATEREADER_VALUE("",E45)</f>
        <v>3804</v>
      </c>
      <c r="G60" s="4">
        <f>T1.PLATEREADER_VALUE("",E45)</f>
        <v>4109</v>
      </c>
      <c r="H60" s="4">
        <f>T1.PLATEREADER_VALUE("",E45)</f>
        <v>4611</v>
      </c>
      <c r="I60" s="4">
        <f>T1.PLATEREADER_VALUE("",E45)</f>
        <v>5848</v>
      </c>
      <c r="J60" s="4">
        <f>T1.PLATEREADER_VALUE("",E45)</f>
        <v>7519</v>
      </c>
      <c r="K60" s="4">
        <f>T1.PLATEREADER_VALUE("",E45)</f>
        <v>9691</v>
      </c>
      <c r="L60" s="4">
        <f>T1.PLATEREADER_VALUE("",E45)</f>
        <v>10395</v>
      </c>
      <c r="M60" s="4">
        <f>T1.PLATEREADER_VALUE("",E45)</f>
        <v>11199</v>
      </c>
      <c r="N60" s="4">
        <f>T1.PLATEREADER_VALUE("",E45)</f>
        <v>10885</v>
      </c>
      <c r="O60" s="4">
        <f>T1.PLATEREADER_VALUE("",E45)</f>
        <v>11260</v>
      </c>
      <c r="P60" s="4">
        <f>T1.PLATEREADER_VALUE("",E45)</f>
        <v>9806</v>
      </c>
      <c r="Q60" s="4">
        <f>T1.PLATEREADER_VALUE("",E45)</f>
        <v>9922</v>
      </c>
      <c r="R60" s="4">
        <f>T1.PLATEREADER_VALUE("",E45)</f>
        <v>2729</v>
      </c>
      <c r="S60" s="4">
        <f>T1.PLATEREADER_VALUE("",E45)</f>
        <v>2776</v>
      </c>
      <c r="T60" s="4">
        <f>T1.PLATEREADER_VALUE("",E45)</f>
        <v>9122</v>
      </c>
      <c r="U60" s="4">
        <f>T1.PLATEREADER_VALUE("",E45)</f>
        <v>9806</v>
      </c>
      <c r="V60" s="4">
        <f>T1.PLATEREADER_VALUE("",E45)</f>
        <v>3144</v>
      </c>
      <c r="W60" s="4">
        <f>T1.PLATEREADER_VALUE("",E45)</f>
        <v>5860</v>
      </c>
      <c r="X60" s="4">
        <f>T1.PLATEREADER_VALUE("",E45)</f>
        <v>5968</v>
      </c>
      <c r="Y60" s="4">
        <f>T1.PLATEREADER_VALUE("",E45)</f>
        <v>3590</v>
      </c>
      <c r="Z60" s="4" t="str">
        <f>T1.PLATEREADER_VALUE("",E45)</f>
        <v xml:space="preserve">           -</v>
      </c>
    </row>
    <row r="61" spans="2:26" s="25" customFormat="1" ht="11.25" customHeight="1">
      <c r="B61" s="1" t="s">
        <v>428</v>
      </c>
      <c r="C61" s="4" t="str">
        <f>T1.PLATEREADER_VALUE("",E45)</f>
        <v xml:space="preserve">           -</v>
      </c>
      <c r="D61" s="4">
        <f>T1.PLATEREADER_VALUE("",E45)</f>
        <v>11221</v>
      </c>
      <c r="E61" s="4">
        <f>T1.PLATEREADER_VALUE("",E45)</f>
        <v>3652</v>
      </c>
      <c r="F61" s="4">
        <f>T1.PLATEREADER_VALUE("",E45)</f>
        <v>4355</v>
      </c>
      <c r="G61" s="4">
        <f>T1.PLATEREADER_VALUE("",E45)</f>
        <v>3893</v>
      </c>
      <c r="H61" s="4">
        <f>T1.PLATEREADER_VALUE("",E45)</f>
        <v>4983</v>
      </c>
      <c r="I61" s="4">
        <f>T1.PLATEREADER_VALUE("",E45)</f>
        <v>5678</v>
      </c>
      <c r="J61" s="4">
        <f>T1.PLATEREADER_VALUE("",E45)</f>
        <v>8067</v>
      </c>
      <c r="K61" s="4">
        <f>T1.PLATEREADER_VALUE("",E45)</f>
        <v>9295</v>
      </c>
      <c r="L61" s="4">
        <f>T1.PLATEREADER_VALUE("",E45)</f>
        <v>10790</v>
      </c>
      <c r="M61" s="4">
        <f>T1.PLATEREADER_VALUE("",E45)</f>
        <v>10769</v>
      </c>
      <c r="N61" s="4">
        <f>T1.PLATEREADER_VALUE("",E45)</f>
        <v>11090</v>
      </c>
      <c r="O61" s="4">
        <f>T1.PLATEREADER_VALUE("",E45)</f>
        <v>10742</v>
      </c>
      <c r="P61" s="4">
        <f>T1.PLATEREADER_VALUE("",E45)</f>
        <v>9806</v>
      </c>
      <c r="Q61" s="4">
        <f>T1.PLATEREADER_VALUE("",E45)</f>
        <v>9741</v>
      </c>
      <c r="R61" s="4">
        <f>T1.PLATEREADER_VALUE("",E45)</f>
        <v>2678</v>
      </c>
      <c r="S61" s="4">
        <f>T1.PLATEREADER_VALUE("",E45)</f>
        <v>2702</v>
      </c>
      <c r="T61" s="4">
        <f>T1.PLATEREADER_VALUE("",E45)</f>
        <v>9502</v>
      </c>
      <c r="U61" s="4">
        <f>T1.PLATEREADER_VALUE("",E45)</f>
        <v>9606</v>
      </c>
      <c r="V61" s="4">
        <f>T1.PLATEREADER_VALUE("",E45)</f>
        <v>3123</v>
      </c>
      <c r="W61" s="4">
        <f>T1.PLATEREADER_VALUE("",E45)</f>
        <v>5918</v>
      </c>
      <c r="X61" s="4">
        <f>T1.PLATEREADER_VALUE("",E45)</f>
        <v>5949</v>
      </c>
      <c r="Y61" s="4">
        <f>T1.PLATEREADER_VALUE("",E45)</f>
        <v>3783</v>
      </c>
      <c r="Z61" s="4" t="str">
        <f>T1.PLATEREADER_VALUE("",E45)</f>
        <v xml:space="preserve">           -</v>
      </c>
    </row>
    <row r="62" spans="2:26" s="25" customFormat="1" ht="11.25" customHeight="1">
      <c r="B62" s="1" t="s">
        <v>429</v>
      </c>
      <c r="C62" s="4" t="str">
        <f>T1.PLATEREADER_VALUE("",E45)</f>
        <v xml:space="preserve">           -</v>
      </c>
      <c r="D62" s="4">
        <f>T1.PLATEREADER_VALUE("",E45)</f>
        <v>11231</v>
      </c>
      <c r="E62" s="4">
        <f>T1.PLATEREADER_VALUE("",E45)</f>
        <v>3993</v>
      </c>
      <c r="F62" s="4">
        <f>T1.PLATEREADER_VALUE("",E45)</f>
        <v>3735</v>
      </c>
      <c r="G62" s="4">
        <f>T1.PLATEREADER_VALUE("",E45)</f>
        <v>4168</v>
      </c>
      <c r="H62" s="4">
        <f>T1.PLATEREADER_VALUE("",E45)</f>
        <v>4417</v>
      </c>
      <c r="I62" s="4">
        <f>T1.PLATEREADER_VALUE("",E45)</f>
        <v>5849</v>
      </c>
      <c r="J62" s="4">
        <f>T1.PLATEREADER_VALUE("",E45)</f>
        <v>7469</v>
      </c>
      <c r="K62" s="4">
        <f>T1.PLATEREADER_VALUE("",E45)</f>
        <v>10267</v>
      </c>
      <c r="L62" s="4">
        <f>T1.PLATEREADER_VALUE("",E45)</f>
        <v>10339</v>
      </c>
      <c r="M62" s="4">
        <f>T1.PLATEREADER_VALUE("",E45)</f>
        <v>11802</v>
      </c>
      <c r="N62" s="4">
        <f>T1.PLATEREADER_VALUE("",E45)</f>
        <v>10833</v>
      </c>
      <c r="O62" s="4">
        <f>T1.PLATEREADER_VALUE("",E45)</f>
        <v>11522</v>
      </c>
      <c r="P62" s="4">
        <f>T1.PLATEREADER_VALUE("",E45)</f>
        <v>9888</v>
      </c>
      <c r="Q62" s="4">
        <f>T1.PLATEREADER_VALUE("",E45)</f>
        <v>10054</v>
      </c>
      <c r="R62" s="4">
        <f>T1.PLATEREADER_VALUE("",E45)</f>
        <v>2736</v>
      </c>
      <c r="S62" s="4">
        <f>T1.PLATEREADER_VALUE("",E45)</f>
        <v>2762</v>
      </c>
      <c r="T62" s="4">
        <f>T1.PLATEREADER_VALUE("",E45)</f>
        <v>8169</v>
      </c>
      <c r="U62" s="4">
        <f>T1.PLATEREADER_VALUE("",E45)</f>
        <v>9903</v>
      </c>
      <c r="V62" s="4">
        <f>T1.PLATEREADER_VALUE("",E45)</f>
        <v>3161</v>
      </c>
      <c r="W62" s="4">
        <f>T1.PLATEREADER_VALUE("",E45)</f>
        <v>4241</v>
      </c>
      <c r="X62" s="4">
        <f>T1.PLATEREADER_VALUE("",E45)</f>
        <v>4454</v>
      </c>
      <c r="Y62" s="4">
        <f>T1.PLATEREADER_VALUE("",E45)</f>
        <v>3591</v>
      </c>
      <c r="Z62" s="4" t="str">
        <f>T1.PLATEREADER_VALUE("",E45)</f>
        <v xml:space="preserve">           -</v>
      </c>
    </row>
    <row r="63" spans="2:26" s="25" customFormat="1" ht="11.25" customHeight="1">
      <c r="B63" s="1" t="s">
        <v>430</v>
      </c>
      <c r="C63" s="4" t="str">
        <f>T1.PLATEREADER_VALUE("",E45)</f>
        <v xml:space="preserve">           -</v>
      </c>
      <c r="D63" s="4">
        <f>T1.PLATEREADER_VALUE("",E45)</f>
        <v>12681</v>
      </c>
      <c r="E63" s="4">
        <f>T1.PLATEREADER_VALUE("",E45)</f>
        <v>12190</v>
      </c>
      <c r="F63" s="4">
        <f>T1.PLATEREADER_VALUE("",E45)</f>
        <v>11951</v>
      </c>
      <c r="G63" s="4">
        <f>T1.PLATEREADER_VALUE("",E45)</f>
        <v>11178</v>
      </c>
      <c r="H63" s="4">
        <f>T1.PLATEREADER_VALUE("",E45)</f>
        <v>11755</v>
      </c>
      <c r="I63" s="4">
        <f>T1.PLATEREADER_VALUE("",E45)</f>
        <v>11874</v>
      </c>
      <c r="J63" s="4">
        <f>T1.PLATEREADER_VALUE("",E45)</f>
        <v>11637</v>
      </c>
      <c r="K63" s="4">
        <f>T1.PLATEREADER_VALUE("",E45)</f>
        <v>10980</v>
      </c>
      <c r="L63" s="4">
        <f>T1.PLATEREADER_VALUE("",E45)</f>
        <v>11421</v>
      </c>
      <c r="M63" s="4">
        <f>T1.PLATEREADER_VALUE("",E45)</f>
        <v>11432</v>
      </c>
      <c r="N63" s="4">
        <f>T1.PLATEREADER_VALUE("",E45)</f>
        <v>11516</v>
      </c>
      <c r="O63" s="4">
        <f>T1.PLATEREADER_VALUE("",E45)</f>
        <v>10911</v>
      </c>
      <c r="P63" s="4">
        <f>T1.PLATEREADER_VALUE("",E45)</f>
        <v>10409</v>
      </c>
      <c r="Q63" s="4">
        <f>T1.PLATEREADER_VALUE("",E45)</f>
        <v>10058</v>
      </c>
      <c r="R63" s="4">
        <f>T1.PLATEREADER_VALUE("",E45)</f>
        <v>2686</v>
      </c>
      <c r="S63" s="4">
        <f>T1.PLATEREADER_VALUE("",E45)</f>
        <v>2705</v>
      </c>
      <c r="T63" s="4">
        <f>T1.PLATEREADER_VALUE("",E45)</f>
        <v>9649</v>
      </c>
      <c r="U63" s="4">
        <f>T1.PLATEREADER_VALUE("",E45)</f>
        <v>9759</v>
      </c>
      <c r="V63" s="4">
        <f>T1.PLATEREADER_VALUE("",E45)</f>
        <v>3252</v>
      </c>
      <c r="W63" s="4">
        <f>T1.PLATEREADER_VALUE("",E45)</f>
        <v>4341</v>
      </c>
      <c r="X63" s="4">
        <f>T1.PLATEREADER_VALUE("",E45)</f>
        <v>4535</v>
      </c>
      <c r="Y63" s="4">
        <f>T1.PLATEREADER_VALUE("",E45)</f>
        <v>3681</v>
      </c>
      <c r="Z63" s="4" t="str">
        <f>T1.PLATEREADER_VALUE("",E45)</f>
        <v xml:space="preserve">           -</v>
      </c>
    </row>
    <row r="64" spans="2:26" s="25" customFormat="1" ht="11.25" customHeight="1">
      <c r="B64" s="1"/>
      <c r="C64" s="3"/>
      <c r="D64" s="3"/>
      <c r="E64" s="3"/>
      <c r="F64" s="3"/>
      <c r="G64" s="3"/>
      <c r="H64" s="3"/>
      <c r="I64" s="3"/>
      <c r="J64" s="3"/>
      <c r="K64" s="3"/>
      <c r="L64" s="3"/>
      <c r="M64" s="3"/>
      <c r="N64" s="3"/>
      <c r="O64" s="3"/>
      <c r="P64" s="3"/>
      <c r="Q64" s="3"/>
      <c r="R64" s="3"/>
      <c r="S64" s="3"/>
      <c r="T64" s="3"/>
      <c r="U64" s="3"/>
      <c r="V64" s="3"/>
      <c r="W64" s="3"/>
      <c r="X64" s="3"/>
      <c r="Y64" s="3"/>
      <c r="Z64" s="3"/>
    </row>
    <row r="65" spans="1:25" s="25" customFormat="1" ht="11.25" customHeight="1">
      <c r="A65" s="6"/>
      <c r="B65" s="5"/>
      <c r="C65" s="10" t="s">
        <v>752</v>
      </c>
      <c r="D65" s="8">
        <f>T1.Label("RAW_DATA","sb")</f>
        <v>3.235411152056193</v>
      </c>
      <c r="E65" s="3"/>
      <c r="F65" s="33" t="s">
        <v>753</v>
      </c>
      <c r="G65" s="3">
        <f>T1.Label("RAW_DATA","sn")</f>
        <v>158.09789617453762</v>
      </c>
      <c r="I65" s="33" t="s">
        <v>751</v>
      </c>
      <c r="J65" s="7">
        <f>T1.Label("RAW_DATA","zprime")</f>
        <v>0.69436763895884557</v>
      </c>
      <c r="K65" s="3"/>
      <c r="L65" s="33" t="s">
        <v>754</v>
      </c>
      <c r="M65" s="7">
        <f>T1.role("MAX","RAW_DATA","cvp")</f>
        <v>6.4064003112816348</v>
      </c>
      <c r="N65" s="3"/>
      <c r="O65" s="33" t="s">
        <v>755</v>
      </c>
      <c r="P65" s="7">
        <f>T1.role("MIN","RAW_DATA","cvp")</f>
        <v>2.0464605983651731</v>
      </c>
      <c r="Q65" s="3"/>
      <c r="R65" s="33" t="s">
        <v>756</v>
      </c>
      <c r="S65" s="3">
        <f>T1.role("MAX","RAW_DATA","avr")</f>
        <v>11688.125</v>
      </c>
      <c r="U65" s="33" t="s">
        <v>757</v>
      </c>
      <c r="V65" s="3">
        <f>T1.role("MIN","RAW_DATA","avr")</f>
        <v>3612.5625</v>
      </c>
      <c r="X65" s="33" t="s">
        <v>798</v>
      </c>
      <c r="Y65" s="3">
        <f>T1.role("CPD*","RAW_DATA","avr")</f>
        <v>7518.424242424242</v>
      </c>
    </row>
    <row r="66" spans="1:25" s="25" customFormat="1" ht="11.25" customHeight="1">
      <c r="A66" s="6"/>
      <c r="B66" s="5"/>
      <c r="D66" s="3"/>
      <c r="E66" s="3"/>
      <c r="F66" s="33"/>
      <c r="G66" s="3"/>
      <c r="I66" s="33"/>
      <c r="J66" s="7"/>
      <c r="K66" s="3"/>
      <c r="L66" s="33"/>
      <c r="M66" s="7"/>
      <c r="N66" s="3"/>
      <c r="O66" s="33"/>
      <c r="P66" s="7"/>
      <c r="Q66" s="3"/>
      <c r="R66" s="33"/>
      <c r="S66" s="3"/>
      <c r="U66" s="33"/>
      <c r="V66" s="3"/>
      <c r="X66" s="33"/>
      <c r="Y66" s="3"/>
    </row>
    <row r="67" spans="1:25" s="28" customFormat="1" ht="11.25" customHeight="1">
      <c r="A67" s="138" t="s">
        <v>3369</v>
      </c>
    </row>
    <row r="68" spans="1:25" s="25" customFormat="1" ht="11.25" customHeight="1"/>
    <row r="69" spans="1:25" s="25" customFormat="1" ht="11.25" customHeight="1"/>
    <row r="70" spans="1:25" s="25" customFormat="1" ht="11.25" customHeight="1"/>
    <row r="71" spans="1:25" s="25" customFormat="1" ht="11.25" customHeight="1"/>
    <row r="72" spans="1:25" s="25" customFormat="1" ht="11.25" customHeight="1"/>
    <row r="73" spans="1:25" s="25" customFormat="1" ht="11.25" customHeight="1"/>
    <row r="74" spans="1:25" s="25" customFormat="1" ht="11.25" customHeight="1"/>
    <row r="75" spans="1:25" s="25" customFormat="1" ht="11.25" customHeight="1"/>
    <row r="76" spans="1:25" s="25" customFormat="1" ht="11.25" customHeight="1"/>
    <row r="77" spans="1:25" s="25" customFormat="1" ht="11.25" customHeight="1"/>
    <row r="78" spans="1:25" s="25" customFormat="1" ht="11.25" customHeight="1"/>
    <row r="79" spans="1:25" s="25" customFormat="1" ht="11.25" customHeight="1"/>
    <row r="80" spans="1:25" s="25" customFormat="1" ht="11.25" customHeight="1"/>
    <row r="81" spans="1:26" s="25" customFormat="1" ht="11.25" customHeight="1"/>
    <row r="82" spans="1:26" s="25" customFormat="1" ht="11.25" customHeight="1"/>
    <row r="83" spans="1:26" s="25" customFormat="1" ht="11.25" customHeight="1"/>
    <row r="84" spans="1:26" s="25" customFormat="1" ht="11.25" customHeight="1"/>
    <row r="85" spans="1:26" s="25" customFormat="1" ht="11.25" customHeight="1"/>
    <row r="86" spans="1:26" s="25" customFormat="1" ht="11.25" customHeight="1"/>
    <row r="87" spans="1:26" s="25" customFormat="1" ht="11.25" customHeight="1"/>
    <row r="88" spans="1:26" s="25" customFormat="1" ht="11.25" customHeight="1"/>
    <row r="89" spans="1:26" s="25" customFormat="1" ht="11.25" customHeight="1"/>
    <row r="90" spans="1:26" s="25" customFormat="1" ht="11.25" customHeight="1"/>
    <row r="91" spans="1:26" s="25" customFormat="1" ht="11.25" customHeight="1"/>
    <row r="92" spans="1:26" s="25" customFormat="1" ht="11.25" customHeight="1"/>
    <row r="93" spans="1:26" s="120" customFormat="1" ht="11.25" customHeight="1">
      <c r="A93" s="119" t="s">
        <v>3238</v>
      </c>
      <c r="D93" s="121" t="s">
        <v>3239</v>
      </c>
      <c r="E93" s="120" t="s">
        <v>818</v>
      </c>
      <c r="G93" s="121" t="s">
        <v>3240</v>
      </c>
      <c r="H93" s="120" t="s">
        <v>3241</v>
      </c>
    </row>
    <row r="94" spans="1:26" s="112" customFormat="1" ht="11.25" customHeight="1">
      <c r="A94" s="116"/>
      <c r="D94" s="122"/>
    </row>
    <row r="95" spans="1:26" ht="11.25" customHeight="1">
      <c r="B95" s="113"/>
      <c r="C95" s="113">
        <v>1</v>
      </c>
      <c r="D95" s="113">
        <v>2</v>
      </c>
      <c r="E95" s="113">
        <v>3</v>
      </c>
      <c r="F95" s="113">
        <v>4</v>
      </c>
      <c r="G95" s="113">
        <v>5</v>
      </c>
      <c r="H95" s="113">
        <v>6</v>
      </c>
      <c r="I95" s="113">
        <v>7</v>
      </c>
      <c r="J95" s="113">
        <v>8</v>
      </c>
      <c r="K95" s="113">
        <v>9</v>
      </c>
      <c r="L95" s="113">
        <v>10</v>
      </c>
      <c r="M95" s="113">
        <v>11</v>
      </c>
      <c r="N95" s="113">
        <v>12</v>
      </c>
      <c r="O95" s="113">
        <v>13</v>
      </c>
      <c r="P95" s="113">
        <v>14</v>
      </c>
      <c r="Q95" s="113">
        <v>15</v>
      </c>
      <c r="R95" s="113">
        <v>16</v>
      </c>
      <c r="S95" s="113">
        <v>17</v>
      </c>
      <c r="T95" s="113">
        <v>18</v>
      </c>
      <c r="U95" s="113">
        <v>19</v>
      </c>
      <c r="V95" s="113">
        <v>20</v>
      </c>
      <c r="W95" s="113">
        <v>21</v>
      </c>
      <c r="X95" s="113">
        <v>22</v>
      </c>
      <c r="Y95" s="113">
        <v>23</v>
      </c>
      <c r="Z95" s="113">
        <v>24</v>
      </c>
    </row>
    <row r="96" spans="1:26" ht="11.25" customHeight="1">
      <c r="B96" s="113" t="s">
        <v>3215</v>
      </c>
      <c r="C96" s="117">
        <f>T1.WELL("",$E$93,$H$93)</f>
        <v>144.7344999187363</v>
      </c>
      <c r="D96" s="117">
        <f t="shared" ref="D96:S111" si="0">T1.WELL("",$E$93,$H$93)</f>
        <v>144.7344999187363</v>
      </c>
      <c r="E96" s="117">
        <f t="shared" si="0"/>
        <v>144.7344999187363</v>
      </c>
      <c r="F96" s="117">
        <f t="shared" si="0"/>
        <v>144.7344999187363</v>
      </c>
      <c r="G96" s="117">
        <f t="shared" si="0"/>
        <v>144.7344999187363</v>
      </c>
      <c r="H96" s="117">
        <f t="shared" si="0"/>
        <v>144.7344999187363</v>
      </c>
      <c r="I96" s="117">
        <f t="shared" si="0"/>
        <v>144.7344999187363</v>
      </c>
      <c r="J96" s="117">
        <f t="shared" si="0"/>
        <v>144.7344999187363</v>
      </c>
      <c r="K96" s="117">
        <f t="shared" si="0"/>
        <v>144.7344999187363</v>
      </c>
      <c r="L96" s="117">
        <f t="shared" si="0"/>
        <v>144.7344999187363</v>
      </c>
      <c r="M96" s="117">
        <f t="shared" si="0"/>
        <v>144.7344999187363</v>
      </c>
      <c r="N96" s="117">
        <f t="shared" si="0"/>
        <v>144.7344999187363</v>
      </c>
      <c r="O96" s="117">
        <f t="shared" si="0"/>
        <v>144.7344999187363</v>
      </c>
      <c r="P96" s="117">
        <f t="shared" si="0"/>
        <v>144.7344999187363</v>
      </c>
      <c r="Q96" s="117">
        <f t="shared" si="0"/>
        <v>144.7344999187363</v>
      </c>
      <c r="R96" s="117">
        <f t="shared" si="0"/>
        <v>144.7344999187363</v>
      </c>
      <c r="S96" s="117">
        <f t="shared" si="0"/>
        <v>144.7344999187363</v>
      </c>
      <c r="T96" s="117">
        <f t="shared" ref="T96:Z111" si="1">T1.WELL("",$E$93,$H$93)</f>
        <v>144.7344999187363</v>
      </c>
      <c r="U96" s="117">
        <f t="shared" si="1"/>
        <v>144.7344999187363</v>
      </c>
      <c r="V96" s="117">
        <f t="shared" si="1"/>
        <v>144.7344999187363</v>
      </c>
      <c r="W96" s="117">
        <f t="shared" si="1"/>
        <v>144.7344999187363</v>
      </c>
      <c r="X96" s="117">
        <f t="shared" si="1"/>
        <v>144.7344999187363</v>
      </c>
      <c r="Y96" s="117">
        <f t="shared" si="1"/>
        <v>144.7344999187363</v>
      </c>
      <c r="Z96" s="117">
        <f t="shared" si="1"/>
        <v>144.7344999187363</v>
      </c>
    </row>
    <row r="97" spans="2:26" ht="11.25" customHeight="1">
      <c r="B97" s="113" t="s">
        <v>3216</v>
      </c>
      <c r="C97" s="117">
        <f t="shared" ref="C97:C111" si="2">T1.WELL("",$E$93,$H$93)</f>
        <v>144.7344999187363</v>
      </c>
      <c r="D97" s="117">
        <f t="shared" si="0"/>
        <v>144.7344999187363</v>
      </c>
      <c r="E97" s="117">
        <f t="shared" si="0"/>
        <v>144.7344999187363</v>
      </c>
      <c r="F97" s="117">
        <f t="shared" si="0"/>
        <v>144.7344999187363</v>
      </c>
      <c r="G97" s="117">
        <f t="shared" si="0"/>
        <v>144.7344999187363</v>
      </c>
      <c r="H97" s="117">
        <f t="shared" si="0"/>
        <v>144.7344999187363</v>
      </c>
      <c r="I97" s="117">
        <f t="shared" si="0"/>
        <v>144.7344999187363</v>
      </c>
      <c r="J97" s="117">
        <f t="shared" si="0"/>
        <v>144.7344999187363</v>
      </c>
      <c r="K97" s="117">
        <f t="shared" si="0"/>
        <v>144.7344999187363</v>
      </c>
      <c r="L97" s="117">
        <f t="shared" si="0"/>
        <v>144.7344999187363</v>
      </c>
      <c r="M97" s="117">
        <f t="shared" si="0"/>
        <v>144.7344999187363</v>
      </c>
      <c r="N97" s="117">
        <f t="shared" si="0"/>
        <v>144.7344999187363</v>
      </c>
      <c r="O97" s="117">
        <f t="shared" si="0"/>
        <v>144.7344999187363</v>
      </c>
      <c r="P97" s="117">
        <f t="shared" si="0"/>
        <v>144.7344999187363</v>
      </c>
      <c r="Q97" s="117">
        <f t="shared" si="0"/>
        <v>144.7344999187363</v>
      </c>
      <c r="R97" s="117">
        <f t="shared" si="0"/>
        <v>144.7344999187363</v>
      </c>
      <c r="S97" s="117">
        <f t="shared" si="0"/>
        <v>144.7344999187363</v>
      </c>
      <c r="T97" s="117">
        <f t="shared" si="1"/>
        <v>144.7344999187363</v>
      </c>
      <c r="U97" s="117">
        <f t="shared" si="1"/>
        <v>144.7344999187363</v>
      </c>
      <c r="V97" s="117">
        <f t="shared" si="1"/>
        <v>144.7344999187363</v>
      </c>
      <c r="W97" s="117">
        <f t="shared" si="1"/>
        <v>144.7344999187363</v>
      </c>
      <c r="X97" s="117">
        <f t="shared" si="1"/>
        <v>144.7344999187363</v>
      </c>
      <c r="Y97" s="117">
        <f t="shared" si="1"/>
        <v>144.7344999187363</v>
      </c>
      <c r="Z97" s="117">
        <f t="shared" si="1"/>
        <v>144.7344999187363</v>
      </c>
    </row>
    <row r="98" spans="2:26" ht="11.25" customHeight="1">
      <c r="B98" s="113" t="s">
        <v>3217</v>
      </c>
      <c r="C98" s="117">
        <f t="shared" si="2"/>
        <v>144.7344999187363</v>
      </c>
      <c r="D98" s="117">
        <f t="shared" si="0"/>
        <v>144.7344999187363</v>
      </c>
      <c r="E98" s="117">
        <f t="shared" si="0"/>
        <v>144.7344999187363</v>
      </c>
      <c r="F98" s="117">
        <f t="shared" si="0"/>
        <v>144.7344999187363</v>
      </c>
      <c r="G98" s="117">
        <f t="shared" si="0"/>
        <v>144.7344999187363</v>
      </c>
      <c r="H98" s="117">
        <f t="shared" si="0"/>
        <v>144.7344999187363</v>
      </c>
      <c r="I98" s="117">
        <f t="shared" si="0"/>
        <v>144.7344999187363</v>
      </c>
      <c r="J98" s="117">
        <f t="shared" si="0"/>
        <v>144.7344999187363</v>
      </c>
      <c r="K98" s="117">
        <f t="shared" si="0"/>
        <v>144.7344999187363</v>
      </c>
      <c r="L98" s="117">
        <f t="shared" si="0"/>
        <v>144.7344999187363</v>
      </c>
      <c r="M98" s="117">
        <f t="shared" si="0"/>
        <v>144.7344999187363</v>
      </c>
      <c r="N98" s="117">
        <f t="shared" si="0"/>
        <v>144.7344999187363</v>
      </c>
      <c r="O98" s="117">
        <f t="shared" si="0"/>
        <v>144.7344999187363</v>
      </c>
      <c r="P98" s="117">
        <f t="shared" si="0"/>
        <v>144.7344999187363</v>
      </c>
      <c r="Q98" s="117">
        <f t="shared" si="0"/>
        <v>144.7344999187363</v>
      </c>
      <c r="R98" s="117">
        <f t="shared" si="0"/>
        <v>144.7344999187363</v>
      </c>
      <c r="S98" s="117">
        <f t="shared" si="0"/>
        <v>144.7344999187363</v>
      </c>
      <c r="T98" s="117">
        <f t="shared" si="1"/>
        <v>144.7344999187363</v>
      </c>
      <c r="U98" s="117">
        <f t="shared" si="1"/>
        <v>144.7344999187363</v>
      </c>
      <c r="V98" s="117">
        <f t="shared" si="1"/>
        <v>144.7344999187363</v>
      </c>
      <c r="W98" s="117">
        <f t="shared" si="1"/>
        <v>144.7344999187363</v>
      </c>
      <c r="X98" s="117">
        <f t="shared" si="1"/>
        <v>144.7344999187363</v>
      </c>
      <c r="Y98" s="117">
        <f t="shared" si="1"/>
        <v>144.7344999187363</v>
      </c>
      <c r="Z98" s="117">
        <f t="shared" si="1"/>
        <v>144.7344999187363</v>
      </c>
    </row>
    <row r="99" spans="2:26" ht="11.25" customHeight="1">
      <c r="B99" s="113" t="s">
        <v>3218</v>
      </c>
      <c r="C99" s="117">
        <f t="shared" si="2"/>
        <v>144.7344999187363</v>
      </c>
      <c r="D99" s="117">
        <f t="shared" si="0"/>
        <v>144.7344999187363</v>
      </c>
      <c r="E99" s="117">
        <f t="shared" si="0"/>
        <v>144.7344999187363</v>
      </c>
      <c r="F99" s="117">
        <f t="shared" si="0"/>
        <v>144.7344999187363</v>
      </c>
      <c r="G99" s="117">
        <f t="shared" si="0"/>
        <v>144.7344999187363</v>
      </c>
      <c r="H99" s="117">
        <f t="shared" si="0"/>
        <v>144.7344999187363</v>
      </c>
      <c r="I99" s="117">
        <f t="shared" si="0"/>
        <v>144.7344999187363</v>
      </c>
      <c r="J99" s="117">
        <f t="shared" si="0"/>
        <v>144.7344999187363</v>
      </c>
      <c r="K99" s="117">
        <f t="shared" si="0"/>
        <v>144.7344999187363</v>
      </c>
      <c r="L99" s="117">
        <f t="shared" si="0"/>
        <v>144.7344999187363</v>
      </c>
      <c r="M99" s="117">
        <f t="shared" si="0"/>
        <v>144.7344999187363</v>
      </c>
      <c r="N99" s="117">
        <f t="shared" si="0"/>
        <v>144.7344999187363</v>
      </c>
      <c r="O99" s="117">
        <f t="shared" si="0"/>
        <v>144.7344999187363</v>
      </c>
      <c r="P99" s="117">
        <f t="shared" si="0"/>
        <v>144.7344999187363</v>
      </c>
      <c r="Q99" s="117">
        <f t="shared" si="0"/>
        <v>144.7344999187363</v>
      </c>
      <c r="R99" s="117">
        <f t="shared" si="0"/>
        <v>144.7344999187363</v>
      </c>
      <c r="S99" s="117">
        <f t="shared" si="0"/>
        <v>144.7344999187363</v>
      </c>
      <c r="T99" s="117">
        <f t="shared" si="1"/>
        <v>144.7344999187363</v>
      </c>
      <c r="U99" s="117">
        <f t="shared" si="1"/>
        <v>144.7344999187363</v>
      </c>
      <c r="V99" s="117">
        <f t="shared" si="1"/>
        <v>144.7344999187363</v>
      </c>
      <c r="W99" s="117">
        <f t="shared" si="1"/>
        <v>144.7344999187363</v>
      </c>
      <c r="X99" s="117">
        <f t="shared" si="1"/>
        <v>144.7344999187363</v>
      </c>
      <c r="Y99" s="117">
        <f t="shared" si="1"/>
        <v>144.7344999187363</v>
      </c>
      <c r="Z99" s="117">
        <f t="shared" si="1"/>
        <v>144.7344999187363</v>
      </c>
    </row>
    <row r="100" spans="2:26" ht="11.25" customHeight="1">
      <c r="B100" s="113" t="s">
        <v>3219</v>
      </c>
      <c r="C100" s="117">
        <f t="shared" si="2"/>
        <v>144.7344999187363</v>
      </c>
      <c r="D100" s="117">
        <f t="shared" si="0"/>
        <v>144.7344999187363</v>
      </c>
      <c r="E100" s="117">
        <f t="shared" si="0"/>
        <v>144.7344999187363</v>
      </c>
      <c r="F100" s="117">
        <f t="shared" si="0"/>
        <v>144.7344999187363</v>
      </c>
      <c r="G100" s="117">
        <f t="shared" si="0"/>
        <v>144.7344999187363</v>
      </c>
      <c r="H100" s="117">
        <f t="shared" si="0"/>
        <v>144.7344999187363</v>
      </c>
      <c r="I100" s="117">
        <f t="shared" si="0"/>
        <v>144.7344999187363</v>
      </c>
      <c r="J100" s="117">
        <f t="shared" si="0"/>
        <v>144.7344999187363</v>
      </c>
      <c r="K100" s="117">
        <f t="shared" si="0"/>
        <v>144.7344999187363</v>
      </c>
      <c r="L100" s="117">
        <f t="shared" si="0"/>
        <v>144.7344999187363</v>
      </c>
      <c r="M100" s="117">
        <f t="shared" si="0"/>
        <v>144.7344999187363</v>
      </c>
      <c r="N100" s="117">
        <f t="shared" si="0"/>
        <v>144.7344999187363</v>
      </c>
      <c r="O100" s="117">
        <f t="shared" si="0"/>
        <v>144.7344999187363</v>
      </c>
      <c r="P100" s="117">
        <f t="shared" si="0"/>
        <v>144.7344999187363</v>
      </c>
      <c r="Q100" s="117">
        <f t="shared" si="0"/>
        <v>144.7344999187363</v>
      </c>
      <c r="R100" s="117">
        <f t="shared" si="0"/>
        <v>144.7344999187363</v>
      </c>
      <c r="S100" s="117">
        <f t="shared" si="0"/>
        <v>144.7344999187363</v>
      </c>
      <c r="T100" s="117">
        <f t="shared" si="1"/>
        <v>144.7344999187363</v>
      </c>
      <c r="U100" s="117">
        <f t="shared" si="1"/>
        <v>144.7344999187363</v>
      </c>
      <c r="V100" s="117">
        <f t="shared" si="1"/>
        <v>144.7344999187363</v>
      </c>
      <c r="W100" s="117">
        <f t="shared" si="1"/>
        <v>144.7344999187363</v>
      </c>
      <c r="X100" s="117">
        <f t="shared" si="1"/>
        <v>144.7344999187363</v>
      </c>
      <c r="Y100" s="117">
        <f t="shared" si="1"/>
        <v>144.7344999187363</v>
      </c>
      <c r="Z100" s="117">
        <f t="shared" si="1"/>
        <v>144.7344999187363</v>
      </c>
    </row>
    <row r="101" spans="2:26" ht="11.25" customHeight="1">
      <c r="B101" s="113" t="s">
        <v>3220</v>
      </c>
      <c r="C101" s="117">
        <f t="shared" si="2"/>
        <v>144.7344999187363</v>
      </c>
      <c r="D101" s="117">
        <f t="shared" si="0"/>
        <v>144.7344999187363</v>
      </c>
      <c r="E101" s="117">
        <f t="shared" si="0"/>
        <v>144.7344999187363</v>
      </c>
      <c r="F101" s="117">
        <f t="shared" si="0"/>
        <v>144.7344999187363</v>
      </c>
      <c r="G101" s="117">
        <f t="shared" si="0"/>
        <v>144.7344999187363</v>
      </c>
      <c r="H101" s="117">
        <f t="shared" si="0"/>
        <v>144.7344999187363</v>
      </c>
      <c r="I101" s="117">
        <f t="shared" si="0"/>
        <v>144.7344999187363</v>
      </c>
      <c r="J101" s="117">
        <f t="shared" si="0"/>
        <v>144.7344999187363</v>
      </c>
      <c r="K101" s="117">
        <f t="shared" si="0"/>
        <v>144.7344999187363</v>
      </c>
      <c r="L101" s="117">
        <f t="shared" si="0"/>
        <v>144.7344999187363</v>
      </c>
      <c r="M101" s="117">
        <f t="shared" si="0"/>
        <v>144.7344999187363</v>
      </c>
      <c r="N101" s="117">
        <f t="shared" si="0"/>
        <v>144.7344999187363</v>
      </c>
      <c r="O101" s="117">
        <f t="shared" si="0"/>
        <v>144.7344999187363</v>
      </c>
      <c r="P101" s="117">
        <f t="shared" si="0"/>
        <v>144.7344999187363</v>
      </c>
      <c r="Q101" s="117">
        <f t="shared" si="0"/>
        <v>144.7344999187363</v>
      </c>
      <c r="R101" s="117">
        <f t="shared" si="0"/>
        <v>144.7344999187363</v>
      </c>
      <c r="S101" s="117">
        <f t="shared" si="0"/>
        <v>144.7344999187363</v>
      </c>
      <c r="T101" s="117">
        <f t="shared" si="1"/>
        <v>144.7344999187363</v>
      </c>
      <c r="U101" s="117">
        <f t="shared" si="1"/>
        <v>144.7344999187363</v>
      </c>
      <c r="V101" s="117">
        <f t="shared" si="1"/>
        <v>144.7344999187363</v>
      </c>
      <c r="W101" s="117">
        <f t="shared" si="1"/>
        <v>144.7344999187363</v>
      </c>
      <c r="X101" s="117">
        <f t="shared" si="1"/>
        <v>144.7344999187363</v>
      </c>
      <c r="Y101" s="117">
        <f t="shared" si="1"/>
        <v>144.7344999187363</v>
      </c>
      <c r="Z101" s="117">
        <f t="shared" si="1"/>
        <v>144.7344999187363</v>
      </c>
    </row>
    <row r="102" spans="2:26" ht="11.25" customHeight="1">
      <c r="B102" s="113" t="s">
        <v>3221</v>
      </c>
      <c r="C102" s="117">
        <f t="shared" si="2"/>
        <v>144.7344999187363</v>
      </c>
      <c r="D102" s="117">
        <f t="shared" si="0"/>
        <v>144.7344999187363</v>
      </c>
      <c r="E102" s="117">
        <f t="shared" si="0"/>
        <v>144.7344999187363</v>
      </c>
      <c r="F102" s="117">
        <f t="shared" si="0"/>
        <v>144.7344999187363</v>
      </c>
      <c r="G102" s="117">
        <f t="shared" si="0"/>
        <v>144.7344999187363</v>
      </c>
      <c r="H102" s="117">
        <f t="shared" si="0"/>
        <v>144.7344999187363</v>
      </c>
      <c r="I102" s="117">
        <f t="shared" si="0"/>
        <v>144.7344999187363</v>
      </c>
      <c r="J102" s="117">
        <f t="shared" si="0"/>
        <v>144.7344999187363</v>
      </c>
      <c r="K102" s="117">
        <f t="shared" si="0"/>
        <v>144.7344999187363</v>
      </c>
      <c r="L102" s="117">
        <f t="shared" si="0"/>
        <v>144.7344999187363</v>
      </c>
      <c r="M102" s="117">
        <f t="shared" si="0"/>
        <v>144.7344999187363</v>
      </c>
      <c r="N102" s="117">
        <f t="shared" si="0"/>
        <v>144.7344999187363</v>
      </c>
      <c r="O102" s="117">
        <f t="shared" si="0"/>
        <v>144.7344999187363</v>
      </c>
      <c r="P102" s="117">
        <f t="shared" si="0"/>
        <v>144.7344999187363</v>
      </c>
      <c r="Q102" s="117">
        <f t="shared" si="0"/>
        <v>144.7344999187363</v>
      </c>
      <c r="R102" s="117">
        <f t="shared" si="0"/>
        <v>144.7344999187363</v>
      </c>
      <c r="S102" s="117">
        <f t="shared" si="0"/>
        <v>144.7344999187363</v>
      </c>
      <c r="T102" s="117">
        <f t="shared" si="1"/>
        <v>144.7344999187363</v>
      </c>
      <c r="U102" s="117">
        <f t="shared" si="1"/>
        <v>144.7344999187363</v>
      </c>
      <c r="V102" s="117">
        <f t="shared" si="1"/>
        <v>144.7344999187363</v>
      </c>
      <c r="W102" s="117">
        <f t="shared" si="1"/>
        <v>144.7344999187363</v>
      </c>
      <c r="X102" s="117">
        <f t="shared" si="1"/>
        <v>144.7344999187363</v>
      </c>
      <c r="Y102" s="117">
        <f t="shared" si="1"/>
        <v>144.7344999187363</v>
      </c>
      <c r="Z102" s="117">
        <f t="shared" si="1"/>
        <v>144.7344999187363</v>
      </c>
    </row>
    <row r="103" spans="2:26" ht="11.25" customHeight="1">
      <c r="B103" s="113" t="s">
        <v>3222</v>
      </c>
      <c r="C103" s="117">
        <f t="shared" si="2"/>
        <v>144.7344999187363</v>
      </c>
      <c r="D103" s="117">
        <f t="shared" si="0"/>
        <v>144.7344999187363</v>
      </c>
      <c r="E103" s="117">
        <f t="shared" si="0"/>
        <v>144.7344999187363</v>
      </c>
      <c r="F103" s="117">
        <f t="shared" si="0"/>
        <v>144.7344999187363</v>
      </c>
      <c r="G103" s="117">
        <f t="shared" si="0"/>
        <v>144.7344999187363</v>
      </c>
      <c r="H103" s="117">
        <f t="shared" si="0"/>
        <v>144.7344999187363</v>
      </c>
      <c r="I103" s="117">
        <f t="shared" si="0"/>
        <v>144.7344999187363</v>
      </c>
      <c r="J103" s="117">
        <f t="shared" si="0"/>
        <v>144.7344999187363</v>
      </c>
      <c r="K103" s="117">
        <f t="shared" si="0"/>
        <v>144.7344999187363</v>
      </c>
      <c r="L103" s="117">
        <f t="shared" si="0"/>
        <v>144.7344999187363</v>
      </c>
      <c r="M103" s="117">
        <f t="shared" si="0"/>
        <v>144.7344999187363</v>
      </c>
      <c r="N103" s="117">
        <f t="shared" si="0"/>
        <v>144.7344999187363</v>
      </c>
      <c r="O103" s="117">
        <f t="shared" si="0"/>
        <v>144.7344999187363</v>
      </c>
      <c r="P103" s="117">
        <f t="shared" si="0"/>
        <v>144.7344999187363</v>
      </c>
      <c r="Q103" s="117">
        <f t="shared" si="0"/>
        <v>144.7344999187363</v>
      </c>
      <c r="R103" s="117">
        <f t="shared" si="0"/>
        <v>144.7344999187363</v>
      </c>
      <c r="S103" s="117">
        <f t="shared" si="0"/>
        <v>144.7344999187363</v>
      </c>
      <c r="T103" s="117">
        <f t="shared" si="1"/>
        <v>144.7344999187363</v>
      </c>
      <c r="U103" s="117">
        <f t="shared" si="1"/>
        <v>144.7344999187363</v>
      </c>
      <c r="V103" s="117">
        <f t="shared" si="1"/>
        <v>144.7344999187363</v>
      </c>
      <c r="W103" s="117">
        <f t="shared" si="1"/>
        <v>144.7344999187363</v>
      </c>
      <c r="X103" s="117">
        <f t="shared" si="1"/>
        <v>144.7344999187363</v>
      </c>
      <c r="Y103" s="117">
        <f t="shared" si="1"/>
        <v>144.7344999187363</v>
      </c>
      <c r="Z103" s="117">
        <f t="shared" si="1"/>
        <v>144.7344999187363</v>
      </c>
    </row>
    <row r="104" spans="2:26" ht="11.25" customHeight="1">
      <c r="B104" s="113" t="s">
        <v>3223</v>
      </c>
      <c r="C104" s="117">
        <f t="shared" si="2"/>
        <v>144.7344999187363</v>
      </c>
      <c r="D104" s="117">
        <f t="shared" si="0"/>
        <v>144.7344999187363</v>
      </c>
      <c r="E104" s="117">
        <f t="shared" si="0"/>
        <v>144.7344999187363</v>
      </c>
      <c r="F104" s="117">
        <f t="shared" si="0"/>
        <v>144.7344999187363</v>
      </c>
      <c r="G104" s="117">
        <f t="shared" si="0"/>
        <v>144.7344999187363</v>
      </c>
      <c r="H104" s="117">
        <f t="shared" si="0"/>
        <v>144.7344999187363</v>
      </c>
      <c r="I104" s="117">
        <f t="shared" si="0"/>
        <v>144.7344999187363</v>
      </c>
      <c r="J104" s="117">
        <f t="shared" si="0"/>
        <v>144.7344999187363</v>
      </c>
      <c r="K104" s="117">
        <f t="shared" si="0"/>
        <v>144.7344999187363</v>
      </c>
      <c r="L104" s="117">
        <f t="shared" si="0"/>
        <v>144.7344999187363</v>
      </c>
      <c r="M104" s="117">
        <f t="shared" si="0"/>
        <v>144.7344999187363</v>
      </c>
      <c r="N104" s="117">
        <f t="shared" si="0"/>
        <v>144.7344999187363</v>
      </c>
      <c r="O104" s="117">
        <f t="shared" si="0"/>
        <v>144.7344999187363</v>
      </c>
      <c r="P104" s="117">
        <f t="shared" si="0"/>
        <v>144.7344999187363</v>
      </c>
      <c r="Q104" s="117">
        <f t="shared" si="0"/>
        <v>144.7344999187363</v>
      </c>
      <c r="R104" s="117">
        <f t="shared" si="0"/>
        <v>144.7344999187363</v>
      </c>
      <c r="S104" s="117">
        <f t="shared" si="0"/>
        <v>144.7344999187363</v>
      </c>
      <c r="T104" s="117">
        <f t="shared" si="1"/>
        <v>144.7344999187363</v>
      </c>
      <c r="U104" s="117">
        <f t="shared" si="1"/>
        <v>144.7344999187363</v>
      </c>
      <c r="V104" s="117">
        <f t="shared" si="1"/>
        <v>144.7344999187363</v>
      </c>
      <c r="W104" s="117">
        <f t="shared" si="1"/>
        <v>144.7344999187363</v>
      </c>
      <c r="X104" s="117">
        <f t="shared" si="1"/>
        <v>144.7344999187363</v>
      </c>
      <c r="Y104" s="117">
        <f t="shared" si="1"/>
        <v>144.7344999187363</v>
      </c>
      <c r="Z104" s="117">
        <f t="shared" si="1"/>
        <v>144.7344999187363</v>
      </c>
    </row>
    <row r="105" spans="2:26" ht="11.25" customHeight="1">
      <c r="B105" s="113" t="s">
        <v>3224</v>
      </c>
      <c r="C105" s="117">
        <f t="shared" si="2"/>
        <v>144.7344999187363</v>
      </c>
      <c r="D105" s="117">
        <f t="shared" si="0"/>
        <v>144.7344999187363</v>
      </c>
      <c r="E105" s="117">
        <f t="shared" si="0"/>
        <v>144.7344999187363</v>
      </c>
      <c r="F105" s="117">
        <f t="shared" si="0"/>
        <v>144.7344999187363</v>
      </c>
      <c r="G105" s="117">
        <f t="shared" si="0"/>
        <v>144.7344999187363</v>
      </c>
      <c r="H105" s="117">
        <f t="shared" si="0"/>
        <v>144.7344999187363</v>
      </c>
      <c r="I105" s="117">
        <f t="shared" si="0"/>
        <v>144.7344999187363</v>
      </c>
      <c r="J105" s="117">
        <f t="shared" si="0"/>
        <v>144.7344999187363</v>
      </c>
      <c r="K105" s="117">
        <f t="shared" si="0"/>
        <v>144.7344999187363</v>
      </c>
      <c r="L105" s="117">
        <f t="shared" si="0"/>
        <v>144.7344999187363</v>
      </c>
      <c r="M105" s="117">
        <f t="shared" si="0"/>
        <v>144.7344999187363</v>
      </c>
      <c r="N105" s="117">
        <f t="shared" si="0"/>
        <v>144.7344999187363</v>
      </c>
      <c r="O105" s="117">
        <f t="shared" si="0"/>
        <v>144.7344999187363</v>
      </c>
      <c r="P105" s="117">
        <f t="shared" si="0"/>
        <v>144.7344999187363</v>
      </c>
      <c r="Q105" s="117">
        <f t="shared" si="0"/>
        <v>144.7344999187363</v>
      </c>
      <c r="R105" s="117">
        <f t="shared" si="0"/>
        <v>144.7344999187363</v>
      </c>
      <c r="S105" s="117">
        <f t="shared" si="0"/>
        <v>144.7344999187363</v>
      </c>
      <c r="T105" s="117">
        <f t="shared" si="1"/>
        <v>144.7344999187363</v>
      </c>
      <c r="U105" s="117">
        <f t="shared" si="1"/>
        <v>144.7344999187363</v>
      </c>
      <c r="V105" s="117">
        <f t="shared" si="1"/>
        <v>144.7344999187363</v>
      </c>
      <c r="W105" s="117">
        <f t="shared" si="1"/>
        <v>144.7344999187363</v>
      </c>
      <c r="X105" s="117">
        <f t="shared" si="1"/>
        <v>144.7344999187363</v>
      </c>
      <c r="Y105" s="117">
        <f t="shared" si="1"/>
        <v>144.7344999187363</v>
      </c>
      <c r="Z105" s="117">
        <f t="shared" si="1"/>
        <v>144.7344999187363</v>
      </c>
    </row>
    <row r="106" spans="2:26" ht="11.25" customHeight="1">
      <c r="B106" s="113" t="s">
        <v>3225</v>
      </c>
      <c r="C106" s="117">
        <f t="shared" si="2"/>
        <v>144.7344999187363</v>
      </c>
      <c r="D106" s="117">
        <f t="shared" si="0"/>
        <v>144.7344999187363</v>
      </c>
      <c r="E106" s="117">
        <f t="shared" si="0"/>
        <v>144.7344999187363</v>
      </c>
      <c r="F106" s="117">
        <f t="shared" si="0"/>
        <v>144.7344999187363</v>
      </c>
      <c r="G106" s="117">
        <f t="shared" si="0"/>
        <v>144.7344999187363</v>
      </c>
      <c r="H106" s="117">
        <f t="shared" si="0"/>
        <v>144.7344999187363</v>
      </c>
      <c r="I106" s="117">
        <f t="shared" si="0"/>
        <v>144.7344999187363</v>
      </c>
      <c r="J106" s="117">
        <f t="shared" si="0"/>
        <v>144.7344999187363</v>
      </c>
      <c r="K106" s="117">
        <f t="shared" si="0"/>
        <v>144.7344999187363</v>
      </c>
      <c r="L106" s="117">
        <f t="shared" si="0"/>
        <v>144.7344999187363</v>
      </c>
      <c r="M106" s="117">
        <f t="shared" si="0"/>
        <v>144.7344999187363</v>
      </c>
      <c r="N106" s="117">
        <f t="shared" si="0"/>
        <v>144.7344999187363</v>
      </c>
      <c r="O106" s="117">
        <f t="shared" si="0"/>
        <v>144.7344999187363</v>
      </c>
      <c r="P106" s="117">
        <f t="shared" si="0"/>
        <v>144.7344999187363</v>
      </c>
      <c r="Q106" s="117">
        <f t="shared" si="0"/>
        <v>144.7344999187363</v>
      </c>
      <c r="R106" s="117">
        <f t="shared" si="0"/>
        <v>144.7344999187363</v>
      </c>
      <c r="S106" s="117">
        <f t="shared" si="0"/>
        <v>144.7344999187363</v>
      </c>
      <c r="T106" s="117">
        <f t="shared" si="1"/>
        <v>144.7344999187363</v>
      </c>
      <c r="U106" s="117">
        <f t="shared" si="1"/>
        <v>144.7344999187363</v>
      </c>
      <c r="V106" s="117">
        <f t="shared" si="1"/>
        <v>144.7344999187363</v>
      </c>
      <c r="W106" s="117">
        <f t="shared" si="1"/>
        <v>144.7344999187363</v>
      </c>
      <c r="X106" s="117">
        <f t="shared" si="1"/>
        <v>144.7344999187363</v>
      </c>
      <c r="Y106" s="117">
        <f t="shared" si="1"/>
        <v>144.7344999187363</v>
      </c>
      <c r="Z106" s="117">
        <f t="shared" si="1"/>
        <v>144.7344999187363</v>
      </c>
    </row>
    <row r="107" spans="2:26" ht="11.25" customHeight="1">
      <c r="B107" s="113" t="s">
        <v>3226</v>
      </c>
      <c r="C107" s="117">
        <f t="shared" si="2"/>
        <v>144.7344999187363</v>
      </c>
      <c r="D107" s="117">
        <f t="shared" si="0"/>
        <v>144.7344999187363</v>
      </c>
      <c r="E107" s="117">
        <f t="shared" si="0"/>
        <v>144.7344999187363</v>
      </c>
      <c r="F107" s="117">
        <f t="shared" si="0"/>
        <v>144.7344999187363</v>
      </c>
      <c r="G107" s="117">
        <f t="shared" si="0"/>
        <v>144.7344999187363</v>
      </c>
      <c r="H107" s="117">
        <f t="shared" si="0"/>
        <v>144.7344999187363</v>
      </c>
      <c r="I107" s="117">
        <f t="shared" si="0"/>
        <v>144.7344999187363</v>
      </c>
      <c r="J107" s="117">
        <f t="shared" si="0"/>
        <v>144.7344999187363</v>
      </c>
      <c r="K107" s="117">
        <f t="shared" si="0"/>
        <v>144.7344999187363</v>
      </c>
      <c r="L107" s="117">
        <f t="shared" si="0"/>
        <v>144.7344999187363</v>
      </c>
      <c r="M107" s="117">
        <f t="shared" si="0"/>
        <v>144.7344999187363</v>
      </c>
      <c r="N107" s="117">
        <f t="shared" si="0"/>
        <v>144.7344999187363</v>
      </c>
      <c r="O107" s="117">
        <f t="shared" si="0"/>
        <v>144.7344999187363</v>
      </c>
      <c r="P107" s="117">
        <f t="shared" si="0"/>
        <v>144.7344999187363</v>
      </c>
      <c r="Q107" s="117">
        <f t="shared" si="0"/>
        <v>144.7344999187363</v>
      </c>
      <c r="R107" s="117">
        <f t="shared" si="0"/>
        <v>144.7344999187363</v>
      </c>
      <c r="S107" s="117">
        <f t="shared" si="0"/>
        <v>144.7344999187363</v>
      </c>
      <c r="T107" s="117">
        <f t="shared" si="1"/>
        <v>144.7344999187363</v>
      </c>
      <c r="U107" s="117">
        <f t="shared" si="1"/>
        <v>144.7344999187363</v>
      </c>
      <c r="V107" s="117">
        <f t="shared" si="1"/>
        <v>144.7344999187363</v>
      </c>
      <c r="W107" s="117">
        <f t="shared" si="1"/>
        <v>144.7344999187363</v>
      </c>
      <c r="X107" s="117">
        <f t="shared" si="1"/>
        <v>144.7344999187363</v>
      </c>
      <c r="Y107" s="117">
        <f t="shared" si="1"/>
        <v>144.7344999187363</v>
      </c>
      <c r="Z107" s="117">
        <f t="shared" si="1"/>
        <v>144.7344999187363</v>
      </c>
    </row>
    <row r="108" spans="2:26" ht="11.25" customHeight="1">
      <c r="B108" s="113" t="s">
        <v>3227</v>
      </c>
      <c r="C108" s="117">
        <f t="shared" si="2"/>
        <v>144.7344999187363</v>
      </c>
      <c r="D108" s="117">
        <f t="shared" si="0"/>
        <v>144.7344999187363</v>
      </c>
      <c r="E108" s="117">
        <f t="shared" si="0"/>
        <v>144.7344999187363</v>
      </c>
      <c r="F108" s="117">
        <f t="shared" si="0"/>
        <v>144.7344999187363</v>
      </c>
      <c r="G108" s="117">
        <f t="shared" si="0"/>
        <v>144.7344999187363</v>
      </c>
      <c r="H108" s="117">
        <f t="shared" si="0"/>
        <v>144.7344999187363</v>
      </c>
      <c r="I108" s="117">
        <f t="shared" si="0"/>
        <v>144.7344999187363</v>
      </c>
      <c r="J108" s="117">
        <f t="shared" si="0"/>
        <v>144.7344999187363</v>
      </c>
      <c r="K108" s="117">
        <f t="shared" si="0"/>
        <v>144.7344999187363</v>
      </c>
      <c r="L108" s="117">
        <f t="shared" si="0"/>
        <v>144.7344999187363</v>
      </c>
      <c r="M108" s="117">
        <f t="shared" si="0"/>
        <v>144.7344999187363</v>
      </c>
      <c r="N108" s="117">
        <f t="shared" si="0"/>
        <v>144.7344999187363</v>
      </c>
      <c r="O108" s="117">
        <f t="shared" si="0"/>
        <v>144.7344999187363</v>
      </c>
      <c r="P108" s="117">
        <f t="shared" si="0"/>
        <v>144.7344999187363</v>
      </c>
      <c r="Q108" s="117">
        <f t="shared" si="0"/>
        <v>144.7344999187363</v>
      </c>
      <c r="R108" s="117">
        <f t="shared" si="0"/>
        <v>144.7344999187363</v>
      </c>
      <c r="S108" s="117">
        <f t="shared" si="0"/>
        <v>144.7344999187363</v>
      </c>
      <c r="T108" s="117">
        <f t="shared" si="1"/>
        <v>144.7344999187363</v>
      </c>
      <c r="U108" s="117">
        <f t="shared" si="1"/>
        <v>144.7344999187363</v>
      </c>
      <c r="V108" s="117">
        <f t="shared" si="1"/>
        <v>144.7344999187363</v>
      </c>
      <c r="W108" s="117">
        <f t="shared" si="1"/>
        <v>144.7344999187363</v>
      </c>
      <c r="X108" s="117">
        <f t="shared" si="1"/>
        <v>144.7344999187363</v>
      </c>
      <c r="Y108" s="117">
        <f t="shared" si="1"/>
        <v>144.7344999187363</v>
      </c>
      <c r="Z108" s="117">
        <f t="shared" si="1"/>
        <v>144.7344999187363</v>
      </c>
    </row>
    <row r="109" spans="2:26" ht="11.25" customHeight="1">
      <c r="B109" s="113" t="s">
        <v>3228</v>
      </c>
      <c r="C109" s="117">
        <f t="shared" si="2"/>
        <v>144.7344999187363</v>
      </c>
      <c r="D109" s="117">
        <f t="shared" si="0"/>
        <v>144.7344999187363</v>
      </c>
      <c r="E109" s="117">
        <f t="shared" si="0"/>
        <v>144.7344999187363</v>
      </c>
      <c r="F109" s="117">
        <f t="shared" si="0"/>
        <v>144.7344999187363</v>
      </c>
      <c r="G109" s="117">
        <f t="shared" si="0"/>
        <v>144.7344999187363</v>
      </c>
      <c r="H109" s="117">
        <f t="shared" si="0"/>
        <v>144.7344999187363</v>
      </c>
      <c r="I109" s="117">
        <f t="shared" si="0"/>
        <v>144.7344999187363</v>
      </c>
      <c r="J109" s="117">
        <f t="shared" si="0"/>
        <v>144.7344999187363</v>
      </c>
      <c r="K109" s="117">
        <f t="shared" si="0"/>
        <v>144.7344999187363</v>
      </c>
      <c r="L109" s="117">
        <f t="shared" si="0"/>
        <v>144.7344999187363</v>
      </c>
      <c r="M109" s="117">
        <f t="shared" si="0"/>
        <v>144.7344999187363</v>
      </c>
      <c r="N109" s="117">
        <f t="shared" si="0"/>
        <v>144.7344999187363</v>
      </c>
      <c r="O109" s="117">
        <f t="shared" si="0"/>
        <v>144.7344999187363</v>
      </c>
      <c r="P109" s="117">
        <f t="shared" si="0"/>
        <v>144.7344999187363</v>
      </c>
      <c r="Q109" s="117">
        <f t="shared" si="0"/>
        <v>144.7344999187363</v>
      </c>
      <c r="R109" s="117">
        <f t="shared" si="0"/>
        <v>144.7344999187363</v>
      </c>
      <c r="S109" s="117">
        <f t="shared" si="0"/>
        <v>144.7344999187363</v>
      </c>
      <c r="T109" s="117">
        <f t="shared" si="1"/>
        <v>144.7344999187363</v>
      </c>
      <c r="U109" s="117">
        <f t="shared" si="1"/>
        <v>144.7344999187363</v>
      </c>
      <c r="V109" s="117">
        <f t="shared" si="1"/>
        <v>144.7344999187363</v>
      </c>
      <c r="W109" s="117">
        <f t="shared" si="1"/>
        <v>144.7344999187363</v>
      </c>
      <c r="X109" s="117">
        <f t="shared" si="1"/>
        <v>144.7344999187363</v>
      </c>
      <c r="Y109" s="117">
        <f t="shared" si="1"/>
        <v>144.7344999187363</v>
      </c>
      <c r="Z109" s="117">
        <f t="shared" si="1"/>
        <v>144.7344999187363</v>
      </c>
    </row>
    <row r="110" spans="2:26" ht="11.25" customHeight="1">
      <c r="B110" s="113" t="s">
        <v>3229</v>
      </c>
      <c r="C110" s="117">
        <f t="shared" si="2"/>
        <v>144.7344999187363</v>
      </c>
      <c r="D110" s="117">
        <f t="shared" si="0"/>
        <v>144.7344999187363</v>
      </c>
      <c r="E110" s="117">
        <f t="shared" si="0"/>
        <v>144.7344999187363</v>
      </c>
      <c r="F110" s="117">
        <f t="shared" si="0"/>
        <v>144.7344999187363</v>
      </c>
      <c r="G110" s="117">
        <f t="shared" si="0"/>
        <v>144.7344999187363</v>
      </c>
      <c r="H110" s="117">
        <f t="shared" si="0"/>
        <v>144.7344999187363</v>
      </c>
      <c r="I110" s="117">
        <f t="shared" si="0"/>
        <v>144.7344999187363</v>
      </c>
      <c r="J110" s="117">
        <f t="shared" si="0"/>
        <v>144.7344999187363</v>
      </c>
      <c r="K110" s="117">
        <f t="shared" si="0"/>
        <v>144.7344999187363</v>
      </c>
      <c r="L110" s="117">
        <f t="shared" si="0"/>
        <v>144.7344999187363</v>
      </c>
      <c r="M110" s="117">
        <f t="shared" si="0"/>
        <v>144.7344999187363</v>
      </c>
      <c r="N110" s="117">
        <f t="shared" si="0"/>
        <v>144.7344999187363</v>
      </c>
      <c r="O110" s="117">
        <f t="shared" si="0"/>
        <v>144.7344999187363</v>
      </c>
      <c r="P110" s="117">
        <f t="shared" si="0"/>
        <v>144.7344999187363</v>
      </c>
      <c r="Q110" s="117">
        <f t="shared" si="0"/>
        <v>144.7344999187363</v>
      </c>
      <c r="R110" s="117">
        <f t="shared" si="0"/>
        <v>144.7344999187363</v>
      </c>
      <c r="S110" s="117">
        <f t="shared" si="0"/>
        <v>144.7344999187363</v>
      </c>
      <c r="T110" s="117">
        <f t="shared" si="1"/>
        <v>144.7344999187363</v>
      </c>
      <c r="U110" s="117">
        <f t="shared" si="1"/>
        <v>144.7344999187363</v>
      </c>
      <c r="V110" s="117">
        <f t="shared" si="1"/>
        <v>144.7344999187363</v>
      </c>
      <c r="W110" s="117">
        <f t="shared" si="1"/>
        <v>144.7344999187363</v>
      </c>
      <c r="X110" s="117">
        <f t="shared" si="1"/>
        <v>144.7344999187363</v>
      </c>
      <c r="Y110" s="117">
        <f t="shared" si="1"/>
        <v>144.7344999187363</v>
      </c>
      <c r="Z110" s="117">
        <f t="shared" si="1"/>
        <v>144.7344999187363</v>
      </c>
    </row>
    <row r="111" spans="2:26" ht="11.25" customHeight="1">
      <c r="B111" s="113" t="s">
        <v>3230</v>
      </c>
      <c r="C111" s="117">
        <f t="shared" si="2"/>
        <v>144.7344999187363</v>
      </c>
      <c r="D111" s="117">
        <f t="shared" si="0"/>
        <v>144.7344999187363</v>
      </c>
      <c r="E111" s="117">
        <f t="shared" si="0"/>
        <v>144.7344999187363</v>
      </c>
      <c r="F111" s="117">
        <f t="shared" si="0"/>
        <v>144.7344999187363</v>
      </c>
      <c r="G111" s="117">
        <f t="shared" si="0"/>
        <v>144.7344999187363</v>
      </c>
      <c r="H111" s="117">
        <f t="shared" si="0"/>
        <v>144.7344999187363</v>
      </c>
      <c r="I111" s="117">
        <f t="shared" si="0"/>
        <v>144.7344999187363</v>
      </c>
      <c r="J111" s="117">
        <f t="shared" si="0"/>
        <v>144.7344999187363</v>
      </c>
      <c r="K111" s="117">
        <f t="shared" si="0"/>
        <v>144.7344999187363</v>
      </c>
      <c r="L111" s="117">
        <f t="shared" si="0"/>
        <v>144.7344999187363</v>
      </c>
      <c r="M111" s="117">
        <f t="shared" si="0"/>
        <v>144.7344999187363</v>
      </c>
      <c r="N111" s="117">
        <f t="shared" si="0"/>
        <v>144.7344999187363</v>
      </c>
      <c r="O111" s="117">
        <f t="shared" si="0"/>
        <v>144.7344999187363</v>
      </c>
      <c r="P111" s="117">
        <f t="shared" si="0"/>
        <v>144.7344999187363</v>
      </c>
      <c r="Q111" s="117">
        <f t="shared" si="0"/>
        <v>144.7344999187363</v>
      </c>
      <c r="R111" s="117">
        <f t="shared" si="0"/>
        <v>144.7344999187363</v>
      </c>
      <c r="S111" s="117">
        <f t="shared" ref="S111" si="3">T1.WELL("",$E$93,$H$93)</f>
        <v>144.7344999187363</v>
      </c>
      <c r="T111" s="117">
        <f t="shared" si="1"/>
        <v>144.7344999187363</v>
      </c>
      <c r="U111" s="117">
        <f t="shared" si="1"/>
        <v>144.7344999187363</v>
      </c>
      <c r="V111" s="117">
        <f t="shared" si="1"/>
        <v>144.7344999187363</v>
      </c>
      <c r="W111" s="117">
        <f t="shared" si="1"/>
        <v>144.7344999187363</v>
      </c>
      <c r="X111" s="117">
        <f t="shared" si="1"/>
        <v>144.7344999187363</v>
      </c>
      <c r="Y111" s="117">
        <f t="shared" si="1"/>
        <v>144.7344999187363</v>
      </c>
      <c r="Z111" s="117">
        <f t="shared" si="1"/>
        <v>144.7344999187363</v>
      </c>
    </row>
    <row r="112" spans="2:26" ht="11.25" customHeight="1">
      <c r="B112" s="113"/>
      <c r="C112" s="118"/>
      <c r="D112" s="118"/>
      <c r="E112" s="118"/>
      <c r="F112" s="118"/>
      <c r="G112" s="118"/>
      <c r="H112" s="118"/>
      <c r="I112" s="118"/>
      <c r="J112" s="118"/>
      <c r="K112" s="118"/>
      <c r="L112" s="118"/>
      <c r="M112" s="118"/>
      <c r="N112" s="118"/>
      <c r="O112" s="118"/>
      <c r="P112" s="118"/>
      <c r="Q112" s="118"/>
      <c r="R112" s="118"/>
      <c r="S112" s="118"/>
      <c r="T112" s="118"/>
      <c r="U112" s="118"/>
      <c r="V112" s="118"/>
      <c r="W112" s="118"/>
      <c r="X112" s="118"/>
      <c r="Y112" s="118"/>
      <c r="Z112" s="118"/>
    </row>
    <row r="113" spans="1:26" ht="11.25" customHeight="1">
      <c r="B113" s="113"/>
      <c r="C113" s="106" t="s">
        <v>3242</v>
      </c>
      <c r="D113" s="123" t="e">
        <f>T1.role("CPD*","CPD_RESULT","avr")</f>
        <v>#REF!</v>
      </c>
      <c r="E113" s="118"/>
      <c r="F113" s="106" t="s">
        <v>3243</v>
      </c>
      <c r="G113" s="118" t="e">
        <f>T1.role("CPD*","CPD_RESULT","sd")</f>
        <v>#REF!</v>
      </c>
      <c r="H113" s="118"/>
      <c r="I113" s="106" t="s">
        <v>3244</v>
      </c>
      <c r="J113" s="118" t="e">
        <f>$D$113+2*$G$113</f>
        <v>#REF!</v>
      </c>
      <c r="K113" s="118"/>
      <c r="L113" s="106" t="s">
        <v>3245</v>
      </c>
      <c r="M113" s="118" t="e">
        <f>$D$113+3*$G$113</f>
        <v>#REF!</v>
      </c>
      <c r="N113" s="118"/>
      <c r="O113" s="106" t="s">
        <v>3246</v>
      </c>
      <c r="P113" s="118" t="e">
        <f>$D$113+4*$G$113</f>
        <v>#REF!</v>
      </c>
      <c r="Q113" s="118"/>
      <c r="R113" s="118"/>
      <c r="S113" s="118"/>
      <c r="T113" s="118"/>
      <c r="U113" s="118"/>
      <c r="V113" s="118"/>
      <c r="W113" s="118"/>
      <c r="X113" s="118"/>
      <c r="Y113" s="118"/>
      <c r="Z113" s="118"/>
    </row>
    <row r="114" spans="1:26" ht="11.25" customHeight="1">
      <c r="B114" s="113"/>
      <c r="C114" s="106"/>
      <c r="D114" s="123"/>
      <c r="E114" s="118"/>
      <c r="F114" s="106"/>
      <c r="G114" s="118"/>
      <c r="H114" s="118"/>
      <c r="I114" s="106"/>
      <c r="J114" s="118"/>
      <c r="K114" s="118"/>
      <c r="L114" s="106"/>
      <c r="M114" s="118"/>
      <c r="N114" s="118"/>
      <c r="O114" s="106"/>
      <c r="P114" s="118"/>
      <c r="Q114" s="118"/>
      <c r="R114" s="118"/>
      <c r="S114" s="118"/>
      <c r="T114" s="118"/>
      <c r="U114" s="118"/>
      <c r="V114" s="118"/>
      <c r="W114" s="118"/>
      <c r="X114" s="118"/>
      <c r="Y114" s="118"/>
      <c r="Z114" s="118"/>
    </row>
    <row r="115" spans="1:26" s="132" customFormat="1" ht="11.25" customHeight="1">
      <c r="A115" s="131" t="s">
        <v>2046</v>
      </c>
    </row>
  </sheetData>
  <dataConsolidate/>
  <phoneticPr fontId="23"/>
  <conditionalFormatting sqref="E113:E114 H113:H114 K113:K114 N113:N114 Q113:Z114 C96:Z112">
    <cfRule type="colorScale" priority="13">
      <colorScale>
        <cfvo type="min"/>
        <cfvo type="percentile" val="50"/>
        <cfvo type="max"/>
        <color rgb="FF63BE7B"/>
        <color rgb="FFFFEB84"/>
        <color rgb="FFF8696B"/>
      </colorScale>
    </cfRule>
  </conditionalFormatting>
  <conditionalFormatting sqref="C8:D23 Y8:Z23">
    <cfRule type="colorScale" priority="7">
      <colorScale>
        <cfvo type="min"/>
        <cfvo type="max"/>
        <color rgb="FF63BE7B"/>
        <color rgb="FFFCFCFF"/>
      </colorScale>
    </cfRule>
  </conditionalFormatting>
  <conditionalFormatting sqref="E8:X23">
    <cfRule type="colorScale" priority="6">
      <colorScale>
        <cfvo type="min"/>
        <cfvo type="max"/>
        <color rgb="FF63BE7B"/>
        <color rgb="FFFCFCFF"/>
      </colorScale>
    </cfRule>
  </conditionalFormatting>
  <conditionalFormatting sqref="C28:D43 Y28:Z43">
    <cfRule type="colorScale" priority="5">
      <colorScale>
        <cfvo type="min"/>
        <cfvo type="max"/>
        <color rgb="FF63BE7B"/>
        <color rgb="FFFCFCFF"/>
      </colorScale>
    </cfRule>
  </conditionalFormatting>
  <conditionalFormatting sqref="E28:X43">
    <cfRule type="colorScale" priority="4">
      <colorScale>
        <cfvo type="min"/>
        <cfvo type="max"/>
        <color rgb="FF63BE7B"/>
        <color rgb="FFFCFCFF"/>
      </colorScale>
    </cfRule>
  </conditionalFormatting>
  <conditionalFormatting sqref="C48:Z6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12" customWidth="1"/>
    <col min="2" max="2" width="9.5" style="12" bestFit="1" customWidth="1"/>
    <col min="3" max="8" width="8.875" style="12"/>
    <col min="9" max="9" width="8.875" style="77"/>
    <col min="10" max="16384" width="8.875" style="12"/>
  </cols>
  <sheetData>
    <row r="2" spans="1:9" ht="15" customHeight="1">
      <c r="A2" s="11" t="str">
        <f>T1.System(0) &amp; "    " &amp; T1.System("copyright")</f>
        <v>Screening Analysis Package for Excel ver. 1.1.0    Copyright (c) 2015 Shinichiro Egashira</v>
      </c>
    </row>
    <row r="3" spans="1:9" ht="15" customHeight="1">
      <c r="B3" s="11"/>
    </row>
    <row r="4" spans="1:9" s="86" customFormat="1" ht="15" customHeight="1">
      <c r="A4" s="85" t="s">
        <v>3063</v>
      </c>
      <c r="B4" s="85" t="s">
        <v>762</v>
      </c>
      <c r="I4" s="87" t="s">
        <v>3051</v>
      </c>
    </row>
    <row r="5" spans="1:9" s="86" customFormat="1" ht="15" customHeight="1">
      <c r="A5" s="85"/>
      <c r="B5" s="85" t="s">
        <v>3052</v>
      </c>
      <c r="I5" s="87" t="s">
        <v>3053</v>
      </c>
    </row>
    <row r="6" spans="1:9" s="86" customFormat="1" ht="15" customHeight="1">
      <c r="A6" s="85"/>
      <c r="B6" s="85" t="s">
        <v>763</v>
      </c>
      <c r="I6" s="87" t="s">
        <v>764</v>
      </c>
    </row>
    <row r="7" spans="1:9" s="86" customFormat="1" ht="15" customHeight="1">
      <c r="A7" s="85"/>
      <c r="B7" s="85" t="s">
        <v>3054</v>
      </c>
      <c r="I7" s="87" t="s">
        <v>3055</v>
      </c>
    </row>
    <row r="8" spans="1:9" s="86" customFormat="1" ht="15" customHeight="1">
      <c r="A8" s="85"/>
      <c r="B8" s="85" t="s">
        <v>3060</v>
      </c>
      <c r="I8" s="87" t="s">
        <v>767</v>
      </c>
    </row>
    <row r="9" spans="1:9" s="22" customFormat="1" ht="15" customHeight="1">
      <c r="A9" s="21" t="s">
        <v>3064</v>
      </c>
      <c r="B9" s="21" t="s">
        <v>765</v>
      </c>
      <c r="I9" s="78" t="s">
        <v>766</v>
      </c>
    </row>
    <row r="10" spans="1:9" s="22" customFormat="1" ht="15" customHeight="1">
      <c r="A10" s="21"/>
      <c r="B10" s="21" t="s">
        <v>3348</v>
      </c>
      <c r="I10" s="78" t="s">
        <v>3056</v>
      </c>
    </row>
    <row r="11" spans="1:9" s="22" customFormat="1" ht="15" hidden="1" customHeight="1" outlineLevel="1">
      <c r="A11" s="21"/>
      <c r="C11" s="136" t="s">
        <v>3349</v>
      </c>
      <c r="I11" s="78"/>
    </row>
    <row r="12" spans="1:9" s="22" customFormat="1" ht="15" hidden="1" customHeight="1" outlineLevel="1">
      <c r="A12" s="21"/>
      <c r="D12" s="22" t="s">
        <v>3350</v>
      </c>
      <c r="I12" s="78" t="s">
        <v>3355</v>
      </c>
    </row>
    <row r="13" spans="1:9" s="22" customFormat="1" ht="15" hidden="1" customHeight="1" outlineLevel="1">
      <c r="A13" s="21"/>
      <c r="D13" s="22" t="s">
        <v>3351</v>
      </c>
      <c r="I13" s="78" t="s">
        <v>3356</v>
      </c>
    </row>
    <row r="14" spans="1:9" s="22" customFormat="1" ht="15" hidden="1" customHeight="1" outlineLevel="1">
      <c r="A14" s="21"/>
      <c r="D14" s="22" t="s">
        <v>3352</v>
      </c>
      <c r="I14" s="78" t="s">
        <v>3357</v>
      </c>
    </row>
    <row r="15" spans="1:9" s="22" customFormat="1" ht="15" hidden="1" customHeight="1" outlineLevel="1">
      <c r="A15" s="21"/>
      <c r="D15" s="22" t="s">
        <v>3353</v>
      </c>
      <c r="I15" s="78" t="s">
        <v>3358</v>
      </c>
    </row>
    <row r="16" spans="1:9" s="22" customFormat="1" ht="15" hidden="1" customHeight="1" outlineLevel="1">
      <c r="A16" s="21"/>
      <c r="D16" s="22" t="s">
        <v>3354</v>
      </c>
      <c r="I16" s="78" t="s">
        <v>3359</v>
      </c>
    </row>
    <row r="17" spans="1:9" s="22" customFormat="1" ht="15" hidden="1" customHeight="1" outlineLevel="1">
      <c r="A17" s="21"/>
      <c r="I17" s="78"/>
    </row>
    <row r="18" spans="1:9" s="22" customFormat="1" ht="15" customHeight="1" collapsed="1">
      <c r="A18" s="21"/>
      <c r="B18" s="21" t="s">
        <v>824</v>
      </c>
      <c r="I18" s="78" t="s">
        <v>3057</v>
      </c>
    </row>
    <row r="19" spans="1:9" s="22" customFormat="1" ht="15" customHeight="1">
      <c r="A19" s="21"/>
      <c r="B19" s="21" t="s">
        <v>825</v>
      </c>
      <c r="I19" s="78" t="s">
        <v>3058</v>
      </c>
    </row>
    <row r="20" spans="1:9" s="22" customFormat="1" ht="15" customHeight="1">
      <c r="A20" s="21"/>
      <c r="B20" s="21" t="s">
        <v>826</v>
      </c>
      <c r="I20" s="78" t="s">
        <v>3059</v>
      </c>
    </row>
    <row r="21" spans="1:9" s="86" customFormat="1" ht="15" customHeight="1">
      <c r="A21" s="85" t="s">
        <v>3061</v>
      </c>
      <c r="B21" s="85" t="s">
        <v>3045</v>
      </c>
      <c r="I21" s="87" t="s">
        <v>3048</v>
      </c>
    </row>
    <row r="22" spans="1:9" s="86" customFormat="1" ht="15" customHeight="1">
      <c r="A22" s="85"/>
      <c r="B22" s="85" t="s">
        <v>3046</v>
      </c>
      <c r="I22" s="87" t="s">
        <v>3047</v>
      </c>
    </row>
    <row r="23" spans="1:9" s="86" customFormat="1" ht="15" customHeight="1">
      <c r="A23" s="85"/>
      <c r="B23" s="85" t="s">
        <v>3049</v>
      </c>
      <c r="I23" s="87" t="s">
        <v>3050</v>
      </c>
    </row>
    <row r="24" spans="1:9" s="86" customFormat="1" ht="15" customHeight="1">
      <c r="A24" s="85"/>
      <c r="B24" s="85" t="s">
        <v>760</v>
      </c>
      <c r="I24" s="87" t="s">
        <v>761</v>
      </c>
    </row>
    <row r="25" spans="1:9" s="22" customFormat="1" ht="15" customHeight="1" collapsed="1">
      <c r="A25" s="21" t="s">
        <v>3062</v>
      </c>
      <c r="B25" s="21" t="s">
        <v>758</v>
      </c>
      <c r="I25" s="78" t="s">
        <v>3043</v>
      </c>
    </row>
    <row r="26" spans="1:9" s="22" customFormat="1" ht="15" customHeight="1">
      <c r="A26" s="21"/>
      <c r="B26" s="21" t="s">
        <v>759</v>
      </c>
      <c r="I26" s="78" t="s">
        <v>3044</v>
      </c>
    </row>
    <row r="27" spans="1:9" s="20" customFormat="1" ht="15" customHeight="1">
      <c r="A27" s="19" t="s">
        <v>3065</v>
      </c>
      <c r="B27" s="19" t="s">
        <v>768</v>
      </c>
      <c r="I27" s="79" t="s">
        <v>3178</v>
      </c>
    </row>
    <row r="28" spans="1:9" s="20" customFormat="1" ht="15" customHeight="1">
      <c r="A28" s="19"/>
      <c r="B28" s="19" t="s">
        <v>769</v>
      </c>
      <c r="I28" s="79" t="s">
        <v>3179</v>
      </c>
    </row>
    <row r="29" spans="1:9" s="20" customFormat="1" ht="15" customHeight="1">
      <c r="A29" s="19"/>
      <c r="B29" s="19" t="s">
        <v>770</v>
      </c>
      <c r="I29" s="79" t="s">
        <v>3180</v>
      </c>
    </row>
    <row r="30" spans="1:9" s="20" customFormat="1" ht="15" customHeight="1">
      <c r="A30" s="19"/>
      <c r="B30" s="19" t="s">
        <v>771</v>
      </c>
      <c r="I30" s="79" t="s">
        <v>3181</v>
      </c>
    </row>
    <row r="31" spans="1:9" s="20" customFormat="1" ht="15" customHeight="1">
      <c r="A31" s="19"/>
      <c r="B31" s="19" t="s">
        <v>772</v>
      </c>
      <c r="I31" s="79" t="s">
        <v>3182</v>
      </c>
    </row>
    <row r="32" spans="1:9" s="20" customFormat="1" ht="15" customHeight="1">
      <c r="A32" s="19"/>
      <c r="B32" s="19" t="s">
        <v>773</v>
      </c>
      <c r="I32" s="79" t="s">
        <v>3183</v>
      </c>
    </row>
    <row r="33" spans="1:9" s="20" customFormat="1" ht="15" customHeight="1">
      <c r="A33" s="19"/>
      <c r="B33" s="19" t="s">
        <v>774</v>
      </c>
      <c r="I33" s="79" t="s">
        <v>3184</v>
      </c>
    </row>
    <row r="34" spans="1:9" s="20" customFormat="1" ht="15" customHeight="1">
      <c r="A34" s="19"/>
      <c r="B34" s="19" t="s">
        <v>775</v>
      </c>
      <c r="I34" s="79" t="s">
        <v>3185</v>
      </c>
    </row>
    <row r="35" spans="1:9" s="20" customFormat="1" ht="15" customHeight="1">
      <c r="A35" s="19"/>
      <c r="B35" s="19" t="s">
        <v>776</v>
      </c>
      <c r="I35" s="79" t="s">
        <v>3186</v>
      </c>
    </row>
    <row r="36" spans="1:9" s="20" customFormat="1" ht="15" customHeight="1">
      <c r="A36" s="19"/>
      <c r="B36" s="19" t="s">
        <v>777</v>
      </c>
      <c r="I36" s="79" t="s">
        <v>3195</v>
      </c>
    </row>
    <row r="37" spans="1:9" s="20" customFormat="1" ht="15" customHeight="1">
      <c r="A37" s="19"/>
      <c r="B37" s="19" t="s">
        <v>778</v>
      </c>
      <c r="I37" s="79" t="s">
        <v>3187</v>
      </c>
    </row>
    <row r="38" spans="1:9" s="20" customFormat="1" ht="15" customHeight="1">
      <c r="A38" s="19"/>
      <c r="B38" s="19" t="s">
        <v>779</v>
      </c>
      <c r="I38" s="79" t="s">
        <v>3188</v>
      </c>
    </row>
    <row r="39" spans="1:9" s="20" customFormat="1" ht="15" customHeight="1">
      <c r="A39" s="19"/>
      <c r="B39" s="19" t="s">
        <v>780</v>
      </c>
      <c r="I39" s="79" t="s">
        <v>3189</v>
      </c>
    </row>
    <row r="40" spans="1:9" s="20" customFormat="1" ht="15" customHeight="1">
      <c r="A40" s="19"/>
      <c r="B40" s="19" t="s">
        <v>781</v>
      </c>
      <c r="I40" s="79" t="s">
        <v>3190</v>
      </c>
    </row>
    <row r="41" spans="1:9" s="20" customFormat="1" ht="15" customHeight="1">
      <c r="A41" s="19"/>
      <c r="B41" s="19" t="s">
        <v>782</v>
      </c>
      <c r="I41" s="79" t="s">
        <v>3191</v>
      </c>
    </row>
    <row r="42" spans="1:9" s="20" customFormat="1" ht="15" customHeight="1">
      <c r="A42" s="19"/>
      <c r="B42" s="19" t="s">
        <v>783</v>
      </c>
      <c r="I42" s="79" t="s">
        <v>3192</v>
      </c>
    </row>
    <row r="43" spans="1:9" s="20" customFormat="1" ht="15" customHeight="1">
      <c r="A43" s="19"/>
      <c r="B43" s="19" t="s">
        <v>784</v>
      </c>
      <c r="I43" s="79" t="s">
        <v>3193</v>
      </c>
    </row>
    <row r="44" spans="1:9" s="20" customFormat="1" ht="15" customHeight="1">
      <c r="A44" s="19"/>
      <c r="B44" s="19" t="s">
        <v>800</v>
      </c>
      <c r="I44" s="79" t="s">
        <v>3194</v>
      </c>
    </row>
    <row r="45" spans="1:9" s="20" customFormat="1" ht="15" hidden="1" customHeight="1" outlineLevel="1">
      <c r="A45" s="19"/>
      <c r="I45" s="79"/>
    </row>
    <row r="46" spans="1:9" s="20" customFormat="1" ht="15" hidden="1" customHeight="1" outlineLevel="1">
      <c r="A46" s="19"/>
      <c r="B46" s="20" t="s">
        <v>785</v>
      </c>
      <c r="I46" s="79"/>
    </row>
    <row r="47" spans="1:9" s="20" customFormat="1" ht="15" hidden="1" customHeight="1" outlineLevel="1">
      <c r="A47" s="19"/>
      <c r="I47" s="79"/>
    </row>
    <row r="48" spans="1:9" s="20" customFormat="1" ht="15" hidden="1" customHeight="1" outlineLevel="1">
      <c r="A48" s="19"/>
      <c r="I48" s="79"/>
    </row>
    <row r="49" spans="1:9" s="18" customFormat="1" ht="15" customHeight="1" collapsed="1">
      <c r="A49" s="17" t="s">
        <v>3201</v>
      </c>
      <c r="B49" s="17" t="s">
        <v>801</v>
      </c>
      <c r="I49" s="18" t="s">
        <v>3207</v>
      </c>
    </row>
    <row r="50" spans="1:9" s="18" customFormat="1" ht="15" hidden="1" customHeight="1" outlineLevel="1">
      <c r="A50" s="17"/>
      <c r="C50" s="83" t="s">
        <v>3066</v>
      </c>
      <c r="I50" s="80"/>
    </row>
    <row r="51" spans="1:9" s="18" customFormat="1" ht="15" hidden="1" customHeight="1" outlineLevel="1">
      <c r="A51" s="17"/>
      <c r="D51" s="18" t="s">
        <v>3067</v>
      </c>
      <c r="I51" s="80" t="s">
        <v>3086</v>
      </c>
    </row>
    <row r="52" spans="1:9" s="18" customFormat="1" ht="15" hidden="1" customHeight="1" outlineLevel="1">
      <c r="A52" s="17"/>
      <c r="D52" s="18" t="s">
        <v>3068</v>
      </c>
      <c r="I52" s="80" t="s">
        <v>3087</v>
      </c>
    </row>
    <row r="53" spans="1:9" s="18" customFormat="1" ht="15" hidden="1" customHeight="1" outlineLevel="1">
      <c r="A53" s="17"/>
      <c r="D53" s="18" t="s">
        <v>3069</v>
      </c>
      <c r="I53" s="80" t="s">
        <v>3088</v>
      </c>
    </row>
    <row r="54" spans="1:9" s="18" customFormat="1" ht="15" hidden="1" customHeight="1" outlineLevel="1">
      <c r="A54" s="17"/>
      <c r="D54" s="18" t="s">
        <v>3070</v>
      </c>
      <c r="I54" s="80" t="s">
        <v>3091</v>
      </c>
    </row>
    <row r="55" spans="1:9" s="18" customFormat="1" ht="15" hidden="1" customHeight="1" outlineLevel="1">
      <c r="A55" s="17"/>
      <c r="D55" s="18" t="s">
        <v>3071</v>
      </c>
      <c r="I55" s="80" t="s">
        <v>3090</v>
      </c>
    </row>
    <row r="56" spans="1:9" s="18" customFormat="1" ht="15" hidden="1" customHeight="1" outlineLevel="1">
      <c r="A56" s="17"/>
      <c r="D56" s="18" t="s">
        <v>3072</v>
      </c>
      <c r="I56" s="80" t="s">
        <v>3089</v>
      </c>
    </row>
    <row r="57" spans="1:9" s="18" customFormat="1" ht="15" hidden="1" customHeight="1" outlineLevel="1">
      <c r="A57" s="17"/>
      <c r="D57" s="18" t="s">
        <v>3073</v>
      </c>
      <c r="I57" s="80" t="s">
        <v>3092</v>
      </c>
    </row>
    <row r="58" spans="1:9" s="18" customFormat="1" ht="15" hidden="1" customHeight="1" outlineLevel="1">
      <c r="A58" s="17"/>
      <c r="D58" s="18" t="s">
        <v>3074</v>
      </c>
      <c r="I58" s="80" t="s">
        <v>3093</v>
      </c>
    </row>
    <row r="59" spans="1:9" s="18" customFormat="1" ht="15" hidden="1" customHeight="1" outlineLevel="1">
      <c r="A59" s="17"/>
      <c r="D59" s="18" t="s">
        <v>3075</v>
      </c>
      <c r="I59" s="80" t="s">
        <v>3094</v>
      </c>
    </row>
    <row r="60" spans="1:9" s="18" customFormat="1" ht="15" hidden="1" customHeight="1" outlineLevel="1">
      <c r="A60" s="17"/>
      <c r="D60" s="18" t="s">
        <v>3076</v>
      </c>
      <c r="I60" s="80" t="s">
        <v>3095</v>
      </c>
    </row>
    <row r="61" spans="1:9" s="18" customFormat="1" ht="15" hidden="1" customHeight="1" outlineLevel="1">
      <c r="A61" s="17"/>
      <c r="D61" s="18" t="s">
        <v>3077</v>
      </c>
      <c r="I61" s="80" t="s">
        <v>3096</v>
      </c>
    </row>
    <row r="62" spans="1:9" s="18" customFormat="1" ht="15" hidden="1" customHeight="1" outlineLevel="1">
      <c r="A62" s="17"/>
      <c r="D62" s="18" t="s">
        <v>3078</v>
      </c>
      <c r="I62" s="80" t="s">
        <v>3097</v>
      </c>
    </row>
    <row r="63" spans="1:9" s="18" customFormat="1" ht="15" hidden="1" customHeight="1" outlineLevel="1">
      <c r="A63" s="17"/>
      <c r="D63" s="18" t="s">
        <v>3079</v>
      </c>
      <c r="I63" s="80" t="s">
        <v>3098</v>
      </c>
    </row>
    <row r="64" spans="1:9" s="18" customFormat="1" ht="15" hidden="1" customHeight="1" outlineLevel="1">
      <c r="A64" s="17"/>
      <c r="D64" s="18" t="s">
        <v>3080</v>
      </c>
      <c r="I64" s="80" t="s">
        <v>3099</v>
      </c>
    </row>
    <row r="65" spans="1:9" s="18" customFormat="1" ht="15" hidden="1" customHeight="1" outlineLevel="1">
      <c r="A65" s="17"/>
      <c r="D65" s="18" t="s">
        <v>3081</v>
      </c>
      <c r="I65" s="80" t="s">
        <v>3100</v>
      </c>
    </row>
    <row r="66" spans="1:9" s="18" customFormat="1" ht="15" hidden="1" customHeight="1" outlineLevel="1">
      <c r="A66" s="17"/>
      <c r="D66" s="18" t="s">
        <v>3082</v>
      </c>
      <c r="I66" s="80" t="s">
        <v>3101</v>
      </c>
    </row>
    <row r="67" spans="1:9" s="18" customFormat="1" ht="15" hidden="1" customHeight="1" outlineLevel="1">
      <c r="A67" s="17"/>
      <c r="D67" s="18" t="s">
        <v>3083</v>
      </c>
      <c r="I67" s="80" t="s">
        <v>3102</v>
      </c>
    </row>
    <row r="68" spans="1:9" s="18" customFormat="1" ht="15" hidden="1" customHeight="1" outlineLevel="1">
      <c r="A68" s="17"/>
      <c r="D68" s="18" t="s">
        <v>3084</v>
      </c>
      <c r="I68" s="80" t="s">
        <v>3103</v>
      </c>
    </row>
    <row r="69" spans="1:9" s="18" customFormat="1" ht="15" hidden="1" customHeight="1" outlineLevel="1">
      <c r="A69" s="17"/>
      <c r="D69" s="18" t="s">
        <v>3085</v>
      </c>
      <c r="I69" s="80" t="s">
        <v>3104</v>
      </c>
    </row>
    <row r="70" spans="1:9" s="18" customFormat="1" ht="15" hidden="1" customHeight="1" outlineLevel="1">
      <c r="A70" s="17"/>
      <c r="I70" s="80"/>
    </row>
    <row r="71" spans="1:9" s="89" customFormat="1" ht="15" customHeight="1" collapsed="1">
      <c r="A71" s="88"/>
      <c r="B71" s="88" t="s">
        <v>3120</v>
      </c>
      <c r="I71" s="89" t="s">
        <v>3202</v>
      </c>
    </row>
    <row r="72" spans="1:9" s="89" customFormat="1" ht="15" hidden="1" customHeight="1" outlineLevel="1">
      <c r="A72" s="88"/>
      <c r="C72" s="90" t="s">
        <v>3105</v>
      </c>
      <c r="I72" s="91"/>
    </row>
    <row r="73" spans="1:9" s="89" customFormat="1" ht="15" hidden="1" customHeight="1" outlineLevel="1">
      <c r="A73" s="88"/>
      <c r="C73" s="91"/>
      <c r="D73" s="91" t="s">
        <v>3106</v>
      </c>
      <c r="I73" s="91" t="s">
        <v>3248</v>
      </c>
    </row>
    <row r="74" spans="1:9" s="89" customFormat="1" ht="15" hidden="1" customHeight="1" outlineLevel="1">
      <c r="A74" s="88"/>
      <c r="D74" s="89" t="s">
        <v>3107</v>
      </c>
      <c r="I74" s="91" t="s">
        <v>3249</v>
      </c>
    </row>
    <row r="75" spans="1:9" s="89" customFormat="1" ht="15" hidden="1" customHeight="1" outlineLevel="1">
      <c r="A75" s="88"/>
      <c r="C75" s="90" t="s">
        <v>3121</v>
      </c>
      <c r="I75" s="91"/>
    </row>
    <row r="76" spans="1:9" s="89" customFormat="1" ht="15" hidden="1" customHeight="1" outlineLevel="1">
      <c r="A76" s="88"/>
      <c r="D76" s="89" t="s">
        <v>3108</v>
      </c>
      <c r="I76" s="91" t="s">
        <v>3250</v>
      </c>
    </row>
    <row r="77" spans="1:9" s="89" customFormat="1" ht="15" hidden="1" customHeight="1" outlineLevel="1">
      <c r="A77" s="88"/>
      <c r="D77" s="89" t="s">
        <v>3109</v>
      </c>
      <c r="I77" s="91" t="s">
        <v>3251</v>
      </c>
    </row>
    <row r="78" spans="1:9" s="89" customFormat="1" ht="15" hidden="1" customHeight="1" outlineLevel="1">
      <c r="A78" s="88"/>
      <c r="D78" s="89" t="s">
        <v>3110</v>
      </c>
      <c r="I78" s="91" t="s">
        <v>3252</v>
      </c>
    </row>
    <row r="79" spans="1:9" s="89" customFormat="1" ht="15" hidden="1" customHeight="1" outlineLevel="1">
      <c r="A79" s="88"/>
      <c r="D79" s="89" t="s">
        <v>3111</v>
      </c>
      <c r="I79" s="91" t="s">
        <v>3255</v>
      </c>
    </row>
    <row r="80" spans="1:9" s="89" customFormat="1" ht="15" hidden="1" customHeight="1" outlineLevel="1">
      <c r="A80" s="88"/>
      <c r="D80" s="89" t="s">
        <v>3112</v>
      </c>
      <c r="I80" s="91" t="s">
        <v>3253</v>
      </c>
    </row>
    <row r="81" spans="1:9" s="89" customFormat="1" ht="15" hidden="1" customHeight="1" outlineLevel="1">
      <c r="A81" s="88"/>
      <c r="D81" s="89" t="s">
        <v>3113</v>
      </c>
      <c r="I81" s="91" t="s">
        <v>3254</v>
      </c>
    </row>
    <row r="82" spans="1:9" s="89" customFormat="1" ht="15" hidden="1" customHeight="1" outlineLevel="1">
      <c r="A82" s="88"/>
      <c r="D82" s="89" t="s">
        <v>3114</v>
      </c>
      <c r="I82" s="91" t="s">
        <v>3256</v>
      </c>
    </row>
    <row r="83" spans="1:9" s="89" customFormat="1" ht="15" hidden="1" customHeight="1" outlineLevel="1">
      <c r="A83" s="88"/>
      <c r="D83" s="89" t="s">
        <v>3115</v>
      </c>
      <c r="I83" s="91" t="s">
        <v>3257</v>
      </c>
    </row>
    <row r="84" spans="1:9" s="89" customFormat="1" ht="15" hidden="1" customHeight="1" outlineLevel="1">
      <c r="A84" s="88"/>
      <c r="D84" s="89" t="s">
        <v>3116</v>
      </c>
      <c r="I84" s="91" t="s">
        <v>3258</v>
      </c>
    </row>
    <row r="85" spans="1:9" s="89" customFormat="1" ht="15" hidden="1" customHeight="1" outlineLevel="1">
      <c r="A85" s="88"/>
      <c r="D85" s="89" t="s">
        <v>3117</v>
      </c>
      <c r="I85" s="91" t="s">
        <v>3261</v>
      </c>
    </row>
    <row r="86" spans="1:9" s="89" customFormat="1" ht="15" hidden="1" customHeight="1" outlineLevel="1">
      <c r="A86" s="88"/>
      <c r="D86" s="89" t="s">
        <v>3118</v>
      </c>
      <c r="I86" s="91" t="s">
        <v>3259</v>
      </c>
    </row>
    <row r="87" spans="1:9" s="89" customFormat="1" ht="15" hidden="1" customHeight="1" outlineLevel="1">
      <c r="A87" s="88"/>
      <c r="D87" s="89" t="s">
        <v>3119</v>
      </c>
      <c r="I87" s="91" t="s">
        <v>3260</v>
      </c>
    </row>
    <row r="88" spans="1:9" s="89" customFormat="1" ht="15" hidden="1" customHeight="1" outlineLevel="1">
      <c r="A88" s="88"/>
      <c r="C88" s="90"/>
      <c r="I88" s="91"/>
    </row>
    <row r="89" spans="1:9" s="89" customFormat="1" ht="15" customHeight="1" collapsed="1">
      <c r="A89" s="88"/>
      <c r="B89" s="88" t="s">
        <v>3122</v>
      </c>
      <c r="I89" s="89" t="s">
        <v>3202</v>
      </c>
    </row>
    <row r="90" spans="1:9" s="89" customFormat="1" ht="15" hidden="1" customHeight="1" outlineLevel="1">
      <c r="A90" s="88"/>
      <c r="C90" s="90" t="s">
        <v>3105</v>
      </c>
      <c r="I90" s="91"/>
    </row>
    <row r="91" spans="1:9" s="89" customFormat="1" ht="15" hidden="1" customHeight="1" outlineLevel="1">
      <c r="A91" s="88"/>
      <c r="C91" s="91"/>
      <c r="D91" s="91" t="s">
        <v>3106</v>
      </c>
      <c r="I91" s="91" t="s">
        <v>3248</v>
      </c>
    </row>
    <row r="92" spans="1:9" s="89" customFormat="1" ht="15" hidden="1" customHeight="1" outlineLevel="1">
      <c r="A92" s="88"/>
      <c r="D92" s="89" t="s">
        <v>3107</v>
      </c>
      <c r="I92" s="91" t="s">
        <v>3249</v>
      </c>
    </row>
    <row r="93" spans="1:9" s="89" customFormat="1" ht="15" hidden="1" customHeight="1" outlineLevel="1">
      <c r="A93" s="88"/>
      <c r="C93" s="90" t="s">
        <v>3123</v>
      </c>
      <c r="I93" s="91"/>
    </row>
    <row r="94" spans="1:9" s="89" customFormat="1" ht="15" hidden="1" customHeight="1" outlineLevel="1">
      <c r="A94" s="88"/>
      <c r="D94" s="89" t="s">
        <v>3126</v>
      </c>
      <c r="I94" s="91"/>
    </row>
    <row r="95" spans="1:9" s="89" customFormat="1" ht="15" hidden="1" customHeight="1" outlineLevel="1">
      <c r="A95" s="88"/>
      <c r="C95" s="90" t="s">
        <v>3121</v>
      </c>
      <c r="I95" s="91"/>
    </row>
    <row r="96" spans="1:9" s="89" customFormat="1" ht="15" hidden="1" customHeight="1" outlineLevel="1">
      <c r="A96" s="88"/>
      <c r="D96" s="89" t="s">
        <v>3124</v>
      </c>
      <c r="I96" s="91" t="s">
        <v>3262</v>
      </c>
    </row>
    <row r="97" spans="1:9" s="89" customFormat="1" ht="15" hidden="1" customHeight="1" outlineLevel="1">
      <c r="A97" s="88"/>
      <c r="D97" s="89" t="s">
        <v>3125</v>
      </c>
      <c r="I97" s="91" t="s">
        <v>3263</v>
      </c>
    </row>
    <row r="98" spans="1:9" s="89" customFormat="1" ht="15" hidden="1" customHeight="1" outlineLevel="1">
      <c r="A98" s="88"/>
      <c r="C98" s="90"/>
      <c r="I98" s="91"/>
    </row>
    <row r="99" spans="1:9" s="89" customFormat="1" ht="15" customHeight="1" collapsed="1">
      <c r="A99" s="88"/>
      <c r="B99" s="88" t="s">
        <v>3141</v>
      </c>
      <c r="I99" s="89" t="s">
        <v>3202</v>
      </c>
    </row>
    <row r="100" spans="1:9" s="89" customFormat="1" ht="15" hidden="1" customHeight="1" outlineLevel="1">
      <c r="A100" s="88"/>
      <c r="C100" s="90" t="s">
        <v>3105</v>
      </c>
      <c r="I100" s="91"/>
    </row>
    <row r="101" spans="1:9" s="89" customFormat="1" ht="15" hidden="1" customHeight="1" outlineLevel="1">
      <c r="A101" s="88"/>
      <c r="C101" s="91"/>
      <c r="D101" s="91" t="s">
        <v>3106</v>
      </c>
      <c r="I101" s="91" t="s">
        <v>3248</v>
      </c>
    </row>
    <row r="102" spans="1:9" s="89" customFormat="1" ht="15" hidden="1" customHeight="1" outlineLevel="1">
      <c r="A102" s="88"/>
      <c r="D102" s="89" t="s">
        <v>3107</v>
      </c>
      <c r="I102" s="91" t="s">
        <v>3249</v>
      </c>
    </row>
    <row r="103" spans="1:9" s="89" customFormat="1" ht="15" hidden="1" customHeight="1" outlineLevel="1">
      <c r="A103" s="88"/>
      <c r="C103" s="90" t="s">
        <v>3123</v>
      </c>
      <c r="I103" s="91"/>
    </row>
    <row r="104" spans="1:9" s="89" customFormat="1" ht="15" hidden="1" customHeight="1" outlineLevel="1">
      <c r="A104" s="88"/>
      <c r="D104" s="89" t="s">
        <v>3126</v>
      </c>
      <c r="I104" s="91"/>
    </row>
    <row r="105" spans="1:9" s="89" customFormat="1" ht="15" hidden="1" customHeight="1" outlineLevel="1">
      <c r="A105" s="88"/>
      <c r="C105" s="90" t="s">
        <v>3142</v>
      </c>
      <c r="I105" s="91"/>
    </row>
    <row r="106" spans="1:9" s="89" customFormat="1" ht="15" hidden="1" customHeight="1" outlineLevel="1">
      <c r="A106" s="88"/>
      <c r="D106" s="89" t="s">
        <v>3127</v>
      </c>
      <c r="I106" s="91" t="s">
        <v>3264</v>
      </c>
    </row>
    <row r="107" spans="1:9" s="89" customFormat="1" ht="15" hidden="1" customHeight="1" outlineLevel="1">
      <c r="A107" s="88"/>
      <c r="D107" s="89" t="s">
        <v>3128</v>
      </c>
      <c r="I107" s="91" t="s">
        <v>3265</v>
      </c>
    </row>
    <row r="108" spans="1:9" s="89" customFormat="1" ht="15" hidden="1" customHeight="1" outlineLevel="1">
      <c r="A108" s="88"/>
      <c r="D108" s="89" t="s">
        <v>3129</v>
      </c>
      <c r="I108" s="91" t="s">
        <v>3266</v>
      </c>
    </row>
    <row r="109" spans="1:9" s="89" customFormat="1" ht="15" hidden="1" customHeight="1" outlineLevel="1">
      <c r="A109" s="88"/>
      <c r="C109" s="90" t="s">
        <v>3130</v>
      </c>
      <c r="I109" s="91"/>
    </row>
    <row r="110" spans="1:9" s="89" customFormat="1" ht="15" hidden="1" customHeight="1" outlineLevel="1">
      <c r="A110" s="88"/>
      <c r="D110" s="89" t="s">
        <v>3131</v>
      </c>
      <c r="I110" s="91"/>
    </row>
    <row r="111" spans="1:9" s="89" customFormat="1" ht="15" hidden="1" customHeight="1" outlineLevel="1">
      <c r="A111" s="88"/>
      <c r="C111" s="90"/>
      <c r="I111" s="91"/>
    </row>
    <row r="112" spans="1:9" s="89" customFormat="1" ht="15" customHeight="1" collapsed="1">
      <c r="A112" s="88"/>
      <c r="B112" s="88" t="s">
        <v>3132</v>
      </c>
      <c r="I112" s="89" t="s">
        <v>3202</v>
      </c>
    </row>
    <row r="113" spans="1:9" s="89" customFormat="1" ht="15" hidden="1" customHeight="1" outlineLevel="1">
      <c r="A113" s="88"/>
      <c r="C113" s="90" t="s">
        <v>3105</v>
      </c>
      <c r="I113" s="91"/>
    </row>
    <row r="114" spans="1:9" s="89" customFormat="1" ht="15" hidden="1" customHeight="1" outlineLevel="1">
      <c r="A114" s="88"/>
      <c r="C114" s="91"/>
      <c r="D114" s="91" t="s">
        <v>3106</v>
      </c>
      <c r="I114" s="91" t="s">
        <v>3248</v>
      </c>
    </row>
    <row r="115" spans="1:9" s="89" customFormat="1" ht="15" hidden="1" customHeight="1" outlineLevel="1">
      <c r="A115" s="88"/>
      <c r="D115" s="89" t="s">
        <v>3107</v>
      </c>
      <c r="I115" s="91" t="s">
        <v>3249</v>
      </c>
    </row>
    <row r="116" spans="1:9" s="89" customFormat="1" ht="15" hidden="1" customHeight="1" outlineLevel="1">
      <c r="A116" s="88"/>
      <c r="C116" s="90" t="s">
        <v>3123</v>
      </c>
      <c r="I116" s="91"/>
    </row>
    <row r="117" spans="1:9" s="89" customFormat="1" ht="15" hidden="1" customHeight="1" outlineLevel="1">
      <c r="A117" s="88"/>
      <c r="D117" s="89" t="s">
        <v>3126</v>
      </c>
      <c r="I117" s="91"/>
    </row>
    <row r="118" spans="1:9" s="89" customFormat="1" ht="15" hidden="1" customHeight="1" outlineLevel="1">
      <c r="A118" s="88"/>
      <c r="C118" s="90" t="s">
        <v>3143</v>
      </c>
      <c r="I118" s="91"/>
    </row>
    <row r="119" spans="1:9" s="89" customFormat="1" ht="15" hidden="1" customHeight="1" outlineLevel="1">
      <c r="A119" s="88"/>
      <c r="D119" s="89" t="s">
        <v>3144</v>
      </c>
      <c r="I119" s="91" t="s">
        <v>3268</v>
      </c>
    </row>
    <row r="120" spans="1:9" s="89" customFormat="1" ht="15" hidden="1" customHeight="1" outlineLevel="1">
      <c r="A120" s="88"/>
      <c r="D120" s="89" t="s">
        <v>3133</v>
      </c>
      <c r="I120" s="91" t="s">
        <v>3269</v>
      </c>
    </row>
    <row r="121" spans="1:9" s="89" customFormat="1" ht="15" hidden="1" customHeight="1" outlineLevel="1">
      <c r="A121" s="88"/>
      <c r="D121" s="89" t="s">
        <v>3293</v>
      </c>
      <c r="I121" s="91" t="s">
        <v>3294</v>
      </c>
    </row>
    <row r="122" spans="1:9" s="89" customFormat="1" ht="15" hidden="1" customHeight="1" outlineLevel="1">
      <c r="A122" s="88"/>
      <c r="C122" s="90" t="s">
        <v>3267</v>
      </c>
      <c r="I122" s="91"/>
    </row>
    <row r="123" spans="1:9" s="89" customFormat="1" ht="15" hidden="1" customHeight="1" outlineLevel="1">
      <c r="A123" s="88"/>
      <c r="D123" s="89" t="s">
        <v>3134</v>
      </c>
      <c r="I123" s="91"/>
    </row>
    <row r="124" spans="1:9" s="89" customFormat="1" ht="15" hidden="1" customHeight="1" outlineLevel="1">
      <c r="A124" s="88"/>
      <c r="C124" s="90"/>
      <c r="I124" s="91"/>
    </row>
    <row r="125" spans="1:9" s="89" customFormat="1" ht="15" customHeight="1" collapsed="1">
      <c r="A125" s="88"/>
      <c r="B125" s="88" t="s">
        <v>3135</v>
      </c>
      <c r="I125" s="89" t="s">
        <v>3202</v>
      </c>
    </row>
    <row r="126" spans="1:9" s="89" customFormat="1" ht="15" hidden="1" customHeight="1" outlineLevel="1">
      <c r="A126" s="88"/>
      <c r="C126" s="90" t="s">
        <v>3105</v>
      </c>
      <c r="I126" s="91"/>
    </row>
    <row r="127" spans="1:9" s="89" customFormat="1" ht="15" hidden="1" customHeight="1" outlineLevel="1">
      <c r="A127" s="88"/>
      <c r="C127" s="91"/>
      <c r="D127" s="91" t="s">
        <v>3106</v>
      </c>
      <c r="I127" s="91" t="s">
        <v>3248</v>
      </c>
    </row>
    <row r="128" spans="1:9" s="89" customFormat="1" ht="15" hidden="1" customHeight="1" outlineLevel="1">
      <c r="A128" s="88"/>
      <c r="D128" s="89" t="s">
        <v>3107</v>
      </c>
      <c r="I128" s="91" t="s">
        <v>3249</v>
      </c>
    </row>
    <row r="129" spans="1:9" s="89" customFormat="1" ht="15" hidden="1" customHeight="1" outlineLevel="1">
      <c r="A129" s="88"/>
      <c r="C129" s="90" t="s">
        <v>3123</v>
      </c>
      <c r="I129" s="91"/>
    </row>
    <row r="130" spans="1:9" s="89" customFormat="1" ht="15" hidden="1" customHeight="1" outlineLevel="1">
      <c r="A130" s="88"/>
      <c r="D130" s="89" t="s">
        <v>3126</v>
      </c>
      <c r="I130" s="91"/>
    </row>
    <row r="131" spans="1:9" s="89" customFormat="1" ht="15" hidden="1" customHeight="1" outlineLevel="1">
      <c r="A131" s="88"/>
      <c r="C131" s="90" t="s">
        <v>3143</v>
      </c>
      <c r="I131" s="91"/>
    </row>
    <row r="132" spans="1:9" s="89" customFormat="1" ht="15" hidden="1" customHeight="1" outlineLevel="1">
      <c r="A132" s="88"/>
      <c r="D132" s="89" t="s">
        <v>3145</v>
      </c>
      <c r="I132" s="91" t="s">
        <v>3271</v>
      </c>
    </row>
    <row r="133" spans="1:9" s="89" customFormat="1" ht="15" hidden="1" customHeight="1" outlineLevel="1">
      <c r="A133" s="88"/>
      <c r="D133" s="89" t="s">
        <v>3146</v>
      </c>
      <c r="I133" s="91" t="s">
        <v>3272</v>
      </c>
    </row>
    <row r="134" spans="1:9" s="89" customFormat="1" ht="15" hidden="1" customHeight="1" outlineLevel="1">
      <c r="A134" s="88"/>
      <c r="C134" s="90" t="s">
        <v>3270</v>
      </c>
      <c r="I134" s="91"/>
    </row>
    <row r="135" spans="1:9" s="89" customFormat="1" ht="15" hidden="1" customHeight="1" outlineLevel="1">
      <c r="A135" s="88"/>
      <c r="D135" s="89" t="s">
        <v>3134</v>
      </c>
      <c r="I135" s="91"/>
    </row>
    <row r="136" spans="1:9" s="89" customFormat="1" ht="15" hidden="1" customHeight="1" outlineLevel="1">
      <c r="A136" s="88"/>
      <c r="C136" s="90"/>
      <c r="I136" s="91"/>
    </row>
    <row r="137" spans="1:9" s="18" customFormat="1" ht="15" customHeight="1" collapsed="1">
      <c r="A137" s="17"/>
      <c r="B137" s="17" t="s">
        <v>3136</v>
      </c>
      <c r="I137" s="18" t="s">
        <v>3203</v>
      </c>
    </row>
    <row r="138" spans="1:9" s="18" customFormat="1" ht="15" hidden="1" customHeight="1" outlineLevel="1">
      <c r="A138" s="17"/>
      <c r="C138" s="83" t="s">
        <v>3123</v>
      </c>
      <c r="I138" s="80"/>
    </row>
    <row r="139" spans="1:9" s="18" customFormat="1" ht="15" hidden="1" customHeight="1" outlineLevel="1">
      <c r="A139" s="17"/>
      <c r="C139" s="80"/>
      <c r="D139" s="80" t="s">
        <v>3126</v>
      </c>
      <c r="I139" s="80"/>
    </row>
    <row r="140" spans="1:9" s="18" customFormat="1" ht="15" hidden="1" customHeight="1" outlineLevel="1">
      <c r="A140" s="17"/>
      <c r="C140" s="83" t="s">
        <v>3121</v>
      </c>
      <c r="I140" s="80"/>
    </row>
    <row r="141" spans="1:9" s="18" customFormat="1" ht="15" hidden="1" customHeight="1" outlineLevel="1">
      <c r="A141" s="17"/>
      <c r="C141" s="83"/>
      <c r="D141" s="18" t="s">
        <v>3124</v>
      </c>
      <c r="I141" s="80"/>
    </row>
    <row r="142" spans="1:9" s="18" customFormat="1" ht="15" hidden="1" customHeight="1" outlineLevel="1">
      <c r="A142" s="17"/>
      <c r="C142" s="83"/>
      <c r="D142" s="18" t="s">
        <v>3148</v>
      </c>
      <c r="I142" s="80"/>
    </row>
    <row r="143" spans="1:9" s="18" customFormat="1" ht="15" hidden="1" customHeight="1" outlineLevel="1">
      <c r="A143" s="17"/>
      <c r="C143" s="83"/>
      <c r="D143" s="18" t="s">
        <v>3125</v>
      </c>
      <c r="I143" s="80"/>
    </row>
    <row r="144" spans="1:9" s="18" customFormat="1" ht="15" hidden="1" customHeight="1" outlineLevel="1">
      <c r="A144" s="17"/>
      <c r="C144" s="83"/>
      <c r="D144" s="18" t="s">
        <v>3149</v>
      </c>
      <c r="I144" s="80"/>
    </row>
    <row r="145" spans="1:9" s="18" customFormat="1" ht="15" hidden="1" customHeight="1" outlineLevel="1">
      <c r="A145" s="17"/>
      <c r="C145" s="83"/>
      <c r="D145" s="18" t="s">
        <v>3150</v>
      </c>
      <c r="I145" s="80"/>
    </row>
    <row r="146" spans="1:9" s="18" customFormat="1" ht="15" hidden="1" customHeight="1" outlineLevel="1">
      <c r="A146" s="17"/>
      <c r="C146" s="83"/>
      <c r="D146" s="18" t="s">
        <v>3151</v>
      </c>
      <c r="I146" s="80"/>
    </row>
    <row r="147" spans="1:9" s="18" customFormat="1" ht="15" hidden="1" customHeight="1" outlineLevel="1">
      <c r="A147" s="17"/>
      <c r="C147" s="83"/>
      <c r="D147" s="18" t="s">
        <v>3152</v>
      </c>
      <c r="I147" s="80"/>
    </row>
    <row r="148" spans="1:9" s="18" customFormat="1" ht="15" hidden="1" customHeight="1" outlineLevel="1">
      <c r="A148" s="17"/>
      <c r="C148" s="83"/>
      <c r="I148" s="80"/>
    </row>
    <row r="149" spans="1:9" s="18" customFormat="1" ht="15" customHeight="1" collapsed="1">
      <c r="A149" s="17"/>
      <c r="B149" s="17" t="s">
        <v>786</v>
      </c>
      <c r="I149" s="18" t="s">
        <v>3203</v>
      </c>
    </row>
    <row r="150" spans="1:9" s="18" customFormat="1" ht="15" hidden="1" customHeight="1" outlineLevel="1">
      <c r="A150" s="17"/>
      <c r="C150" s="83" t="s">
        <v>3123</v>
      </c>
      <c r="I150" s="80"/>
    </row>
    <row r="151" spans="1:9" s="18" customFormat="1" ht="15" hidden="1" customHeight="1" outlineLevel="1">
      <c r="A151" s="17"/>
      <c r="C151" s="80"/>
      <c r="D151" s="80" t="s">
        <v>3126</v>
      </c>
      <c r="I151" s="80"/>
    </row>
    <row r="152" spans="1:9" s="18" customFormat="1" ht="15" hidden="1" customHeight="1" outlineLevel="1">
      <c r="A152" s="17"/>
      <c r="C152" s="83" t="s">
        <v>3143</v>
      </c>
      <c r="I152" s="80"/>
    </row>
    <row r="153" spans="1:9" s="18" customFormat="1" ht="15" hidden="1" customHeight="1" outlineLevel="1">
      <c r="A153" s="17"/>
      <c r="D153" s="18" t="s">
        <v>3153</v>
      </c>
      <c r="I153" s="80"/>
    </row>
    <row r="154" spans="1:9" s="18" customFormat="1" ht="15" hidden="1" customHeight="1" outlineLevel="1">
      <c r="A154" s="17"/>
      <c r="D154" s="18" t="s">
        <v>3154</v>
      </c>
      <c r="I154" s="80"/>
    </row>
    <row r="155" spans="1:9" s="18" customFormat="1" ht="15" hidden="1" customHeight="1" outlineLevel="1">
      <c r="A155" s="17"/>
      <c r="D155" s="18" t="s">
        <v>3155</v>
      </c>
      <c r="I155" s="80"/>
    </row>
    <row r="156" spans="1:9" s="18" customFormat="1" ht="15" hidden="1" customHeight="1" outlineLevel="1">
      <c r="A156" s="17"/>
      <c r="C156" s="83" t="s">
        <v>3156</v>
      </c>
      <c r="I156" s="80"/>
    </row>
    <row r="157" spans="1:9" s="18" customFormat="1" ht="15" hidden="1" customHeight="1" outlineLevel="1">
      <c r="A157" s="17"/>
      <c r="D157" s="18" t="s">
        <v>3157</v>
      </c>
      <c r="I157" s="80"/>
    </row>
    <row r="158" spans="1:9" s="18" customFormat="1" ht="15" hidden="1" customHeight="1" outlineLevel="1">
      <c r="A158" s="17"/>
      <c r="C158" s="83"/>
      <c r="I158" s="80"/>
    </row>
    <row r="159" spans="1:9" s="18" customFormat="1" ht="15" customHeight="1" collapsed="1">
      <c r="A159" s="17"/>
      <c r="B159" s="17" t="s">
        <v>3147</v>
      </c>
      <c r="I159" s="18" t="s">
        <v>3203</v>
      </c>
    </row>
    <row r="160" spans="1:9" s="18" customFormat="1" ht="15" hidden="1" customHeight="1" outlineLevel="1">
      <c r="A160" s="17"/>
      <c r="C160" s="83" t="s">
        <v>3121</v>
      </c>
      <c r="I160" s="80"/>
    </row>
    <row r="161" spans="1:9" s="18" customFormat="1" ht="15" hidden="1" customHeight="1" outlineLevel="1">
      <c r="A161" s="17"/>
      <c r="C161" s="83"/>
      <c r="D161" s="18" t="s">
        <v>3137</v>
      </c>
      <c r="I161" s="80"/>
    </row>
    <row r="162" spans="1:9" s="18" customFormat="1" ht="15" hidden="1" customHeight="1" outlineLevel="1">
      <c r="A162" s="17"/>
      <c r="C162" s="83"/>
      <c r="D162" s="18" t="s">
        <v>3138</v>
      </c>
      <c r="I162" s="80"/>
    </row>
    <row r="163" spans="1:9" s="18" customFormat="1" ht="15" hidden="1" customHeight="1" outlineLevel="1">
      <c r="A163" s="17"/>
      <c r="C163" s="83"/>
      <c r="D163" s="18" t="s">
        <v>3139</v>
      </c>
      <c r="I163" s="80"/>
    </row>
    <row r="164" spans="1:9" s="18" customFormat="1" ht="15" hidden="1" customHeight="1" outlineLevel="1">
      <c r="A164" s="17"/>
      <c r="C164" s="83"/>
      <c r="D164" s="18" t="s">
        <v>3140</v>
      </c>
      <c r="I164" s="80"/>
    </row>
    <row r="165" spans="1:9" s="18" customFormat="1" ht="15" hidden="1" customHeight="1" outlineLevel="1">
      <c r="A165" s="17"/>
      <c r="C165" s="83"/>
      <c r="D165" s="18" t="s">
        <v>3124</v>
      </c>
      <c r="I165" s="80"/>
    </row>
    <row r="166" spans="1:9" s="18" customFormat="1" ht="15" hidden="1" customHeight="1" outlineLevel="1">
      <c r="A166" s="17"/>
      <c r="C166" s="83"/>
      <c r="I166" s="80"/>
    </row>
    <row r="167" spans="1:9" s="89" customFormat="1" ht="15" customHeight="1" collapsed="1">
      <c r="A167" s="88"/>
      <c r="B167" s="88" t="s">
        <v>3159</v>
      </c>
      <c r="I167" s="89" t="s">
        <v>3205</v>
      </c>
    </row>
    <row r="168" spans="1:9" s="89" customFormat="1" ht="15" hidden="1" customHeight="1" outlineLevel="1">
      <c r="A168" s="88"/>
      <c r="C168" s="90" t="s">
        <v>3158</v>
      </c>
      <c r="I168" s="91"/>
    </row>
    <row r="169" spans="1:9" s="89" customFormat="1" ht="15" hidden="1" customHeight="1" outlineLevel="1">
      <c r="A169" s="88"/>
      <c r="C169" s="91"/>
      <c r="D169" s="91" t="s">
        <v>3134</v>
      </c>
      <c r="I169" s="91"/>
    </row>
    <row r="170" spans="1:9" s="89" customFormat="1" ht="15" hidden="1" customHeight="1" outlineLevel="1">
      <c r="A170" s="88"/>
      <c r="C170" s="91"/>
      <c r="D170" s="91" t="s">
        <v>3284</v>
      </c>
      <c r="I170" s="91" t="s">
        <v>3288</v>
      </c>
    </row>
    <row r="171" spans="1:9" s="89" customFormat="1" ht="15" hidden="1" customHeight="1" outlineLevel="1">
      <c r="A171" s="88"/>
      <c r="C171" s="91"/>
      <c r="D171" s="91" t="s">
        <v>3285</v>
      </c>
      <c r="I171" s="91" t="s">
        <v>3289</v>
      </c>
    </row>
    <row r="172" spans="1:9" s="89" customFormat="1" ht="15" hidden="1" customHeight="1" outlineLevel="1">
      <c r="A172" s="88"/>
      <c r="C172" s="91"/>
      <c r="D172" s="91" t="s">
        <v>3286</v>
      </c>
      <c r="I172" s="91" t="s">
        <v>3287</v>
      </c>
    </row>
    <row r="173" spans="1:9" s="89" customFormat="1" ht="15" hidden="1" customHeight="1" outlineLevel="1">
      <c r="A173" s="88"/>
      <c r="C173" s="90" t="s">
        <v>3121</v>
      </c>
      <c r="I173" s="91"/>
    </row>
    <row r="174" spans="1:9" s="89" customFormat="1" ht="15" hidden="1" customHeight="1" outlineLevel="1">
      <c r="A174" s="88"/>
      <c r="D174" s="89" t="s">
        <v>3138</v>
      </c>
      <c r="I174" s="91"/>
    </row>
    <row r="175" spans="1:9" s="89" customFormat="1" ht="15" hidden="1" customHeight="1" outlineLevel="1">
      <c r="A175" s="88"/>
      <c r="D175" s="89" t="s">
        <v>3108</v>
      </c>
      <c r="I175" s="91"/>
    </row>
    <row r="176" spans="1:9" s="89" customFormat="1" ht="15" hidden="1" customHeight="1" outlineLevel="1">
      <c r="A176" s="88"/>
      <c r="D176" s="89" t="s">
        <v>3160</v>
      </c>
      <c r="I176" s="91"/>
    </row>
    <row r="177" spans="1:9" s="89" customFormat="1" ht="15" hidden="1" customHeight="1" outlineLevel="1">
      <c r="A177" s="88"/>
      <c r="D177" s="89" t="s">
        <v>3161</v>
      </c>
      <c r="I177" s="91"/>
    </row>
    <row r="178" spans="1:9" s="89" customFormat="1" ht="15" hidden="1" customHeight="1" outlineLevel="1">
      <c r="A178" s="88"/>
      <c r="I178" s="91"/>
    </row>
    <row r="179" spans="1:9" s="89" customFormat="1" ht="15" customHeight="1" collapsed="1">
      <c r="A179" s="88"/>
      <c r="B179" s="88" t="s">
        <v>3162</v>
      </c>
      <c r="I179" s="89" t="s">
        <v>3205</v>
      </c>
    </row>
    <row r="180" spans="1:9" s="89" customFormat="1" ht="15" hidden="1" customHeight="1" outlineLevel="1">
      <c r="A180" s="88"/>
      <c r="C180" s="90" t="s">
        <v>3158</v>
      </c>
      <c r="I180" s="91"/>
    </row>
    <row r="181" spans="1:9" s="89" customFormat="1" ht="15" hidden="1" customHeight="1" outlineLevel="1">
      <c r="A181" s="88"/>
      <c r="C181" s="91"/>
      <c r="D181" s="91" t="s">
        <v>3134</v>
      </c>
      <c r="I181" s="91"/>
    </row>
    <row r="182" spans="1:9" s="89" customFormat="1" ht="15" hidden="1" customHeight="1" outlineLevel="1">
      <c r="A182" s="88"/>
      <c r="C182" s="90" t="s">
        <v>3123</v>
      </c>
      <c r="I182" s="91"/>
    </row>
    <row r="183" spans="1:9" s="89" customFormat="1" ht="15" hidden="1" customHeight="1" outlineLevel="1">
      <c r="A183" s="88"/>
      <c r="D183" s="89" t="s">
        <v>3126</v>
      </c>
      <c r="I183" s="91"/>
    </row>
    <row r="184" spans="1:9" s="89" customFormat="1" ht="15" hidden="1" customHeight="1" outlineLevel="1">
      <c r="A184" s="88"/>
      <c r="C184" s="90" t="s">
        <v>3143</v>
      </c>
      <c r="I184" s="91"/>
    </row>
    <row r="185" spans="1:9" s="89" customFormat="1" ht="15" hidden="1" customHeight="1" outlineLevel="1">
      <c r="A185" s="88"/>
      <c r="D185" s="89" t="s">
        <v>3163</v>
      </c>
      <c r="I185" s="91"/>
    </row>
    <row r="186" spans="1:9" s="89" customFormat="1" ht="15" hidden="1" customHeight="1" outlineLevel="1">
      <c r="A186" s="88"/>
      <c r="D186" s="89" t="s">
        <v>3125</v>
      </c>
      <c r="I186" s="91"/>
    </row>
    <row r="187" spans="1:9" s="89" customFormat="1" ht="15" hidden="1" customHeight="1" outlineLevel="1">
      <c r="A187" s="88"/>
      <c r="C187" s="90" t="s">
        <v>3066</v>
      </c>
      <c r="I187" s="91"/>
    </row>
    <row r="188" spans="1:9" s="89" customFormat="1" ht="15" hidden="1" customHeight="1" outlineLevel="1">
      <c r="A188" s="88"/>
      <c r="D188" s="89" t="s">
        <v>3131</v>
      </c>
      <c r="I188" s="91"/>
    </row>
    <row r="189" spans="1:9" s="89" customFormat="1" ht="15" hidden="1" customHeight="1" outlineLevel="1">
      <c r="A189" s="88"/>
      <c r="I189" s="91"/>
    </row>
    <row r="190" spans="1:9" s="18" customFormat="1" ht="15" customHeight="1" collapsed="1">
      <c r="A190" s="17"/>
      <c r="B190" s="17" t="s">
        <v>3164</v>
      </c>
      <c r="I190" s="18" t="s">
        <v>3206</v>
      </c>
    </row>
    <row r="191" spans="1:9" s="18" customFormat="1" ht="15" hidden="1" customHeight="1" outlineLevel="1">
      <c r="A191" s="17"/>
      <c r="C191" s="83" t="s">
        <v>3165</v>
      </c>
      <c r="I191" s="80"/>
    </row>
    <row r="192" spans="1:9" s="18" customFormat="1" ht="15" hidden="1" customHeight="1" outlineLevel="1">
      <c r="A192" s="17"/>
      <c r="C192" s="80"/>
      <c r="D192" s="80" t="s">
        <v>3166</v>
      </c>
      <c r="I192" s="80" t="s">
        <v>3206</v>
      </c>
    </row>
    <row r="193" spans="1:9" s="18" customFormat="1" ht="15" hidden="1" customHeight="1" outlineLevel="1">
      <c r="A193" s="17"/>
      <c r="C193" s="80"/>
      <c r="D193" s="80" t="s">
        <v>3107</v>
      </c>
      <c r="I193" s="80" t="s">
        <v>3345</v>
      </c>
    </row>
    <row r="194" spans="1:9" s="18" customFormat="1" ht="15" hidden="1" customHeight="1" outlineLevel="1">
      <c r="A194" s="17"/>
      <c r="C194" s="83" t="s">
        <v>3121</v>
      </c>
      <c r="I194" s="80"/>
    </row>
    <row r="195" spans="1:9" s="18" customFormat="1" ht="15" hidden="1" customHeight="1" outlineLevel="1">
      <c r="A195" s="17"/>
      <c r="D195" s="18" t="s">
        <v>3152</v>
      </c>
      <c r="I195" s="80"/>
    </row>
    <row r="196" spans="1:9" s="18" customFormat="1" ht="15" hidden="1" customHeight="1" outlineLevel="1">
      <c r="A196" s="17"/>
      <c r="D196" s="18" t="s">
        <v>3167</v>
      </c>
      <c r="I196" s="80"/>
    </row>
    <row r="197" spans="1:9" s="18" customFormat="1" ht="15" hidden="1" customHeight="1" outlineLevel="1">
      <c r="A197" s="17"/>
      <c r="D197" s="18" t="s">
        <v>3168</v>
      </c>
      <c r="I197" s="80"/>
    </row>
    <row r="198" spans="1:9" s="18" customFormat="1" ht="15" hidden="1" customHeight="1" outlineLevel="1">
      <c r="A198" s="17"/>
      <c r="D198" s="18" t="s">
        <v>3169</v>
      </c>
      <c r="I198" s="80"/>
    </row>
    <row r="199" spans="1:9" s="18" customFormat="1" ht="15" hidden="1" customHeight="1" outlineLevel="1">
      <c r="A199" s="17"/>
      <c r="D199" s="18" t="s">
        <v>3170</v>
      </c>
      <c r="I199" s="80"/>
    </row>
    <row r="200" spans="1:9" s="18" customFormat="1" ht="15" hidden="1" customHeight="1" outlineLevel="1">
      <c r="A200" s="17"/>
      <c r="D200" s="18" t="s">
        <v>3171</v>
      </c>
      <c r="I200" s="80"/>
    </row>
    <row r="201" spans="1:9" s="18" customFormat="1" ht="15" hidden="1" customHeight="1" outlineLevel="1">
      <c r="A201" s="17"/>
      <c r="D201" s="18" t="s">
        <v>3344</v>
      </c>
      <c r="I201" s="80" t="s">
        <v>3346</v>
      </c>
    </row>
    <row r="202" spans="1:9" s="18" customFormat="1" ht="15" hidden="1" customHeight="1" outlineLevel="1">
      <c r="A202" s="17"/>
      <c r="I202" s="80"/>
    </row>
    <row r="203" spans="1:9" s="18" customFormat="1" ht="15" customHeight="1" collapsed="1">
      <c r="A203" s="17"/>
      <c r="B203" s="17" t="s">
        <v>3347</v>
      </c>
      <c r="I203" s="18" t="s">
        <v>3206</v>
      </c>
    </row>
    <row r="204" spans="1:9" s="18" customFormat="1" ht="15" hidden="1" customHeight="1" outlineLevel="1">
      <c r="A204" s="17"/>
      <c r="C204" s="83" t="s">
        <v>3165</v>
      </c>
      <c r="I204" s="80"/>
    </row>
    <row r="205" spans="1:9" s="18" customFormat="1" ht="15" hidden="1" customHeight="1" outlineLevel="1">
      <c r="A205" s="17"/>
      <c r="C205" s="80"/>
      <c r="D205" s="80" t="s">
        <v>3166</v>
      </c>
      <c r="I205" s="80" t="s">
        <v>3206</v>
      </c>
    </row>
    <row r="206" spans="1:9" s="18" customFormat="1" ht="15" hidden="1" customHeight="1" outlineLevel="1">
      <c r="A206" s="17"/>
      <c r="C206" s="80"/>
      <c r="D206" s="80" t="s">
        <v>3107</v>
      </c>
      <c r="I206" s="80" t="s">
        <v>3345</v>
      </c>
    </row>
    <row r="207" spans="1:9" s="18" customFormat="1" ht="15" hidden="1" customHeight="1" outlineLevel="1">
      <c r="A207" s="17"/>
      <c r="C207" s="83" t="s">
        <v>3123</v>
      </c>
      <c r="I207" s="80"/>
    </row>
    <row r="208" spans="1:9" s="18" customFormat="1" ht="15" hidden="1" customHeight="1" outlineLevel="1">
      <c r="A208" s="17"/>
      <c r="D208" s="18" t="s">
        <v>3126</v>
      </c>
      <c r="I208" s="80"/>
    </row>
    <row r="209" spans="1:9" s="18" customFormat="1" ht="15" hidden="1" customHeight="1" outlineLevel="1">
      <c r="A209" s="17"/>
      <c r="C209" s="83" t="s">
        <v>3143</v>
      </c>
      <c r="I209" s="80"/>
    </row>
    <row r="210" spans="1:9" s="18" customFormat="1" ht="15" hidden="1" customHeight="1" outlineLevel="1">
      <c r="A210" s="17"/>
      <c r="C210" s="83"/>
      <c r="D210" s="18" t="s">
        <v>3125</v>
      </c>
      <c r="I210" s="80"/>
    </row>
    <row r="211" spans="1:9" s="18" customFormat="1" ht="15" hidden="1" customHeight="1" outlineLevel="1">
      <c r="A211" s="17"/>
      <c r="C211" s="83"/>
      <c r="D211" s="18" t="s">
        <v>3105</v>
      </c>
      <c r="I211" s="80"/>
    </row>
    <row r="212" spans="1:9" s="18" customFormat="1" ht="15" hidden="1" customHeight="1" outlineLevel="1">
      <c r="A212" s="17"/>
      <c r="I212" s="80"/>
    </row>
    <row r="213" spans="1:9" s="89" customFormat="1" ht="15" customHeight="1" collapsed="1">
      <c r="A213" s="88"/>
      <c r="B213" s="88" t="s">
        <v>3172</v>
      </c>
      <c r="I213" s="89" t="s">
        <v>3204</v>
      </c>
    </row>
    <row r="214" spans="1:9" s="89" customFormat="1" ht="15" hidden="1" customHeight="1" outlineLevel="1">
      <c r="A214" s="88"/>
      <c r="C214" s="90" t="s">
        <v>3121</v>
      </c>
      <c r="I214" s="91"/>
    </row>
    <row r="215" spans="1:9" s="89" customFormat="1" ht="15" hidden="1" customHeight="1" outlineLevel="1">
      <c r="A215" s="88"/>
      <c r="C215" s="91"/>
      <c r="D215" s="91" t="s">
        <v>3169</v>
      </c>
      <c r="I215" s="91"/>
    </row>
    <row r="216" spans="1:9" s="89" customFormat="1" ht="15" hidden="1" customHeight="1" outlineLevel="1">
      <c r="A216" s="88"/>
      <c r="C216" s="91"/>
      <c r="D216" s="91" t="s">
        <v>3174</v>
      </c>
      <c r="I216" s="91"/>
    </row>
    <row r="217" spans="1:9" s="89" customFormat="1" ht="15" hidden="1" customHeight="1" outlineLevel="1">
      <c r="A217" s="88"/>
      <c r="C217" s="90"/>
      <c r="D217" s="89" t="s">
        <v>3173</v>
      </c>
      <c r="I217" s="91"/>
    </row>
    <row r="218" spans="1:9" s="89" customFormat="1" ht="15" hidden="1" customHeight="1" outlineLevel="1">
      <c r="A218" s="88"/>
      <c r="I218" s="91"/>
    </row>
    <row r="219" spans="1:9" s="89" customFormat="1" ht="15" customHeight="1" collapsed="1">
      <c r="A219" s="88"/>
      <c r="B219" s="88" t="s">
        <v>3175</v>
      </c>
      <c r="I219" s="89" t="s">
        <v>3204</v>
      </c>
    </row>
    <row r="220" spans="1:9" s="89" customFormat="1" ht="15" hidden="1" customHeight="1" outlineLevel="1">
      <c r="A220" s="88"/>
      <c r="C220" s="90" t="s">
        <v>3176</v>
      </c>
      <c r="I220" s="91"/>
    </row>
    <row r="221" spans="1:9" s="89" customFormat="1" ht="15" hidden="1" customHeight="1" outlineLevel="1">
      <c r="A221" s="88"/>
      <c r="C221" s="91"/>
      <c r="D221" s="91"/>
      <c r="I221" s="91"/>
    </row>
    <row r="222" spans="1:9" s="89" customFormat="1" ht="15" hidden="1" customHeight="1" outlineLevel="1">
      <c r="A222" s="88"/>
      <c r="C222" s="92" t="s">
        <v>3177</v>
      </c>
      <c r="D222" s="91"/>
      <c r="I222" s="91"/>
    </row>
    <row r="223" spans="1:9" s="89" customFormat="1" ht="15" hidden="1" customHeight="1" outlineLevel="1">
      <c r="A223" s="88"/>
      <c r="C223" s="90"/>
      <c r="I223" s="91"/>
    </row>
    <row r="224" spans="1:9" s="89" customFormat="1" ht="15" hidden="1" customHeight="1" outlineLevel="1">
      <c r="A224" s="88"/>
      <c r="I224" s="91"/>
    </row>
    <row r="225" spans="1:9" s="14" customFormat="1" ht="15" customHeight="1" collapsed="1">
      <c r="A225" s="13" t="s">
        <v>3200</v>
      </c>
      <c r="B225" s="13" t="s">
        <v>787</v>
      </c>
      <c r="I225" s="81" t="s">
        <v>3283</v>
      </c>
    </row>
    <row r="226" spans="1:9" s="14" customFormat="1" ht="15" hidden="1" customHeight="1" outlineLevel="1">
      <c r="A226" s="13"/>
      <c r="C226" s="135" t="s">
        <v>3296</v>
      </c>
      <c r="I226" s="81"/>
    </row>
    <row r="227" spans="1:9" s="14" customFormat="1" ht="15" hidden="1" customHeight="1" outlineLevel="1">
      <c r="A227" s="13"/>
      <c r="D227" s="14" t="s">
        <v>3297</v>
      </c>
      <c r="I227" s="81"/>
    </row>
    <row r="228" spans="1:9" s="14" customFormat="1" ht="15" hidden="1" customHeight="1" outlineLevel="1">
      <c r="A228" s="13"/>
      <c r="D228" s="14" t="s">
        <v>3299</v>
      </c>
      <c r="I228" s="81"/>
    </row>
    <row r="229" spans="1:9" s="14" customFormat="1" ht="15" hidden="1" customHeight="1" outlineLevel="1">
      <c r="A229" s="13"/>
      <c r="D229" s="14" t="s">
        <v>3301</v>
      </c>
      <c r="I229" s="81"/>
    </row>
    <row r="230" spans="1:9" s="14" customFormat="1" ht="15" hidden="1" customHeight="1" outlineLevel="1">
      <c r="A230" s="13"/>
      <c r="I230" s="81"/>
    </row>
    <row r="231" spans="1:9" s="14" customFormat="1" ht="15" customHeight="1" collapsed="1">
      <c r="A231" s="13"/>
      <c r="B231" s="13" t="s">
        <v>788</v>
      </c>
      <c r="I231" s="81" t="s">
        <v>3290</v>
      </c>
    </row>
    <row r="232" spans="1:9" s="14" customFormat="1" ht="15" hidden="1" customHeight="1" outlineLevel="1">
      <c r="A232" s="13"/>
      <c r="I232" s="81"/>
    </row>
    <row r="233" spans="1:9" s="14" customFormat="1" ht="15" hidden="1" customHeight="1" outlineLevel="1">
      <c r="A233" s="13"/>
      <c r="C233" s="14" t="s">
        <v>3342</v>
      </c>
      <c r="I233" s="81"/>
    </row>
    <row r="234" spans="1:9" s="14" customFormat="1" ht="15" hidden="1" customHeight="1" outlineLevel="1">
      <c r="A234" s="13"/>
      <c r="I234" s="81"/>
    </row>
    <row r="235" spans="1:9" s="14" customFormat="1" ht="15" hidden="1" customHeight="1" outlineLevel="1">
      <c r="A235" s="13"/>
      <c r="I235" s="81"/>
    </row>
    <row r="236" spans="1:9" s="16" customFormat="1" ht="15" customHeight="1" collapsed="1">
      <c r="A236" s="15"/>
      <c r="B236" s="125" t="s">
        <v>789</v>
      </c>
      <c r="I236" s="82" t="s">
        <v>3273</v>
      </c>
    </row>
    <row r="237" spans="1:9" s="16" customFormat="1" ht="15" hidden="1" customHeight="1" outlineLevel="1">
      <c r="A237" s="15"/>
      <c r="B237" s="125"/>
      <c r="C237" s="134" t="s">
        <v>3296</v>
      </c>
      <c r="I237" s="82"/>
    </row>
    <row r="238" spans="1:9" s="16" customFormat="1" ht="15" hidden="1" customHeight="1" outlineLevel="1">
      <c r="A238" s="15"/>
      <c r="B238" s="125"/>
      <c r="D238" s="16" t="s">
        <v>3297</v>
      </c>
      <c r="I238" s="82"/>
    </row>
    <row r="239" spans="1:9" s="16" customFormat="1" ht="15" hidden="1" customHeight="1" outlineLevel="1">
      <c r="A239" s="15"/>
      <c r="B239" s="125"/>
      <c r="D239" s="16" t="s">
        <v>3299</v>
      </c>
      <c r="I239" s="82"/>
    </row>
    <row r="240" spans="1:9" s="16" customFormat="1" ht="15" hidden="1" customHeight="1" outlineLevel="1">
      <c r="A240" s="15"/>
      <c r="B240" s="125"/>
      <c r="D240" s="16" t="s">
        <v>3301</v>
      </c>
      <c r="I240" s="82"/>
    </row>
    <row r="241" spans="1:9" s="16" customFormat="1" ht="15" hidden="1" customHeight="1" outlineLevel="1">
      <c r="A241" s="15"/>
      <c r="B241" s="125"/>
      <c r="D241" s="16" t="s">
        <v>3341</v>
      </c>
      <c r="I241" s="82"/>
    </row>
    <row r="242" spans="1:9" s="16" customFormat="1" ht="15" hidden="1" customHeight="1" outlineLevel="1">
      <c r="A242" s="15"/>
      <c r="B242" s="125"/>
      <c r="D242" s="16" t="s">
        <v>3084</v>
      </c>
      <c r="I242" s="82"/>
    </row>
    <row r="243" spans="1:9" s="16" customFormat="1" ht="15" hidden="1" customHeight="1" outlineLevel="1">
      <c r="A243" s="15"/>
      <c r="B243" s="125"/>
      <c r="I243" s="82"/>
    </row>
    <row r="244" spans="1:9" s="16" customFormat="1" ht="15" customHeight="1" collapsed="1">
      <c r="A244" s="15"/>
      <c r="B244" s="125" t="s">
        <v>790</v>
      </c>
      <c r="I244" s="82" t="s">
        <v>3274</v>
      </c>
    </row>
    <row r="245" spans="1:9" s="16" customFormat="1" ht="15" hidden="1" customHeight="1" outlineLevel="1">
      <c r="A245" s="15"/>
      <c r="B245" s="125"/>
      <c r="C245" s="134" t="s">
        <v>3306</v>
      </c>
      <c r="I245" s="82"/>
    </row>
    <row r="246" spans="1:9" s="16" customFormat="1" ht="15" hidden="1" customHeight="1" outlineLevel="1">
      <c r="A246" s="15"/>
      <c r="B246" s="125"/>
      <c r="C246" s="134"/>
      <c r="D246" s="16" t="s">
        <v>3106</v>
      </c>
      <c r="I246" s="82" t="s">
        <v>3248</v>
      </c>
    </row>
    <row r="247" spans="1:9" s="16" customFormat="1" ht="15" hidden="1" customHeight="1" outlineLevel="1">
      <c r="A247" s="15"/>
      <c r="B247" s="125"/>
      <c r="C247" s="134"/>
      <c r="D247" s="16" t="s">
        <v>3307</v>
      </c>
      <c r="I247" s="82" t="s">
        <v>3249</v>
      </c>
    </row>
    <row r="248" spans="1:9" s="16" customFormat="1" ht="15" hidden="1" customHeight="1" outlineLevel="1">
      <c r="A248" s="15"/>
      <c r="B248" s="125"/>
      <c r="C248" s="134" t="s">
        <v>3308</v>
      </c>
      <c r="I248" s="82" t="s">
        <v>3340</v>
      </c>
    </row>
    <row r="249" spans="1:9" s="16" customFormat="1" ht="15" hidden="1" customHeight="1" outlineLevel="1">
      <c r="A249" s="15"/>
      <c r="B249" s="125"/>
      <c r="I249" s="82"/>
    </row>
    <row r="250" spans="1:9" s="14" customFormat="1" ht="15" customHeight="1" collapsed="1">
      <c r="A250" s="13"/>
      <c r="B250" s="126" t="s">
        <v>791</v>
      </c>
      <c r="I250" s="81" t="s">
        <v>3275</v>
      </c>
    </row>
    <row r="251" spans="1:9" s="14" customFormat="1" ht="15" hidden="1" customHeight="1" outlineLevel="1">
      <c r="A251" s="13"/>
      <c r="B251" s="126"/>
      <c r="C251" s="135" t="s">
        <v>3296</v>
      </c>
      <c r="I251" s="81"/>
    </row>
    <row r="252" spans="1:9" s="14" customFormat="1" ht="15" hidden="1" customHeight="1" outlineLevel="1">
      <c r="A252" s="13"/>
      <c r="B252" s="126"/>
      <c r="D252" s="14" t="s">
        <v>3297</v>
      </c>
      <c r="I252" s="81"/>
    </row>
    <row r="253" spans="1:9" s="14" customFormat="1" ht="15" hidden="1" customHeight="1" outlineLevel="1">
      <c r="A253" s="13"/>
      <c r="B253" s="126"/>
      <c r="D253" s="14" t="s">
        <v>3299</v>
      </c>
      <c r="I253" s="81"/>
    </row>
    <row r="254" spans="1:9" s="14" customFormat="1" ht="15" hidden="1" customHeight="1" outlineLevel="1">
      <c r="A254" s="13"/>
      <c r="B254" s="126"/>
      <c r="D254" s="14" t="s">
        <v>3301</v>
      </c>
      <c r="I254" s="81"/>
    </row>
    <row r="255" spans="1:9" s="14" customFormat="1" ht="15" hidden="1" customHeight="1" outlineLevel="1">
      <c r="A255" s="13"/>
      <c r="B255" s="126"/>
      <c r="D255" s="14" t="s">
        <v>3331</v>
      </c>
      <c r="I255" s="81"/>
    </row>
    <row r="256" spans="1:9" s="14" customFormat="1" ht="15" hidden="1" customHeight="1" outlineLevel="1">
      <c r="A256" s="13"/>
      <c r="B256" s="126"/>
      <c r="I256" s="81"/>
    </row>
    <row r="257" spans="1:9" s="14" customFormat="1" ht="15" customHeight="1" collapsed="1">
      <c r="A257" s="13"/>
      <c r="B257" s="126" t="s">
        <v>792</v>
      </c>
      <c r="I257" s="81" t="s">
        <v>3276</v>
      </c>
    </row>
    <row r="258" spans="1:9" s="14" customFormat="1" ht="15" hidden="1" customHeight="1" outlineLevel="1">
      <c r="A258" s="13"/>
      <c r="B258" s="126"/>
      <c r="C258" s="135" t="s">
        <v>3306</v>
      </c>
      <c r="I258" s="81"/>
    </row>
    <row r="259" spans="1:9" s="14" customFormat="1" ht="15" hidden="1" customHeight="1" outlineLevel="1">
      <c r="A259" s="13"/>
      <c r="B259" s="126"/>
      <c r="D259" s="14" t="s">
        <v>3106</v>
      </c>
      <c r="I259" s="81" t="s">
        <v>3248</v>
      </c>
    </row>
    <row r="260" spans="1:9" s="14" customFormat="1" ht="15" hidden="1" customHeight="1" outlineLevel="1">
      <c r="A260" s="13"/>
      <c r="B260" s="126"/>
      <c r="D260" s="14" t="s">
        <v>3307</v>
      </c>
      <c r="I260" s="81" t="s">
        <v>3249</v>
      </c>
    </row>
    <row r="261" spans="1:9" s="14" customFormat="1" ht="15" hidden="1" customHeight="1" outlineLevel="1">
      <c r="A261" s="13"/>
      <c r="B261" s="126"/>
      <c r="C261" s="135" t="s">
        <v>3308</v>
      </c>
      <c r="I261" s="81" t="s">
        <v>3339</v>
      </c>
    </row>
    <row r="262" spans="1:9" s="14" customFormat="1" ht="15" hidden="1" customHeight="1" outlineLevel="1">
      <c r="A262" s="13"/>
      <c r="B262" s="126"/>
      <c r="I262" s="81"/>
    </row>
    <row r="263" spans="1:9" s="16" customFormat="1" ht="15" customHeight="1" collapsed="1">
      <c r="A263" s="15"/>
      <c r="B263" s="125" t="s">
        <v>793</v>
      </c>
      <c r="I263" s="82" t="s">
        <v>3277</v>
      </c>
    </row>
    <row r="264" spans="1:9" s="16" customFormat="1" ht="15" hidden="1" customHeight="1" outlineLevel="1">
      <c r="A264" s="15"/>
      <c r="B264" s="125"/>
      <c r="C264" s="134" t="s">
        <v>3296</v>
      </c>
      <c r="I264" s="82"/>
    </row>
    <row r="265" spans="1:9" s="16" customFormat="1" ht="15" hidden="1" customHeight="1" outlineLevel="1">
      <c r="A265" s="15"/>
      <c r="B265" s="125"/>
      <c r="D265" s="16" t="s">
        <v>3297</v>
      </c>
      <c r="I265" s="82"/>
    </row>
    <row r="266" spans="1:9" s="16" customFormat="1" ht="15" hidden="1" customHeight="1" outlineLevel="1">
      <c r="A266" s="15"/>
      <c r="B266" s="125"/>
      <c r="D266" s="16" t="s">
        <v>3299</v>
      </c>
      <c r="I266" s="82"/>
    </row>
    <row r="267" spans="1:9" s="16" customFormat="1" ht="15" hidden="1" customHeight="1" outlineLevel="1">
      <c r="A267" s="15"/>
      <c r="B267" s="125"/>
      <c r="D267" s="16" t="s">
        <v>3301</v>
      </c>
      <c r="I267" s="82"/>
    </row>
    <row r="268" spans="1:9" s="16" customFormat="1" ht="15" hidden="1" customHeight="1" outlineLevel="1">
      <c r="A268" s="15"/>
      <c r="B268" s="125"/>
      <c r="D268" s="16" t="s">
        <v>3334</v>
      </c>
      <c r="I268" s="82"/>
    </row>
    <row r="269" spans="1:9" s="16" customFormat="1" ht="15" hidden="1" customHeight="1" outlineLevel="1">
      <c r="A269" s="15"/>
      <c r="B269" s="125"/>
      <c r="D269" s="16" t="s">
        <v>3169</v>
      </c>
      <c r="I269" s="82"/>
    </row>
    <row r="270" spans="1:9" s="16" customFormat="1" ht="15" hidden="1" customHeight="1" outlineLevel="1">
      <c r="A270" s="15"/>
      <c r="B270" s="125"/>
      <c r="D270" s="16" t="s">
        <v>3335</v>
      </c>
      <c r="I270" s="82"/>
    </row>
    <row r="271" spans="1:9" s="16" customFormat="1" ht="15" hidden="1" customHeight="1" outlineLevel="1">
      <c r="A271" s="15"/>
      <c r="B271" s="125"/>
      <c r="D271" s="16" t="s">
        <v>3336</v>
      </c>
      <c r="I271" s="82"/>
    </row>
    <row r="272" spans="1:9" s="16" customFormat="1" ht="15" hidden="1" customHeight="1" outlineLevel="1">
      <c r="A272" s="15"/>
      <c r="B272" s="125"/>
      <c r="D272" s="16" t="s">
        <v>3137</v>
      </c>
      <c r="I272" s="82"/>
    </row>
    <row r="273" spans="1:9" s="16" customFormat="1" ht="15" hidden="1" customHeight="1" outlineLevel="1">
      <c r="A273" s="15"/>
      <c r="B273" s="125"/>
      <c r="D273" s="16" t="s">
        <v>3337</v>
      </c>
      <c r="I273" s="82"/>
    </row>
    <row r="274" spans="1:9" s="16" customFormat="1" ht="15" hidden="1" customHeight="1" outlineLevel="1">
      <c r="A274" s="15"/>
      <c r="B274" s="125"/>
      <c r="D274" s="16" t="s">
        <v>3338</v>
      </c>
      <c r="I274" s="82"/>
    </row>
    <row r="275" spans="1:9" s="16" customFormat="1" ht="15" hidden="1" customHeight="1" outlineLevel="1">
      <c r="A275" s="15"/>
      <c r="B275" s="125"/>
      <c r="I275" s="82"/>
    </row>
    <row r="276" spans="1:9" s="16" customFormat="1" ht="15" customHeight="1" collapsed="1">
      <c r="A276" s="15"/>
      <c r="B276" s="125" t="s">
        <v>794</v>
      </c>
      <c r="I276" s="82" t="s">
        <v>3278</v>
      </c>
    </row>
    <row r="277" spans="1:9" s="16" customFormat="1" ht="15" hidden="1" customHeight="1" outlineLevel="1">
      <c r="A277" s="15"/>
      <c r="B277" s="125"/>
      <c r="C277" s="134" t="s">
        <v>3306</v>
      </c>
      <c r="I277" s="82"/>
    </row>
    <row r="278" spans="1:9" s="16" customFormat="1" ht="15" hidden="1" customHeight="1" outlineLevel="1">
      <c r="A278" s="15"/>
      <c r="B278" s="125"/>
      <c r="C278" s="134"/>
      <c r="D278" s="16" t="s">
        <v>3106</v>
      </c>
      <c r="I278" s="82" t="s">
        <v>3248</v>
      </c>
    </row>
    <row r="279" spans="1:9" s="16" customFormat="1" ht="15" hidden="1" customHeight="1" outlineLevel="1">
      <c r="A279" s="15"/>
      <c r="B279" s="125"/>
      <c r="C279" s="134"/>
      <c r="D279" s="16" t="s">
        <v>3307</v>
      </c>
      <c r="I279" s="82" t="s">
        <v>3249</v>
      </c>
    </row>
    <row r="280" spans="1:9" s="16" customFormat="1" ht="15" hidden="1" customHeight="1" outlineLevel="1">
      <c r="A280" s="15"/>
      <c r="B280" s="125"/>
      <c r="C280" s="134" t="s">
        <v>3308</v>
      </c>
      <c r="I280" s="82" t="s">
        <v>3333</v>
      </c>
    </row>
    <row r="281" spans="1:9" s="16" customFormat="1" ht="15" hidden="1" customHeight="1" outlineLevel="1">
      <c r="A281" s="15"/>
      <c r="B281" s="125"/>
      <c r="I281" s="82"/>
    </row>
    <row r="282" spans="1:9" s="14" customFormat="1" ht="15" customHeight="1" collapsed="1">
      <c r="A282" s="13"/>
      <c r="B282" s="126" t="s">
        <v>795</v>
      </c>
      <c r="I282" s="81" t="s">
        <v>3279</v>
      </c>
    </row>
    <row r="283" spans="1:9" s="14" customFormat="1" ht="15" hidden="1" customHeight="1" outlineLevel="1">
      <c r="A283" s="13"/>
      <c r="B283" s="126"/>
      <c r="C283" s="135" t="s">
        <v>3296</v>
      </c>
      <c r="I283" s="81"/>
    </row>
    <row r="284" spans="1:9" s="14" customFormat="1" ht="15" hidden="1" customHeight="1" outlineLevel="1">
      <c r="A284" s="13"/>
      <c r="B284" s="126"/>
      <c r="D284" s="14" t="s">
        <v>3297</v>
      </c>
      <c r="I284" s="81"/>
    </row>
    <row r="285" spans="1:9" s="14" customFormat="1" ht="15" hidden="1" customHeight="1" outlineLevel="1">
      <c r="A285" s="13"/>
      <c r="B285" s="126"/>
      <c r="D285" s="14" t="s">
        <v>3299</v>
      </c>
      <c r="I285" s="81"/>
    </row>
    <row r="286" spans="1:9" s="14" customFormat="1" ht="15" hidden="1" customHeight="1" outlineLevel="1">
      <c r="A286" s="13"/>
      <c r="B286" s="126"/>
      <c r="D286" s="14" t="s">
        <v>3302</v>
      </c>
      <c r="I286" s="81"/>
    </row>
    <row r="287" spans="1:9" s="14" customFormat="1" ht="15" hidden="1" customHeight="1" outlineLevel="1">
      <c r="A287" s="13"/>
      <c r="B287" s="126"/>
      <c r="D287" s="14" t="s">
        <v>3331</v>
      </c>
      <c r="I287" s="81"/>
    </row>
    <row r="288" spans="1:9" s="14" customFormat="1" ht="15" hidden="1" customHeight="1" outlineLevel="1">
      <c r="A288" s="13"/>
      <c r="B288" s="126"/>
      <c r="I288" s="81"/>
    </row>
    <row r="289" spans="1:9" s="14" customFormat="1" ht="15" customHeight="1" collapsed="1">
      <c r="A289" s="13"/>
      <c r="B289" s="126" t="s">
        <v>796</v>
      </c>
      <c r="I289" s="81" t="s">
        <v>3280</v>
      </c>
    </row>
    <row r="290" spans="1:9" s="14" customFormat="1" ht="15" hidden="1" customHeight="1" outlineLevel="1">
      <c r="A290" s="13"/>
      <c r="B290" s="126"/>
      <c r="C290" s="135" t="s">
        <v>3306</v>
      </c>
      <c r="I290" s="81"/>
    </row>
    <row r="291" spans="1:9" s="14" customFormat="1" ht="15" hidden="1" customHeight="1" outlineLevel="1">
      <c r="A291" s="13"/>
      <c r="B291" s="126"/>
      <c r="C291" s="135"/>
      <c r="D291" s="14" t="s">
        <v>3106</v>
      </c>
      <c r="I291" s="14" t="s">
        <v>3248</v>
      </c>
    </row>
    <row r="292" spans="1:9" s="14" customFormat="1" ht="15" hidden="1" customHeight="1" outlineLevel="1">
      <c r="A292" s="13"/>
      <c r="B292" s="126"/>
      <c r="C292" s="135"/>
      <c r="D292" s="14" t="s">
        <v>3307</v>
      </c>
      <c r="I292" s="14" t="s">
        <v>3249</v>
      </c>
    </row>
    <row r="293" spans="1:9" s="14" customFormat="1" ht="15" hidden="1" customHeight="1" outlineLevel="1">
      <c r="A293" s="13"/>
      <c r="B293" s="126"/>
      <c r="C293" s="135" t="s">
        <v>3308</v>
      </c>
      <c r="I293" s="14" t="s">
        <v>3332</v>
      </c>
    </row>
    <row r="294" spans="1:9" s="14" customFormat="1" ht="15" hidden="1" customHeight="1" outlineLevel="1">
      <c r="A294" s="13"/>
      <c r="B294" s="126"/>
      <c r="I294" s="81"/>
    </row>
    <row r="295" spans="1:9" s="16" customFormat="1" ht="15" customHeight="1" collapsed="1">
      <c r="A295" s="15"/>
      <c r="B295" s="125" t="s">
        <v>797</v>
      </c>
      <c r="I295" s="82" t="s">
        <v>3281</v>
      </c>
    </row>
    <row r="296" spans="1:9" s="16" customFormat="1" ht="15" hidden="1" customHeight="1" outlineLevel="1">
      <c r="A296" s="15"/>
      <c r="B296" s="125"/>
      <c r="C296" s="134" t="s">
        <v>3066</v>
      </c>
      <c r="I296" s="82"/>
    </row>
    <row r="297" spans="1:9" s="16" customFormat="1" ht="15" hidden="1" customHeight="1" outlineLevel="1">
      <c r="A297" s="15"/>
      <c r="B297" s="125"/>
      <c r="D297" s="16" t="s">
        <v>3298</v>
      </c>
      <c r="I297" s="82"/>
    </row>
    <row r="298" spans="1:9" s="16" customFormat="1" ht="15" hidden="1" customHeight="1" outlineLevel="1">
      <c r="A298" s="15"/>
      <c r="B298" s="125"/>
      <c r="D298" s="16" t="s">
        <v>3300</v>
      </c>
      <c r="I298" s="82"/>
    </row>
    <row r="299" spans="1:9" s="16" customFormat="1" ht="15" hidden="1" customHeight="1" outlineLevel="1">
      <c r="A299" s="15"/>
      <c r="B299" s="125"/>
      <c r="D299" s="16" t="s">
        <v>3302</v>
      </c>
      <c r="I299" s="82"/>
    </row>
    <row r="300" spans="1:9" s="16" customFormat="1" ht="15" hidden="1" customHeight="1" outlineLevel="1">
      <c r="A300" s="15"/>
      <c r="B300" s="125"/>
      <c r="D300" s="16" t="s">
        <v>3303</v>
      </c>
      <c r="I300" s="82"/>
    </row>
    <row r="301" spans="1:9" s="16" customFormat="1" ht="15" hidden="1" customHeight="1" outlineLevel="1">
      <c r="A301" s="15"/>
      <c r="B301" s="125"/>
      <c r="D301" s="16" t="s">
        <v>3169</v>
      </c>
      <c r="I301" s="82"/>
    </row>
    <row r="302" spans="1:9" s="16" customFormat="1" ht="15" hidden="1" customHeight="1" outlineLevel="1">
      <c r="A302" s="15"/>
      <c r="B302" s="125"/>
      <c r="D302" s="16" t="s">
        <v>3304</v>
      </c>
      <c r="I302" s="82"/>
    </row>
    <row r="303" spans="1:9" s="16" customFormat="1" ht="15" hidden="1" customHeight="1" outlineLevel="1">
      <c r="A303" s="15"/>
      <c r="B303" s="125"/>
      <c r="D303" s="16" t="s">
        <v>3305</v>
      </c>
      <c r="I303" s="82"/>
    </row>
    <row r="304" spans="1:9" s="16" customFormat="1" ht="15" hidden="1" customHeight="1" outlineLevel="1">
      <c r="A304" s="15"/>
      <c r="B304" s="125"/>
      <c r="I304" s="82"/>
    </row>
    <row r="305" spans="1:9" s="16" customFormat="1" ht="15" customHeight="1" collapsed="1">
      <c r="A305" s="15"/>
      <c r="B305" s="125" t="s">
        <v>3295</v>
      </c>
      <c r="I305" s="82" t="s">
        <v>3282</v>
      </c>
    </row>
    <row r="306" spans="1:9" s="16" customFormat="1" ht="15" hidden="1" customHeight="1" outlineLevel="1">
      <c r="A306" s="15"/>
      <c r="C306" s="134" t="s">
        <v>3306</v>
      </c>
      <c r="I306" s="82"/>
    </row>
    <row r="307" spans="1:9" s="16" customFormat="1" ht="15" hidden="1" customHeight="1" outlineLevel="1">
      <c r="A307" s="15"/>
      <c r="D307" s="16" t="s">
        <v>3106</v>
      </c>
      <c r="I307" s="82" t="s">
        <v>3248</v>
      </c>
    </row>
    <row r="308" spans="1:9" s="16" customFormat="1" ht="15" hidden="1" customHeight="1" outlineLevel="1">
      <c r="A308" s="15"/>
      <c r="D308" s="16" t="s">
        <v>3307</v>
      </c>
      <c r="I308" s="82" t="s">
        <v>3249</v>
      </c>
    </row>
    <row r="309" spans="1:9" s="16" customFormat="1" ht="15" hidden="1" customHeight="1" outlineLevel="1">
      <c r="A309" s="15"/>
      <c r="C309" s="134" t="s">
        <v>3309</v>
      </c>
      <c r="I309" s="82" t="s">
        <v>3310</v>
      </c>
    </row>
    <row r="310" spans="1:9" s="16" customFormat="1" ht="15" hidden="1" customHeight="1" outlineLevel="1">
      <c r="A310" s="15"/>
      <c r="C310" s="134" t="s">
        <v>3311</v>
      </c>
      <c r="I310" s="82" t="s">
        <v>3313</v>
      </c>
    </row>
    <row r="311" spans="1:9" s="16" customFormat="1" ht="15" hidden="1" customHeight="1" outlineLevel="1">
      <c r="A311" s="15"/>
      <c r="C311" s="134" t="s">
        <v>3312</v>
      </c>
      <c r="I311" s="82" t="s">
        <v>3343</v>
      </c>
    </row>
    <row r="312" spans="1:9" s="16" customFormat="1" ht="15" hidden="1" customHeight="1" outlineLevel="1">
      <c r="A312" s="15"/>
      <c r="C312" s="134" t="s">
        <v>3143</v>
      </c>
      <c r="I312" s="82"/>
    </row>
    <row r="313" spans="1:9" s="16" customFormat="1" ht="15" hidden="1" customHeight="1" outlineLevel="1">
      <c r="A313" s="15"/>
      <c r="C313" s="134"/>
      <c r="D313" s="16" t="s">
        <v>3125</v>
      </c>
      <c r="I313" s="82" t="s">
        <v>3323</v>
      </c>
    </row>
    <row r="314" spans="1:9" s="16" customFormat="1" ht="15" hidden="1" customHeight="1" outlineLevel="1">
      <c r="A314" s="15"/>
      <c r="C314" s="134"/>
      <c r="D314" s="16" t="s">
        <v>3314</v>
      </c>
      <c r="I314" s="82" t="s">
        <v>3324</v>
      </c>
    </row>
    <row r="315" spans="1:9" s="16" customFormat="1" ht="15.75" hidden="1" customHeight="1" outlineLevel="1">
      <c r="A315" s="15"/>
      <c r="C315" s="134"/>
      <c r="D315" s="16" t="s">
        <v>3163</v>
      </c>
      <c r="I315" s="82" t="s">
        <v>3178</v>
      </c>
    </row>
    <row r="316" spans="1:9" s="16" customFormat="1" ht="15.75" hidden="1" customHeight="1" outlineLevel="1">
      <c r="A316" s="15"/>
      <c r="C316" s="134"/>
      <c r="D316" s="16" t="s">
        <v>3315</v>
      </c>
      <c r="I316" s="82" t="s">
        <v>3325</v>
      </c>
    </row>
    <row r="317" spans="1:9" s="16" customFormat="1" ht="15.75" hidden="1" customHeight="1" outlineLevel="1">
      <c r="A317" s="15"/>
      <c r="C317" s="134"/>
      <c r="D317" s="16" t="s">
        <v>3316</v>
      </c>
      <c r="I317" s="82" t="s">
        <v>3180</v>
      </c>
    </row>
    <row r="318" spans="1:9" s="16" customFormat="1" ht="15.75" hidden="1" customHeight="1" outlineLevel="1">
      <c r="A318" s="15"/>
      <c r="C318" s="134"/>
      <c r="D318" s="16" t="s">
        <v>3149</v>
      </c>
      <c r="I318" s="82" t="s">
        <v>3326</v>
      </c>
    </row>
    <row r="319" spans="1:9" s="16" customFormat="1" ht="15.75" hidden="1" customHeight="1" outlineLevel="1">
      <c r="A319" s="15"/>
      <c r="C319" s="134"/>
      <c r="D319" s="16" t="s">
        <v>3317</v>
      </c>
      <c r="I319" s="82" t="s">
        <v>3182</v>
      </c>
    </row>
    <row r="320" spans="1:9" s="16" customFormat="1" ht="15.75" hidden="1" customHeight="1" outlineLevel="1">
      <c r="A320" s="15"/>
      <c r="C320" s="134"/>
      <c r="D320" s="16" t="s">
        <v>3318</v>
      </c>
      <c r="I320" s="82" t="s">
        <v>3183</v>
      </c>
    </row>
    <row r="321" spans="1:9" s="16" customFormat="1" ht="15.75" hidden="1" customHeight="1" outlineLevel="1">
      <c r="A321" s="15"/>
      <c r="C321" s="134"/>
      <c r="D321" s="16" t="s">
        <v>3370</v>
      </c>
      <c r="I321" s="82" t="s">
        <v>3371</v>
      </c>
    </row>
    <row r="322" spans="1:9" s="16" customFormat="1" ht="15.75" hidden="1" customHeight="1" outlineLevel="1">
      <c r="A322" s="15"/>
      <c r="C322" s="134"/>
      <c r="D322" s="16" t="s">
        <v>3319</v>
      </c>
      <c r="I322" s="82" t="s">
        <v>3327</v>
      </c>
    </row>
    <row r="323" spans="1:9" s="16" customFormat="1" ht="15.75" hidden="1" customHeight="1" outlineLevel="1">
      <c r="A323" s="15"/>
      <c r="C323" s="134"/>
      <c r="D323" s="16" t="s">
        <v>3320</v>
      </c>
      <c r="I323" s="82" t="s">
        <v>3328</v>
      </c>
    </row>
    <row r="324" spans="1:9" s="16" customFormat="1" ht="15.75" hidden="1" customHeight="1" outlineLevel="1">
      <c r="A324" s="15"/>
      <c r="C324" s="134"/>
      <c r="D324" s="16" t="s">
        <v>3321</v>
      </c>
      <c r="I324" s="82" t="s">
        <v>3329</v>
      </c>
    </row>
    <row r="325" spans="1:9" s="16" customFormat="1" ht="15.75" hidden="1" customHeight="1" outlineLevel="1">
      <c r="A325" s="15"/>
      <c r="C325" s="134"/>
      <c r="D325" s="16" t="s">
        <v>3322</v>
      </c>
      <c r="I325" s="82" t="s">
        <v>3330</v>
      </c>
    </row>
    <row r="326" spans="1:9" s="16" customFormat="1" ht="15" hidden="1" customHeight="1" outlineLevel="1">
      <c r="I326" s="82"/>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topLeftCell="A1051" zoomScale="85" zoomScaleNormal="85" zoomScalePageLayoutView="125" workbookViewId="0">
      <selection activeCell="M1085" sqref="M1085"/>
    </sheetView>
  </sheetViews>
  <sheetFormatPr defaultColWidth="5.125" defaultRowHeight="11.25" customHeight="1"/>
  <cols>
    <col min="1" max="2" width="5.125" style="25"/>
    <col min="3" max="3" width="6.375" style="25" bestFit="1" customWidth="1"/>
    <col min="4" max="24" width="5.625" style="25" bestFit="1" customWidth="1"/>
    <col min="25" max="16384" width="5.125" style="25"/>
  </cols>
  <sheetData>
    <row r="1" spans="1:26" s="54" customFormat="1" ht="11.25" customHeight="1">
      <c r="A1" s="75" t="str">
        <f>T1.PLATE()</f>
        <v>TSUKUBA_TEMPLATE</v>
      </c>
      <c r="B1" s="75"/>
      <c r="D1" s="55" t="s">
        <v>808</v>
      </c>
      <c r="E1" s="56">
        <v>384</v>
      </c>
      <c r="F1" s="57"/>
      <c r="G1" s="55" t="s">
        <v>809</v>
      </c>
      <c r="H1" s="57" t="s">
        <v>3038</v>
      </c>
      <c r="I1" s="58"/>
      <c r="J1" s="55" t="s">
        <v>810</v>
      </c>
      <c r="K1" s="59" t="s">
        <v>3035</v>
      </c>
      <c r="L1" s="60"/>
      <c r="N1" s="55" t="s">
        <v>3208</v>
      </c>
      <c r="O1" s="58" t="str">
        <f>T1.System("version")</f>
        <v>ver. 1.1.0</v>
      </c>
    </row>
    <row r="2" spans="1:26" ht="11.25" hidden="1" customHeight="1">
      <c r="A2" s="24"/>
      <c r="B2" s="30"/>
      <c r="C2" s="31"/>
      <c r="D2" s="31"/>
      <c r="E2" s="32"/>
      <c r="F2" s="32"/>
      <c r="G2" s="32"/>
      <c r="H2" s="32"/>
      <c r="I2" s="31"/>
      <c r="J2" s="31"/>
      <c r="K2" s="31"/>
      <c r="L2" s="31"/>
    </row>
    <row r="3" spans="1:26" ht="11.25" hidden="1" customHeight="1">
      <c r="A3" s="24"/>
      <c r="B3" s="30" t="s">
        <v>804</v>
      </c>
      <c r="C3" s="32" t="str">
        <f>T1.PLATEREADER_INFO("assay")</f>
        <v/>
      </c>
      <c r="D3" s="31"/>
      <c r="E3" s="31"/>
      <c r="F3" s="31"/>
      <c r="G3" s="33" t="s">
        <v>802</v>
      </c>
      <c r="H3" s="31" t="str">
        <f>T1.PLATEREADER_INFO("date")</f>
        <v/>
      </c>
      <c r="I3" s="31"/>
      <c r="J3" s="31"/>
      <c r="K3" s="33" t="s">
        <v>803</v>
      </c>
      <c r="L3" s="31" t="str">
        <f>T1.PLATEREADER_INFO("time")</f>
        <v/>
      </c>
    </row>
    <row r="4" spans="1:26" ht="11.25" customHeight="1">
      <c r="B4" s="31"/>
      <c r="C4" s="31"/>
      <c r="D4" s="31"/>
      <c r="E4" s="31"/>
      <c r="F4" s="31"/>
      <c r="G4" s="31"/>
      <c r="H4" s="31"/>
      <c r="I4" s="31"/>
      <c r="J4" s="31"/>
      <c r="K4" s="31"/>
      <c r="L4" s="30"/>
    </row>
    <row r="5" spans="1:26" s="61" customFormat="1" ht="11.25" customHeight="1">
      <c r="A5" s="61" t="s">
        <v>3028</v>
      </c>
      <c r="D5" s="62"/>
      <c r="H5" s="62"/>
    </row>
    <row r="6" spans="1:26" s="35" customFormat="1" ht="11.25" hidden="1" customHeight="1">
      <c r="A6" s="26"/>
      <c r="B6" s="26"/>
      <c r="C6" s="34"/>
      <c r="D6" s="34"/>
      <c r="H6" s="34"/>
    </row>
    <row r="7" spans="1:26" ht="11.25" hidden="1" customHeight="1">
      <c r="B7" s="1"/>
      <c r="C7" s="1">
        <v>1</v>
      </c>
      <c r="D7" s="1">
        <v>2</v>
      </c>
      <c r="E7" s="1">
        <v>3</v>
      </c>
      <c r="F7" s="1">
        <v>4</v>
      </c>
      <c r="G7" s="1">
        <v>5</v>
      </c>
      <c r="H7" s="1">
        <v>6</v>
      </c>
      <c r="I7"/>
      <c r="J7"/>
      <c r="K7"/>
      <c r="L7"/>
      <c r="M7"/>
      <c r="N7"/>
      <c r="O7"/>
      <c r="P7" s="49"/>
      <c r="Q7" s="49"/>
      <c r="R7" s="49"/>
      <c r="S7" s="49"/>
      <c r="T7" s="49"/>
      <c r="U7" s="49"/>
      <c r="V7" s="49"/>
      <c r="W7" s="49"/>
      <c r="X7" s="49"/>
      <c r="Y7" s="49"/>
      <c r="Z7" s="49"/>
    </row>
    <row r="8" spans="1:26" ht="11.25" hidden="1" customHeight="1">
      <c r="B8" s="1" t="s">
        <v>415</v>
      </c>
      <c r="C8" s="53" t="s">
        <v>8</v>
      </c>
      <c r="D8" s="53" t="s">
        <v>9</v>
      </c>
      <c r="E8" s="53" t="s">
        <v>10</v>
      </c>
      <c r="F8" s="53" t="s">
        <v>11</v>
      </c>
      <c r="G8" s="53" t="s">
        <v>12</v>
      </c>
      <c r="H8" s="53" t="s">
        <v>13</v>
      </c>
      <c r="I8"/>
      <c r="J8"/>
      <c r="K8"/>
      <c r="L8"/>
      <c r="M8"/>
      <c r="N8"/>
      <c r="O8"/>
      <c r="P8" s="49"/>
      <c r="Q8" s="49"/>
      <c r="R8" s="49"/>
      <c r="S8" s="49"/>
      <c r="T8" s="49"/>
      <c r="U8" s="49"/>
      <c r="V8" s="49"/>
      <c r="W8" s="49"/>
      <c r="X8" s="49"/>
      <c r="Y8" s="49"/>
      <c r="Z8" s="49"/>
    </row>
    <row r="9" spans="1:26" ht="11.25" hidden="1" customHeight="1">
      <c r="B9" s="1" t="s">
        <v>416</v>
      </c>
      <c r="C9" s="53" t="s">
        <v>32</v>
      </c>
      <c r="D9" s="53" t="s">
        <v>33</v>
      </c>
      <c r="E9" s="53" t="s">
        <v>34</v>
      </c>
      <c r="F9" s="53" t="s">
        <v>35</v>
      </c>
      <c r="G9" s="53" t="s">
        <v>36</v>
      </c>
      <c r="H9" s="53" t="s">
        <v>37</v>
      </c>
      <c r="I9"/>
      <c r="J9"/>
      <c r="K9"/>
      <c r="L9"/>
      <c r="M9"/>
      <c r="N9"/>
      <c r="O9"/>
      <c r="P9" s="49"/>
      <c r="Q9" s="49"/>
      <c r="R9" s="49"/>
      <c r="S9" s="49"/>
      <c r="T9" s="49"/>
      <c r="U9" s="49"/>
      <c r="V9" s="49"/>
      <c r="W9" s="49"/>
      <c r="X9" s="49"/>
      <c r="Y9" s="49"/>
      <c r="Z9" s="49"/>
    </row>
    <row r="10" spans="1:26" ht="11.25" hidden="1" customHeight="1">
      <c r="B10" s="1" t="s">
        <v>417</v>
      </c>
      <c r="C10" s="53" t="s">
        <v>56</v>
      </c>
      <c r="D10" s="53" t="s">
        <v>57</v>
      </c>
      <c r="E10" s="53" t="s">
        <v>58</v>
      </c>
      <c r="F10" s="53" t="s">
        <v>59</v>
      </c>
      <c r="G10" s="53" t="s">
        <v>60</v>
      </c>
      <c r="H10" s="53" t="s">
        <v>61</v>
      </c>
      <c r="I10"/>
      <c r="J10"/>
      <c r="K10"/>
      <c r="L10"/>
      <c r="M10"/>
      <c r="N10"/>
      <c r="O10"/>
      <c r="P10" s="49"/>
      <c r="Q10" s="49"/>
      <c r="R10" s="49"/>
      <c r="S10" s="49"/>
      <c r="T10" s="49"/>
      <c r="U10" s="49"/>
      <c r="V10" s="49"/>
      <c r="W10" s="49"/>
      <c r="X10" s="49"/>
      <c r="Y10" s="49"/>
      <c r="Z10" s="49"/>
    </row>
    <row r="11" spans="1:26" ht="11.25" hidden="1" customHeight="1">
      <c r="B11" s="1" t="s">
        <v>418</v>
      </c>
      <c r="C11" s="53" t="s">
        <v>80</v>
      </c>
      <c r="D11" s="53" t="s">
        <v>81</v>
      </c>
      <c r="E11" s="53" t="s">
        <v>82</v>
      </c>
      <c r="F11" s="53" t="s">
        <v>83</v>
      </c>
      <c r="G11" s="53" t="s">
        <v>84</v>
      </c>
      <c r="H11" s="53" t="s">
        <v>85</v>
      </c>
      <c r="I11"/>
      <c r="J11"/>
      <c r="K11"/>
      <c r="L11"/>
      <c r="M11"/>
      <c r="N11"/>
      <c r="O11"/>
      <c r="P11" s="49"/>
      <c r="Q11" s="49"/>
      <c r="R11" s="49"/>
      <c r="S11" s="49"/>
      <c r="T11" s="49"/>
      <c r="U11" s="49"/>
      <c r="V11" s="49"/>
      <c r="W11" s="49"/>
      <c r="X11" s="49"/>
      <c r="Y11" s="49"/>
      <c r="Z11" s="49"/>
    </row>
    <row r="13" spans="1:26" s="61" customFormat="1" ht="11.25" customHeight="1">
      <c r="A13" s="61" t="s">
        <v>2047</v>
      </c>
      <c r="D13" s="62"/>
      <c r="H13" s="62"/>
    </row>
    <row r="14" spans="1:26" s="35" customFormat="1" ht="11.25" hidden="1" customHeight="1">
      <c r="A14" s="26"/>
      <c r="B14" s="26"/>
      <c r="C14" s="34"/>
      <c r="D14" s="34"/>
      <c r="H14" s="34"/>
    </row>
    <row r="15" spans="1:26" ht="11.25" hidden="1" customHeight="1">
      <c r="B15" s="1"/>
      <c r="C15" s="1">
        <v>1</v>
      </c>
      <c r="D15" s="1">
        <v>2</v>
      </c>
      <c r="E15" s="1">
        <v>3</v>
      </c>
      <c r="F15" s="1">
        <v>4</v>
      </c>
      <c r="G15" s="1">
        <v>5</v>
      </c>
      <c r="H15" s="1">
        <v>6</v>
      </c>
      <c r="I15" s="1">
        <v>7</v>
      </c>
      <c r="J15" s="1">
        <v>8</v>
      </c>
      <c r="K15" s="1">
        <v>9</v>
      </c>
      <c r="L15" s="1">
        <v>10</v>
      </c>
      <c r="M15" s="1">
        <v>11</v>
      </c>
      <c r="N15" s="1">
        <v>12</v>
      </c>
      <c r="O15" s="49"/>
      <c r="P15" s="49"/>
      <c r="Q15" s="49"/>
      <c r="R15" s="49"/>
      <c r="S15" s="49"/>
      <c r="T15" s="49"/>
      <c r="U15" s="49"/>
      <c r="V15" s="49"/>
      <c r="W15" s="49"/>
      <c r="X15" s="49"/>
      <c r="Y15" s="49"/>
      <c r="Z15" s="49"/>
    </row>
    <row r="16" spans="1:26" ht="11.25" hidden="1" customHeight="1">
      <c r="B16" s="1" t="s">
        <v>415</v>
      </c>
      <c r="C16" s="9" t="s">
        <v>8</v>
      </c>
      <c r="D16" s="9" t="s">
        <v>9</v>
      </c>
      <c r="E16" s="9" t="s">
        <v>10</v>
      </c>
      <c r="F16" s="9" t="s">
        <v>11</v>
      </c>
      <c r="G16" s="9" t="s">
        <v>12</v>
      </c>
      <c r="H16" s="9" t="s">
        <v>13</v>
      </c>
      <c r="I16" s="9" t="s">
        <v>14</v>
      </c>
      <c r="J16" s="9" t="s">
        <v>15</v>
      </c>
      <c r="K16" s="9" t="s">
        <v>16</v>
      </c>
      <c r="L16" s="9" t="s">
        <v>17</v>
      </c>
      <c r="M16" s="9" t="s">
        <v>18</v>
      </c>
      <c r="N16" s="9" t="s">
        <v>19</v>
      </c>
      <c r="O16" s="49"/>
      <c r="P16" s="49"/>
      <c r="Q16" s="49"/>
      <c r="R16" s="49"/>
      <c r="S16" s="49"/>
      <c r="T16" s="49"/>
      <c r="U16" s="49"/>
      <c r="V16" s="49"/>
      <c r="W16" s="49"/>
      <c r="X16" s="49"/>
      <c r="Y16" s="49"/>
      <c r="Z16" s="49"/>
    </row>
    <row r="17" spans="1:26" ht="11.25" hidden="1" customHeight="1">
      <c r="B17" s="1" t="s">
        <v>416</v>
      </c>
      <c r="C17" s="9" t="s">
        <v>32</v>
      </c>
      <c r="D17" s="9" t="s">
        <v>33</v>
      </c>
      <c r="E17" s="9" t="s">
        <v>34</v>
      </c>
      <c r="F17" s="9" t="s">
        <v>35</v>
      </c>
      <c r="G17" s="9" t="s">
        <v>36</v>
      </c>
      <c r="H17" s="9" t="s">
        <v>37</v>
      </c>
      <c r="I17" s="9" t="s">
        <v>38</v>
      </c>
      <c r="J17" s="9" t="s">
        <v>39</v>
      </c>
      <c r="K17" s="9" t="s">
        <v>40</v>
      </c>
      <c r="L17" s="9" t="s">
        <v>41</v>
      </c>
      <c r="M17" s="9" t="s">
        <v>42</v>
      </c>
      <c r="N17" s="9" t="s">
        <v>43</v>
      </c>
      <c r="O17" s="49"/>
      <c r="P17" s="49"/>
      <c r="Q17" s="49"/>
      <c r="R17" s="49"/>
      <c r="S17" s="49"/>
      <c r="T17" s="49"/>
      <c r="U17" s="49"/>
      <c r="V17" s="49"/>
      <c r="W17" s="49"/>
      <c r="X17" s="49"/>
      <c r="Y17" s="49"/>
      <c r="Z17" s="49"/>
    </row>
    <row r="18" spans="1:26" ht="11.25" hidden="1" customHeight="1">
      <c r="B18" s="1" t="s">
        <v>417</v>
      </c>
      <c r="C18" s="9" t="s">
        <v>56</v>
      </c>
      <c r="D18" s="9" t="s">
        <v>57</v>
      </c>
      <c r="E18" s="9" t="s">
        <v>58</v>
      </c>
      <c r="F18" s="9" t="s">
        <v>59</v>
      </c>
      <c r="G18" s="9" t="s">
        <v>60</v>
      </c>
      <c r="H18" s="9" t="s">
        <v>61</v>
      </c>
      <c r="I18" s="9" t="s">
        <v>62</v>
      </c>
      <c r="J18" s="9" t="s">
        <v>63</v>
      </c>
      <c r="K18" s="9" t="s">
        <v>64</v>
      </c>
      <c r="L18" s="9" t="s">
        <v>65</v>
      </c>
      <c r="M18" s="9" t="s">
        <v>66</v>
      </c>
      <c r="N18" s="9" t="s">
        <v>67</v>
      </c>
      <c r="O18" s="49"/>
      <c r="P18" s="49"/>
      <c r="Q18" s="49"/>
      <c r="R18" s="49"/>
      <c r="S18" s="49"/>
      <c r="T18" s="49"/>
      <c r="U18" s="49"/>
      <c r="V18" s="49"/>
      <c r="W18" s="49"/>
      <c r="X18" s="49"/>
      <c r="Y18" s="49"/>
      <c r="Z18" s="49"/>
    </row>
    <row r="19" spans="1:26" ht="11.25" hidden="1" customHeight="1">
      <c r="B19" s="1" t="s">
        <v>418</v>
      </c>
      <c r="C19" s="9" t="s">
        <v>80</v>
      </c>
      <c r="D19" s="9" t="s">
        <v>81</v>
      </c>
      <c r="E19" s="9" t="s">
        <v>82</v>
      </c>
      <c r="F19" s="9" t="s">
        <v>83</v>
      </c>
      <c r="G19" s="9" t="s">
        <v>84</v>
      </c>
      <c r="H19" s="9" t="s">
        <v>85</v>
      </c>
      <c r="I19" s="9" t="s">
        <v>86</v>
      </c>
      <c r="J19" s="9" t="s">
        <v>87</v>
      </c>
      <c r="K19" s="9" t="s">
        <v>88</v>
      </c>
      <c r="L19" s="9" t="s">
        <v>89</v>
      </c>
      <c r="M19" s="9" t="s">
        <v>90</v>
      </c>
      <c r="N19" s="9" t="s">
        <v>91</v>
      </c>
      <c r="O19" s="49"/>
      <c r="P19" s="49"/>
      <c r="Q19" s="49"/>
      <c r="R19" s="49"/>
      <c r="S19" s="49"/>
      <c r="T19" s="49"/>
      <c r="U19" s="49"/>
      <c r="V19" s="49"/>
      <c r="W19" s="49"/>
      <c r="X19" s="49"/>
      <c r="Y19" s="49"/>
      <c r="Z19" s="49"/>
    </row>
    <row r="20" spans="1:26" ht="11.25" hidden="1" customHeight="1">
      <c r="B20" s="1" t="s">
        <v>419</v>
      </c>
      <c r="C20" s="9" t="s">
        <v>104</v>
      </c>
      <c r="D20" s="9" t="s">
        <v>105</v>
      </c>
      <c r="E20" s="9" t="s">
        <v>106</v>
      </c>
      <c r="F20" s="9" t="s">
        <v>107</v>
      </c>
      <c r="G20" s="9" t="s">
        <v>108</v>
      </c>
      <c r="H20" s="9" t="s">
        <v>109</v>
      </c>
      <c r="I20" s="9" t="s">
        <v>110</v>
      </c>
      <c r="J20" s="9" t="s">
        <v>111</v>
      </c>
      <c r="K20" s="9" t="s">
        <v>112</v>
      </c>
      <c r="L20" s="9" t="s">
        <v>113</v>
      </c>
      <c r="M20" s="9" t="s">
        <v>114</v>
      </c>
      <c r="N20" s="9" t="s">
        <v>115</v>
      </c>
      <c r="O20" s="49"/>
      <c r="P20" s="49"/>
      <c r="Q20" s="49"/>
      <c r="R20" s="49"/>
      <c r="S20" s="49"/>
      <c r="T20" s="49"/>
      <c r="U20" s="49"/>
      <c r="V20" s="49"/>
      <c r="W20" s="49"/>
      <c r="X20" s="49"/>
      <c r="Y20" s="49"/>
      <c r="Z20" s="49"/>
    </row>
    <row r="21" spans="1:26" ht="11.25" hidden="1" customHeight="1">
      <c r="B21" s="1" t="s">
        <v>420</v>
      </c>
      <c r="C21" s="9" t="s">
        <v>128</v>
      </c>
      <c r="D21" s="9" t="s">
        <v>129</v>
      </c>
      <c r="E21" s="9" t="s">
        <v>130</v>
      </c>
      <c r="F21" s="9" t="s">
        <v>131</v>
      </c>
      <c r="G21" s="9" t="s">
        <v>132</v>
      </c>
      <c r="H21" s="9" t="s">
        <v>133</v>
      </c>
      <c r="I21" s="9" t="s">
        <v>134</v>
      </c>
      <c r="J21" s="9" t="s">
        <v>135</v>
      </c>
      <c r="K21" s="9" t="s">
        <v>136</v>
      </c>
      <c r="L21" s="9" t="s">
        <v>137</v>
      </c>
      <c r="M21" s="9" t="s">
        <v>138</v>
      </c>
      <c r="N21" s="9" t="s">
        <v>139</v>
      </c>
      <c r="O21" s="49"/>
      <c r="P21" s="49"/>
      <c r="Q21" s="49"/>
      <c r="R21" s="49"/>
      <c r="S21" s="49"/>
      <c r="T21" s="49"/>
      <c r="U21" s="49"/>
      <c r="V21" s="49"/>
      <c r="W21" s="49"/>
      <c r="X21" s="49"/>
      <c r="Y21" s="49"/>
      <c r="Z21" s="49"/>
    </row>
    <row r="22" spans="1:26" ht="11.25" hidden="1" customHeight="1">
      <c r="B22" s="1" t="s">
        <v>421</v>
      </c>
      <c r="C22" s="9" t="s">
        <v>152</v>
      </c>
      <c r="D22" s="9" t="s">
        <v>153</v>
      </c>
      <c r="E22" s="9" t="s">
        <v>154</v>
      </c>
      <c r="F22" s="9" t="s">
        <v>155</v>
      </c>
      <c r="G22" s="9" t="s">
        <v>156</v>
      </c>
      <c r="H22" s="9" t="s">
        <v>157</v>
      </c>
      <c r="I22" s="9" t="s">
        <v>158</v>
      </c>
      <c r="J22" s="9" t="s">
        <v>159</v>
      </c>
      <c r="K22" s="9" t="s">
        <v>160</v>
      </c>
      <c r="L22" s="9" t="s">
        <v>161</v>
      </c>
      <c r="M22" s="9" t="s">
        <v>162</v>
      </c>
      <c r="N22" s="9" t="s">
        <v>163</v>
      </c>
      <c r="O22" s="49"/>
      <c r="P22" s="49"/>
      <c r="Q22" s="49"/>
      <c r="R22" s="49"/>
      <c r="S22" s="49"/>
      <c r="T22" s="49"/>
      <c r="U22" s="49"/>
      <c r="V22" s="49"/>
      <c r="W22" s="49"/>
      <c r="X22" s="49"/>
      <c r="Y22" s="49"/>
      <c r="Z22" s="49"/>
    </row>
    <row r="23" spans="1:26" ht="11.25" hidden="1" customHeight="1">
      <c r="B23" s="1" t="s">
        <v>422</v>
      </c>
      <c r="C23" s="9" t="s">
        <v>176</v>
      </c>
      <c r="D23" s="9" t="s">
        <v>177</v>
      </c>
      <c r="E23" s="9" t="s">
        <v>178</v>
      </c>
      <c r="F23" s="9" t="s">
        <v>179</v>
      </c>
      <c r="G23" s="9" t="s">
        <v>180</v>
      </c>
      <c r="H23" s="9" t="s">
        <v>181</v>
      </c>
      <c r="I23" s="9" t="s">
        <v>182</v>
      </c>
      <c r="J23" s="9" t="s">
        <v>183</v>
      </c>
      <c r="K23" s="9" t="s">
        <v>184</v>
      </c>
      <c r="L23" s="9" t="s">
        <v>185</v>
      </c>
      <c r="M23" s="9" t="s">
        <v>186</v>
      </c>
      <c r="N23" s="9" t="s">
        <v>187</v>
      </c>
      <c r="O23" s="49"/>
      <c r="P23" s="49"/>
      <c r="Q23" s="49"/>
      <c r="R23" s="49"/>
      <c r="S23" s="49"/>
      <c r="T23" s="49"/>
      <c r="U23" s="49"/>
      <c r="V23" s="49"/>
      <c r="W23" s="49"/>
      <c r="X23" s="49"/>
      <c r="Y23" s="49"/>
      <c r="Z23" s="49"/>
    </row>
    <row r="25" spans="1:26" s="61" customFormat="1" ht="11.25" customHeight="1">
      <c r="A25" s="61" t="s">
        <v>2048</v>
      </c>
      <c r="D25" s="62"/>
      <c r="H25" s="62"/>
    </row>
    <row r="26" spans="1:26" s="35" customFormat="1" ht="11.25" hidden="1" customHeight="1">
      <c r="A26" s="26"/>
      <c r="B26" s="26"/>
      <c r="C26" s="34"/>
      <c r="D26" s="34"/>
      <c r="H26" s="34"/>
    </row>
    <row r="27" spans="1:26" ht="11.25" hidden="1" customHeight="1">
      <c r="B27" s="1"/>
      <c r="C27" s="1">
        <v>1</v>
      </c>
      <c r="D27" s="1">
        <v>2</v>
      </c>
      <c r="E27" s="1">
        <v>3</v>
      </c>
      <c r="F27" s="1">
        <v>4</v>
      </c>
      <c r="G27" s="1">
        <v>5</v>
      </c>
      <c r="H27" s="1">
        <v>6</v>
      </c>
      <c r="I27" s="1">
        <v>7</v>
      </c>
      <c r="J27" s="1">
        <v>8</v>
      </c>
      <c r="K27" s="1">
        <v>9</v>
      </c>
      <c r="L27" s="1">
        <v>10</v>
      </c>
      <c r="M27" s="1">
        <v>11</v>
      </c>
      <c r="N27" s="1">
        <v>12</v>
      </c>
      <c r="O27" s="1">
        <v>13</v>
      </c>
      <c r="P27" s="1">
        <v>14</v>
      </c>
      <c r="Q27" s="1">
        <v>15</v>
      </c>
      <c r="R27" s="1">
        <v>16</v>
      </c>
      <c r="S27" s="1">
        <v>17</v>
      </c>
      <c r="T27" s="1">
        <v>18</v>
      </c>
      <c r="U27" s="1">
        <v>19</v>
      </c>
      <c r="V27" s="1">
        <v>20</v>
      </c>
      <c r="W27" s="1">
        <v>21</v>
      </c>
      <c r="X27" s="1">
        <v>22</v>
      </c>
      <c r="Y27" s="1">
        <v>23</v>
      </c>
      <c r="Z27" s="1">
        <v>24</v>
      </c>
    </row>
    <row r="28" spans="1:26" ht="11.25" hidden="1" customHeight="1">
      <c r="B28" s="1" t="s">
        <v>415</v>
      </c>
      <c r="C28" s="93" t="s">
        <v>8</v>
      </c>
      <c r="D28" s="93" t="s">
        <v>9</v>
      </c>
      <c r="E28" s="93" t="s">
        <v>10</v>
      </c>
      <c r="F28" s="93" t="s">
        <v>11</v>
      </c>
      <c r="G28" s="93" t="s">
        <v>12</v>
      </c>
      <c r="H28" s="93" t="s">
        <v>13</v>
      </c>
      <c r="I28" s="93" t="s">
        <v>14</v>
      </c>
      <c r="J28" s="93" t="s">
        <v>15</v>
      </c>
      <c r="K28" s="93" t="s">
        <v>16</v>
      </c>
      <c r="L28" s="93" t="s">
        <v>17</v>
      </c>
      <c r="M28" s="93" t="s">
        <v>18</v>
      </c>
      <c r="N28" s="93" t="s">
        <v>19</v>
      </c>
      <c r="O28" s="93" t="s">
        <v>20</v>
      </c>
      <c r="P28" s="93" t="s">
        <v>21</v>
      </c>
      <c r="Q28" s="93" t="s">
        <v>22</v>
      </c>
      <c r="R28" s="93" t="s">
        <v>23</v>
      </c>
      <c r="S28" s="93" t="s">
        <v>24</v>
      </c>
      <c r="T28" s="93" t="s">
        <v>25</v>
      </c>
      <c r="U28" s="93" t="s">
        <v>26</v>
      </c>
      <c r="V28" s="93" t="s">
        <v>27</v>
      </c>
      <c r="W28" s="93" t="s">
        <v>28</v>
      </c>
      <c r="X28" s="93" t="s">
        <v>29</v>
      </c>
      <c r="Y28" s="93" t="s">
        <v>30</v>
      </c>
      <c r="Z28" s="93" t="s">
        <v>31</v>
      </c>
    </row>
    <row r="29" spans="1:26" ht="11.25" hidden="1" customHeight="1">
      <c r="B29" s="1" t="s">
        <v>416</v>
      </c>
      <c r="C29" s="93" t="s">
        <v>32</v>
      </c>
      <c r="D29" s="93" t="s">
        <v>33</v>
      </c>
      <c r="E29" s="93" t="s">
        <v>34</v>
      </c>
      <c r="F29" s="93" t="s">
        <v>35</v>
      </c>
      <c r="G29" s="93" t="s">
        <v>36</v>
      </c>
      <c r="H29" s="93" t="s">
        <v>37</v>
      </c>
      <c r="I29" s="93" t="s">
        <v>38</v>
      </c>
      <c r="J29" s="93" t="s">
        <v>39</v>
      </c>
      <c r="K29" s="93" t="s">
        <v>40</v>
      </c>
      <c r="L29" s="93" t="s">
        <v>41</v>
      </c>
      <c r="M29" s="93" t="s">
        <v>42</v>
      </c>
      <c r="N29" s="93" t="s">
        <v>43</v>
      </c>
      <c r="O29" s="93" t="s">
        <v>44</v>
      </c>
      <c r="P29" s="93" t="s">
        <v>45</v>
      </c>
      <c r="Q29" s="93" t="s">
        <v>46</v>
      </c>
      <c r="R29" s="93" t="s">
        <v>47</v>
      </c>
      <c r="S29" s="93" t="s">
        <v>48</v>
      </c>
      <c r="T29" s="93" t="s">
        <v>49</v>
      </c>
      <c r="U29" s="93" t="s">
        <v>50</v>
      </c>
      <c r="V29" s="93" t="s">
        <v>51</v>
      </c>
      <c r="W29" s="93" t="s">
        <v>52</v>
      </c>
      <c r="X29" s="93" t="s">
        <v>53</v>
      </c>
      <c r="Y29" s="93" t="s">
        <v>54</v>
      </c>
      <c r="Z29" s="93" t="s">
        <v>55</v>
      </c>
    </row>
    <row r="30" spans="1:26" ht="11.25" hidden="1" customHeight="1">
      <c r="B30" s="1" t="s">
        <v>417</v>
      </c>
      <c r="C30" s="93" t="s">
        <v>56</v>
      </c>
      <c r="D30" s="93" t="s">
        <v>57</v>
      </c>
      <c r="E30" s="93" t="s">
        <v>58</v>
      </c>
      <c r="F30" s="93" t="s">
        <v>59</v>
      </c>
      <c r="G30" s="93" t="s">
        <v>60</v>
      </c>
      <c r="H30" s="93" t="s">
        <v>61</v>
      </c>
      <c r="I30" s="93" t="s">
        <v>62</v>
      </c>
      <c r="J30" s="93" t="s">
        <v>63</v>
      </c>
      <c r="K30" s="93" t="s">
        <v>64</v>
      </c>
      <c r="L30" s="93" t="s">
        <v>65</v>
      </c>
      <c r="M30" s="93" t="s">
        <v>66</v>
      </c>
      <c r="N30" s="93" t="s">
        <v>67</v>
      </c>
      <c r="O30" s="93" t="s">
        <v>68</v>
      </c>
      <c r="P30" s="93" t="s">
        <v>69</v>
      </c>
      <c r="Q30" s="93" t="s">
        <v>70</v>
      </c>
      <c r="R30" s="93" t="s">
        <v>71</v>
      </c>
      <c r="S30" s="93" t="s">
        <v>72</v>
      </c>
      <c r="T30" s="93" t="s">
        <v>73</v>
      </c>
      <c r="U30" s="93" t="s">
        <v>74</v>
      </c>
      <c r="V30" s="93" t="s">
        <v>75</v>
      </c>
      <c r="W30" s="93" t="s">
        <v>76</v>
      </c>
      <c r="X30" s="93" t="s">
        <v>77</v>
      </c>
      <c r="Y30" s="93" t="s">
        <v>78</v>
      </c>
      <c r="Z30" s="93" t="s">
        <v>79</v>
      </c>
    </row>
    <row r="31" spans="1:26" ht="11.25" hidden="1" customHeight="1">
      <c r="B31" s="1" t="s">
        <v>418</v>
      </c>
      <c r="C31" s="93" t="s">
        <v>80</v>
      </c>
      <c r="D31" s="93" t="s">
        <v>81</v>
      </c>
      <c r="E31" s="93" t="s">
        <v>82</v>
      </c>
      <c r="F31" s="93" t="s">
        <v>83</v>
      </c>
      <c r="G31" s="93" t="s">
        <v>84</v>
      </c>
      <c r="H31" s="93" t="s">
        <v>85</v>
      </c>
      <c r="I31" s="93" t="s">
        <v>86</v>
      </c>
      <c r="J31" s="93" t="s">
        <v>87</v>
      </c>
      <c r="K31" s="93" t="s">
        <v>88</v>
      </c>
      <c r="L31" s="93" t="s">
        <v>89</v>
      </c>
      <c r="M31" s="93" t="s">
        <v>90</v>
      </c>
      <c r="N31" s="93" t="s">
        <v>91</v>
      </c>
      <c r="O31" s="93" t="s">
        <v>92</v>
      </c>
      <c r="P31" s="93" t="s">
        <v>93</v>
      </c>
      <c r="Q31" s="93" t="s">
        <v>94</v>
      </c>
      <c r="R31" s="93" t="s">
        <v>95</v>
      </c>
      <c r="S31" s="93" t="s">
        <v>96</v>
      </c>
      <c r="T31" s="93" t="s">
        <v>97</v>
      </c>
      <c r="U31" s="93" t="s">
        <v>98</v>
      </c>
      <c r="V31" s="93" t="s">
        <v>99</v>
      </c>
      <c r="W31" s="93" t="s">
        <v>100</v>
      </c>
      <c r="X31" s="93" t="s">
        <v>101</v>
      </c>
      <c r="Y31" s="93" t="s">
        <v>102</v>
      </c>
      <c r="Z31" s="93" t="s">
        <v>103</v>
      </c>
    </row>
    <row r="32" spans="1:26" ht="11.25" hidden="1" customHeight="1">
      <c r="B32" s="1" t="s">
        <v>419</v>
      </c>
      <c r="C32" s="93" t="s">
        <v>104</v>
      </c>
      <c r="D32" s="93" t="s">
        <v>105</v>
      </c>
      <c r="E32" s="93" t="s">
        <v>106</v>
      </c>
      <c r="F32" s="93" t="s">
        <v>107</v>
      </c>
      <c r="G32" s="93" t="s">
        <v>108</v>
      </c>
      <c r="H32" s="93" t="s">
        <v>109</v>
      </c>
      <c r="I32" s="93" t="s">
        <v>110</v>
      </c>
      <c r="J32" s="93" t="s">
        <v>111</v>
      </c>
      <c r="K32" s="93" t="s">
        <v>112</v>
      </c>
      <c r="L32" s="93" t="s">
        <v>113</v>
      </c>
      <c r="M32" s="93" t="s">
        <v>114</v>
      </c>
      <c r="N32" s="93" t="s">
        <v>115</v>
      </c>
      <c r="O32" s="93" t="s">
        <v>116</v>
      </c>
      <c r="P32" s="93" t="s">
        <v>117</v>
      </c>
      <c r="Q32" s="93" t="s">
        <v>118</v>
      </c>
      <c r="R32" s="93" t="s">
        <v>119</v>
      </c>
      <c r="S32" s="93" t="s">
        <v>120</v>
      </c>
      <c r="T32" s="93" t="s">
        <v>121</v>
      </c>
      <c r="U32" s="93" t="s">
        <v>122</v>
      </c>
      <c r="V32" s="93" t="s">
        <v>123</v>
      </c>
      <c r="W32" s="93" t="s">
        <v>124</v>
      </c>
      <c r="X32" s="93" t="s">
        <v>125</v>
      </c>
      <c r="Y32" s="93" t="s">
        <v>126</v>
      </c>
      <c r="Z32" s="93" t="s">
        <v>127</v>
      </c>
    </row>
    <row r="33" spans="1:53" ht="11.25" hidden="1" customHeight="1">
      <c r="B33" s="1" t="s">
        <v>420</v>
      </c>
      <c r="C33" s="93" t="s">
        <v>128</v>
      </c>
      <c r="D33" s="93" t="s">
        <v>129</v>
      </c>
      <c r="E33" s="93" t="s">
        <v>130</v>
      </c>
      <c r="F33" s="93" t="s">
        <v>131</v>
      </c>
      <c r="G33" s="93" t="s">
        <v>132</v>
      </c>
      <c r="H33" s="93" t="s">
        <v>133</v>
      </c>
      <c r="I33" s="93" t="s">
        <v>134</v>
      </c>
      <c r="J33" s="93" t="s">
        <v>135</v>
      </c>
      <c r="K33" s="93" t="s">
        <v>136</v>
      </c>
      <c r="L33" s="93" t="s">
        <v>137</v>
      </c>
      <c r="M33" s="93" t="s">
        <v>138</v>
      </c>
      <c r="N33" s="93" t="s">
        <v>139</v>
      </c>
      <c r="O33" s="93" t="s">
        <v>140</v>
      </c>
      <c r="P33" s="93" t="s">
        <v>141</v>
      </c>
      <c r="Q33" s="93" t="s">
        <v>142</v>
      </c>
      <c r="R33" s="93" t="s">
        <v>143</v>
      </c>
      <c r="S33" s="93" t="s">
        <v>144</v>
      </c>
      <c r="T33" s="93" t="s">
        <v>145</v>
      </c>
      <c r="U33" s="93" t="s">
        <v>146</v>
      </c>
      <c r="V33" s="93" t="s">
        <v>147</v>
      </c>
      <c r="W33" s="93" t="s">
        <v>148</v>
      </c>
      <c r="X33" s="93" t="s">
        <v>149</v>
      </c>
      <c r="Y33" s="93" t="s">
        <v>150</v>
      </c>
      <c r="Z33" s="93" t="s">
        <v>151</v>
      </c>
    </row>
    <row r="34" spans="1:53" ht="11.25" hidden="1" customHeight="1">
      <c r="B34" s="1" t="s">
        <v>421</v>
      </c>
      <c r="C34" s="93" t="s">
        <v>152</v>
      </c>
      <c r="D34" s="93" t="s">
        <v>153</v>
      </c>
      <c r="E34" s="93" t="s">
        <v>154</v>
      </c>
      <c r="F34" s="93" t="s">
        <v>155</v>
      </c>
      <c r="G34" s="93" t="s">
        <v>156</v>
      </c>
      <c r="H34" s="93" t="s">
        <v>157</v>
      </c>
      <c r="I34" s="93" t="s">
        <v>158</v>
      </c>
      <c r="J34" s="93" t="s">
        <v>159</v>
      </c>
      <c r="K34" s="93" t="s">
        <v>160</v>
      </c>
      <c r="L34" s="93" t="s">
        <v>161</v>
      </c>
      <c r="M34" s="93" t="s">
        <v>162</v>
      </c>
      <c r="N34" s="93" t="s">
        <v>163</v>
      </c>
      <c r="O34" s="93" t="s">
        <v>164</v>
      </c>
      <c r="P34" s="93" t="s">
        <v>165</v>
      </c>
      <c r="Q34" s="93" t="s">
        <v>166</v>
      </c>
      <c r="R34" s="93" t="s">
        <v>167</v>
      </c>
      <c r="S34" s="93" t="s">
        <v>168</v>
      </c>
      <c r="T34" s="93" t="s">
        <v>169</v>
      </c>
      <c r="U34" s="93" t="s">
        <v>170</v>
      </c>
      <c r="V34" s="93" t="s">
        <v>171</v>
      </c>
      <c r="W34" s="93" t="s">
        <v>172</v>
      </c>
      <c r="X34" s="93" t="s">
        <v>173</v>
      </c>
      <c r="Y34" s="93" t="s">
        <v>174</v>
      </c>
      <c r="Z34" s="93" t="s">
        <v>175</v>
      </c>
    </row>
    <row r="35" spans="1:53" ht="11.25" hidden="1" customHeight="1">
      <c r="B35" s="1" t="s">
        <v>422</v>
      </c>
      <c r="C35" s="93" t="s">
        <v>176</v>
      </c>
      <c r="D35" s="93" t="s">
        <v>177</v>
      </c>
      <c r="E35" s="93" t="s">
        <v>178</v>
      </c>
      <c r="F35" s="93" t="s">
        <v>179</v>
      </c>
      <c r="G35" s="93" t="s">
        <v>180</v>
      </c>
      <c r="H35" s="93" t="s">
        <v>181</v>
      </c>
      <c r="I35" s="93" t="s">
        <v>182</v>
      </c>
      <c r="J35" s="93" t="s">
        <v>183</v>
      </c>
      <c r="K35" s="93" t="s">
        <v>184</v>
      </c>
      <c r="L35" s="93" t="s">
        <v>185</v>
      </c>
      <c r="M35" s="93" t="s">
        <v>186</v>
      </c>
      <c r="N35" s="93" t="s">
        <v>187</v>
      </c>
      <c r="O35" s="93" t="s">
        <v>188</v>
      </c>
      <c r="P35" s="93" t="s">
        <v>189</v>
      </c>
      <c r="Q35" s="93" t="s">
        <v>190</v>
      </c>
      <c r="R35" s="93" t="s">
        <v>191</v>
      </c>
      <c r="S35" s="93" t="s">
        <v>192</v>
      </c>
      <c r="T35" s="93" t="s">
        <v>193</v>
      </c>
      <c r="U35" s="93" t="s">
        <v>194</v>
      </c>
      <c r="V35" s="93" t="s">
        <v>195</v>
      </c>
      <c r="W35" s="93" t="s">
        <v>196</v>
      </c>
      <c r="X35" s="93" t="s">
        <v>197</v>
      </c>
      <c r="Y35" s="93" t="s">
        <v>198</v>
      </c>
      <c r="Z35" s="93" t="s">
        <v>199</v>
      </c>
    </row>
    <row r="36" spans="1:53" ht="11.25" hidden="1" customHeight="1">
      <c r="B36" s="1" t="s">
        <v>423</v>
      </c>
      <c r="C36" s="93" t="s">
        <v>200</v>
      </c>
      <c r="D36" s="93" t="s">
        <v>201</v>
      </c>
      <c r="E36" s="93" t="s">
        <v>202</v>
      </c>
      <c r="F36" s="93" t="s">
        <v>203</v>
      </c>
      <c r="G36" s="93" t="s">
        <v>204</v>
      </c>
      <c r="H36" s="93" t="s">
        <v>205</v>
      </c>
      <c r="I36" s="93" t="s">
        <v>206</v>
      </c>
      <c r="J36" s="93" t="s">
        <v>207</v>
      </c>
      <c r="K36" s="93" t="s">
        <v>208</v>
      </c>
      <c r="L36" s="93" t="s">
        <v>209</v>
      </c>
      <c r="M36" s="93" t="s">
        <v>210</v>
      </c>
      <c r="N36" s="93" t="s">
        <v>211</v>
      </c>
      <c r="O36" s="93" t="s">
        <v>212</v>
      </c>
      <c r="P36" s="93" t="s">
        <v>213</v>
      </c>
      <c r="Q36" s="93" t="s">
        <v>214</v>
      </c>
      <c r="R36" s="93" t="s">
        <v>215</v>
      </c>
      <c r="S36" s="93" t="s">
        <v>216</v>
      </c>
      <c r="T36" s="93" t="s">
        <v>217</v>
      </c>
      <c r="U36" s="93" t="s">
        <v>218</v>
      </c>
      <c r="V36" s="93" t="s">
        <v>219</v>
      </c>
      <c r="W36" s="93" t="s">
        <v>220</v>
      </c>
      <c r="X36" s="93" t="s">
        <v>221</v>
      </c>
      <c r="Y36" s="93" t="s">
        <v>222</v>
      </c>
      <c r="Z36" s="93" t="s">
        <v>223</v>
      </c>
    </row>
    <row r="37" spans="1:53" ht="11.25" hidden="1" customHeight="1">
      <c r="B37" s="1" t="s">
        <v>424</v>
      </c>
      <c r="C37" s="93" t="s">
        <v>224</v>
      </c>
      <c r="D37" s="93" t="s">
        <v>225</v>
      </c>
      <c r="E37" s="93" t="s">
        <v>226</v>
      </c>
      <c r="F37" s="93" t="s">
        <v>227</v>
      </c>
      <c r="G37" s="93" t="s">
        <v>228</v>
      </c>
      <c r="H37" s="93" t="s">
        <v>229</v>
      </c>
      <c r="I37" s="93" t="s">
        <v>230</v>
      </c>
      <c r="J37" s="93" t="s">
        <v>231</v>
      </c>
      <c r="K37" s="93" t="s">
        <v>232</v>
      </c>
      <c r="L37" s="93" t="s">
        <v>233</v>
      </c>
      <c r="M37" s="93" t="s">
        <v>234</v>
      </c>
      <c r="N37" s="93" t="s">
        <v>235</v>
      </c>
      <c r="O37" s="93" t="s">
        <v>236</v>
      </c>
      <c r="P37" s="93" t="s">
        <v>237</v>
      </c>
      <c r="Q37" s="93" t="s">
        <v>238</v>
      </c>
      <c r="R37" s="93" t="s">
        <v>239</v>
      </c>
      <c r="S37" s="93" t="s">
        <v>240</v>
      </c>
      <c r="T37" s="93" t="s">
        <v>241</v>
      </c>
      <c r="U37" s="93" t="s">
        <v>242</v>
      </c>
      <c r="V37" s="93" t="s">
        <v>243</v>
      </c>
      <c r="W37" s="93" t="s">
        <v>244</v>
      </c>
      <c r="X37" s="93" t="s">
        <v>245</v>
      </c>
      <c r="Y37" s="93" t="s">
        <v>246</v>
      </c>
      <c r="Z37" s="93" t="s">
        <v>247</v>
      </c>
    </row>
    <row r="38" spans="1:53" ht="11.25" hidden="1" customHeight="1">
      <c r="B38" s="1" t="s">
        <v>425</v>
      </c>
      <c r="C38" s="93" t="s">
        <v>248</v>
      </c>
      <c r="D38" s="93" t="s">
        <v>249</v>
      </c>
      <c r="E38" s="93" t="s">
        <v>250</v>
      </c>
      <c r="F38" s="93" t="s">
        <v>251</v>
      </c>
      <c r="G38" s="93" t="s">
        <v>252</v>
      </c>
      <c r="H38" s="93" t="s">
        <v>253</v>
      </c>
      <c r="I38" s="93" t="s">
        <v>254</v>
      </c>
      <c r="J38" s="93" t="s">
        <v>255</v>
      </c>
      <c r="K38" s="93" t="s">
        <v>256</v>
      </c>
      <c r="L38" s="93" t="s">
        <v>257</v>
      </c>
      <c r="M38" s="93" t="s">
        <v>258</v>
      </c>
      <c r="N38" s="93" t="s">
        <v>259</v>
      </c>
      <c r="O38" s="93" t="s">
        <v>260</v>
      </c>
      <c r="P38" s="93" t="s">
        <v>261</v>
      </c>
      <c r="Q38" s="93" t="s">
        <v>262</v>
      </c>
      <c r="R38" s="93" t="s">
        <v>263</v>
      </c>
      <c r="S38" s="93" t="s">
        <v>264</v>
      </c>
      <c r="T38" s="93" t="s">
        <v>265</v>
      </c>
      <c r="U38" s="93" t="s">
        <v>266</v>
      </c>
      <c r="V38" s="93" t="s">
        <v>267</v>
      </c>
      <c r="W38" s="93" t="s">
        <v>268</v>
      </c>
      <c r="X38" s="93" t="s">
        <v>269</v>
      </c>
      <c r="Y38" s="93" t="s">
        <v>270</v>
      </c>
      <c r="Z38" s="93" t="s">
        <v>271</v>
      </c>
    </row>
    <row r="39" spans="1:53" ht="11.25" hidden="1" customHeight="1">
      <c r="B39" s="1" t="s">
        <v>426</v>
      </c>
      <c r="C39" s="93" t="s">
        <v>272</v>
      </c>
      <c r="D39" s="93" t="s">
        <v>273</v>
      </c>
      <c r="E39" s="93" t="s">
        <v>274</v>
      </c>
      <c r="F39" s="93" t="s">
        <v>275</v>
      </c>
      <c r="G39" s="93" t="s">
        <v>276</v>
      </c>
      <c r="H39" s="93" t="s">
        <v>277</v>
      </c>
      <c r="I39" s="93" t="s">
        <v>278</v>
      </c>
      <c r="J39" s="93" t="s">
        <v>279</v>
      </c>
      <c r="K39" s="93" t="s">
        <v>280</v>
      </c>
      <c r="L39" s="93" t="s">
        <v>281</v>
      </c>
      <c r="M39" s="93" t="s">
        <v>282</v>
      </c>
      <c r="N39" s="93" t="s">
        <v>283</v>
      </c>
      <c r="O39" s="93" t="s">
        <v>284</v>
      </c>
      <c r="P39" s="93" t="s">
        <v>285</v>
      </c>
      <c r="Q39" s="93" t="s">
        <v>286</v>
      </c>
      <c r="R39" s="93" t="s">
        <v>287</v>
      </c>
      <c r="S39" s="93" t="s">
        <v>288</v>
      </c>
      <c r="T39" s="93" t="s">
        <v>289</v>
      </c>
      <c r="U39" s="93" t="s">
        <v>290</v>
      </c>
      <c r="V39" s="93" t="s">
        <v>291</v>
      </c>
      <c r="W39" s="93" t="s">
        <v>292</v>
      </c>
      <c r="X39" s="93" t="s">
        <v>293</v>
      </c>
      <c r="Y39" s="93" t="s">
        <v>294</v>
      </c>
      <c r="Z39" s="93" t="s">
        <v>295</v>
      </c>
    </row>
    <row r="40" spans="1:53" ht="11.25" hidden="1" customHeight="1">
      <c r="B40" s="1" t="s">
        <v>427</v>
      </c>
      <c r="C40" s="93" t="s">
        <v>296</v>
      </c>
      <c r="D40" s="93" t="s">
        <v>297</v>
      </c>
      <c r="E40" s="93" t="s">
        <v>298</v>
      </c>
      <c r="F40" s="93" t="s">
        <v>299</v>
      </c>
      <c r="G40" s="93" t="s">
        <v>300</v>
      </c>
      <c r="H40" s="93" t="s">
        <v>301</v>
      </c>
      <c r="I40" s="93" t="s">
        <v>302</v>
      </c>
      <c r="J40" s="93" t="s">
        <v>303</v>
      </c>
      <c r="K40" s="93" t="s">
        <v>304</v>
      </c>
      <c r="L40" s="93" t="s">
        <v>305</v>
      </c>
      <c r="M40" s="93" t="s">
        <v>306</v>
      </c>
      <c r="N40" s="93" t="s">
        <v>307</v>
      </c>
      <c r="O40" s="93" t="s">
        <v>308</v>
      </c>
      <c r="P40" s="93" t="s">
        <v>309</v>
      </c>
      <c r="Q40" s="93" t="s">
        <v>310</v>
      </c>
      <c r="R40" s="93" t="s">
        <v>311</v>
      </c>
      <c r="S40" s="93" t="s">
        <v>312</v>
      </c>
      <c r="T40" s="93" t="s">
        <v>313</v>
      </c>
      <c r="U40" s="93" t="s">
        <v>314</v>
      </c>
      <c r="V40" s="93" t="s">
        <v>315</v>
      </c>
      <c r="W40" s="93" t="s">
        <v>316</v>
      </c>
      <c r="X40" s="93" t="s">
        <v>317</v>
      </c>
      <c r="Y40" s="93" t="s">
        <v>318</v>
      </c>
      <c r="Z40" s="93" t="s">
        <v>319</v>
      </c>
    </row>
    <row r="41" spans="1:53" ht="11.25" hidden="1" customHeight="1">
      <c r="B41" s="1" t="s">
        <v>428</v>
      </c>
      <c r="C41" s="93" t="s">
        <v>320</v>
      </c>
      <c r="D41" s="93" t="s">
        <v>321</v>
      </c>
      <c r="E41" s="93" t="s">
        <v>322</v>
      </c>
      <c r="F41" s="93" t="s">
        <v>323</v>
      </c>
      <c r="G41" s="93" t="s">
        <v>324</v>
      </c>
      <c r="H41" s="93" t="s">
        <v>325</v>
      </c>
      <c r="I41" s="93" t="s">
        <v>326</v>
      </c>
      <c r="J41" s="93" t="s">
        <v>327</v>
      </c>
      <c r="K41" s="93" t="s">
        <v>328</v>
      </c>
      <c r="L41" s="93" t="s">
        <v>329</v>
      </c>
      <c r="M41" s="93" t="s">
        <v>330</v>
      </c>
      <c r="N41" s="93" t="s">
        <v>331</v>
      </c>
      <c r="O41" s="93" t="s">
        <v>332</v>
      </c>
      <c r="P41" s="93" t="s">
        <v>333</v>
      </c>
      <c r="Q41" s="93" t="s">
        <v>334</v>
      </c>
      <c r="R41" s="93" t="s">
        <v>335</v>
      </c>
      <c r="S41" s="93" t="s">
        <v>336</v>
      </c>
      <c r="T41" s="93" t="s">
        <v>337</v>
      </c>
      <c r="U41" s="93" t="s">
        <v>338</v>
      </c>
      <c r="V41" s="93" t="s">
        <v>339</v>
      </c>
      <c r="W41" s="93" t="s">
        <v>340</v>
      </c>
      <c r="X41" s="93" t="s">
        <v>341</v>
      </c>
      <c r="Y41" s="93" t="s">
        <v>342</v>
      </c>
      <c r="Z41" s="93" t="s">
        <v>343</v>
      </c>
    </row>
    <row r="42" spans="1:53" ht="11.25" hidden="1" customHeight="1">
      <c r="B42" s="1" t="s">
        <v>429</v>
      </c>
      <c r="C42" s="93" t="s">
        <v>344</v>
      </c>
      <c r="D42" s="93" t="s">
        <v>345</v>
      </c>
      <c r="E42" s="93" t="s">
        <v>346</v>
      </c>
      <c r="F42" s="93" t="s">
        <v>347</v>
      </c>
      <c r="G42" s="93" t="s">
        <v>348</v>
      </c>
      <c r="H42" s="93" t="s">
        <v>349</v>
      </c>
      <c r="I42" s="93" t="s">
        <v>350</v>
      </c>
      <c r="J42" s="93" t="s">
        <v>351</v>
      </c>
      <c r="K42" s="93" t="s">
        <v>352</v>
      </c>
      <c r="L42" s="93" t="s">
        <v>353</v>
      </c>
      <c r="M42" s="93" t="s">
        <v>354</v>
      </c>
      <c r="N42" s="93" t="s">
        <v>355</v>
      </c>
      <c r="O42" s="93" t="s">
        <v>356</v>
      </c>
      <c r="P42" s="93" t="s">
        <v>357</v>
      </c>
      <c r="Q42" s="93" t="s">
        <v>358</v>
      </c>
      <c r="R42" s="93" t="s">
        <v>359</v>
      </c>
      <c r="S42" s="93" t="s">
        <v>360</v>
      </c>
      <c r="T42" s="93" t="s">
        <v>361</v>
      </c>
      <c r="U42" s="93" t="s">
        <v>362</v>
      </c>
      <c r="V42" s="93" t="s">
        <v>363</v>
      </c>
      <c r="W42" s="93" t="s">
        <v>364</v>
      </c>
      <c r="X42" s="93" t="s">
        <v>365</v>
      </c>
      <c r="Y42" s="93" t="s">
        <v>366</v>
      </c>
      <c r="Z42" s="93" t="s">
        <v>367</v>
      </c>
    </row>
    <row r="43" spans="1:53" ht="11.25" hidden="1" customHeight="1">
      <c r="B43" s="1" t="s">
        <v>430</v>
      </c>
      <c r="C43" s="93" t="s">
        <v>368</v>
      </c>
      <c r="D43" s="93" t="s">
        <v>369</v>
      </c>
      <c r="E43" s="93" t="s">
        <v>370</v>
      </c>
      <c r="F43" s="93" t="s">
        <v>371</v>
      </c>
      <c r="G43" s="93" t="s">
        <v>372</v>
      </c>
      <c r="H43" s="93" t="s">
        <v>373</v>
      </c>
      <c r="I43" s="93" t="s">
        <v>374</v>
      </c>
      <c r="J43" s="93" t="s">
        <v>375</v>
      </c>
      <c r="K43" s="93" t="s">
        <v>376</v>
      </c>
      <c r="L43" s="93" t="s">
        <v>377</v>
      </c>
      <c r="M43" s="93" t="s">
        <v>378</v>
      </c>
      <c r="N43" s="93" t="s">
        <v>379</v>
      </c>
      <c r="O43" s="93" t="s">
        <v>380</v>
      </c>
      <c r="P43" s="93" t="s">
        <v>381</v>
      </c>
      <c r="Q43" s="93" t="s">
        <v>382</v>
      </c>
      <c r="R43" s="93" t="s">
        <v>383</v>
      </c>
      <c r="S43" s="93" t="s">
        <v>384</v>
      </c>
      <c r="T43" s="93" t="s">
        <v>385</v>
      </c>
      <c r="U43" s="93" t="s">
        <v>386</v>
      </c>
      <c r="V43" s="93" t="s">
        <v>387</v>
      </c>
      <c r="W43" s="93" t="s">
        <v>388</v>
      </c>
      <c r="X43" s="93" t="s">
        <v>389</v>
      </c>
      <c r="Y43" s="93" t="s">
        <v>390</v>
      </c>
      <c r="Z43" s="93" t="s">
        <v>391</v>
      </c>
    </row>
    <row r="45" spans="1:53" s="61" customFormat="1" ht="11.25" customHeight="1">
      <c r="A45" s="61" t="s">
        <v>2050</v>
      </c>
      <c r="D45" s="62"/>
      <c r="H45" s="62"/>
    </row>
    <row r="46" spans="1:53" s="35" customFormat="1" ht="11.25" hidden="1" customHeight="1">
      <c r="A46" s="26"/>
      <c r="B46" s="26"/>
      <c r="C46" s="34"/>
      <c r="D46" s="34"/>
      <c r="H46" s="34"/>
    </row>
    <row r="47" spans="1:53" ht="11.25" hidden="1" customHeight="1">
      <c r="B47" s="36" t="s">
        <v>392</v>
      </c>
      <c r="C47" s="37">
        <v>1</v>
      </c>
      <c r="D47" s="37">
        <v>2</v>
      </c>
      <c r="E47" s="37">
        <v>3</v>
      </c>
      <c r="F47" s="37">
        <v>4</v>
      </c>
      <c r="G47" s="37">
        <v>5</v>
      </c>
      <c r="H47" s="37">
        <v>6</v>
      </c>
      <c r="I47" s="37">
        <v>7</v>
      </c>
      <c r="J47" s="37">
        <v>8</v>
      </c>
      <c r="K47" s="37">
        <v>9</v>
      </c>
      <c r="L47" s="37">
        <v>10</v>
      </c>
      <c r="M47" s="37">
        <v>11</v>
      </c>
      <c r="N47" s="37">
        <v>12</v>
      </c>
      <c r="O47" s="37">
        <v>13</v>
      </c>
      <c r="P47" s="37">
        <v>14</v>
      </c>
      <c r="Q47" s="37">
        <v>15</v>
      </c>
      <c r="R47" s="37">
        <v>16</v>
      </c>
      <c r="S47" s="37">
        <v>17</v>
      </c>
      <c r="T47" s="37">
        <v>18</v>
      </c>
      <c r="U47" s="37">
        <v>19</v>
      </c>
      <c r="V47" s="37">
        <v>20</v>
      </c>
      <c r="W47" s="37">
        <v>21</v>
      </c>
      <c r="X47" s="37">
        <v>22</v>
      </c>
      <c r="Y47" s="37">
        <v>23</v>
      </c>
      <c r="Z47" s="37">
        <v>24</v>
      </c>
      <c r="AA47" s="37">
        <v>25</v>
      </c>
      <c r="AB47" s="37">
        <v>26</v>
      </c>
      <c r="AC47" s="37">
        <v>27</v>
      </c>
      <c r="AD47" s="37">
        <v>28</v>
      </c>
      <c r="AE47" s="37">
        <v>29</v>
      </c>
      <c r="AF47" s="37">
        <v>30</v>
      </c>
      <c r="AG47" s="37">
        <v>31</v>
      </c>
      <c r="AH47" s="37">
        <v>32</v>
      </c>
      <c r="AI47" s="37">
        <v>33</v>
      </c>
      <c r="AJ47" s="37">
        <v>34</v>
      </c>
      <c r="AK47" s="37">
        <v>35</v>
      </c>
      <c r="AL47" s="37">
        <v>36</v>
      </c>
      <c r="AM47" s="37">
        <v>37</v>
      </c>
      <c r="AN47" s="37">
        <v>38</v>
      </c>
      <c r="AO47" s="37">
        <v>39</v>
      </c>
      <c r="AP47" s="37">
        <v>40</v>
      </c>
      <c r="AQ47" s="37">
        <v>41</v>
      </c>
      <c r="AR47" s="37">
        <v>42</v>
      </c>
      <c r="AS47" s="37">
        <v>43</v>
      </c>
      <c r="AT47" s="37">
        <v>44</v>
      </c>
      <c r="AU47" s="37">
        <v>45</v>
      </c>
      <c r="AV47" s="37">
        <v>46</v>
      </c>
      <c r="AW47" s="37">
        <v>47</v>
      </c>
      <c r="AX47" s="37">
        <v>48</v>
      </c>
      <c r="AY47" s="49"/>
      <c r="AZ47" s="49"/>
      <c r="BA47" s="49"/>
    </row>
    <row r="48" spans="1:53" ht="11.25" hidden="1" customHeight="1">
      <c r="B48" s="36" t="s">
        <v>399</v>
      </c>
      <c r="C48" s="38" t="s">
        <v>8</v>
      </c>
      <c r="D48" s="38" t="s">
        <v>9</v>
      </c>
      <c r="E48" s="38" t="s">
        <v>10</v>
      </c>
      <c r="F48" s="38" t="s">
        <v>11</v>
      </c>
      <c r="G48" s="38" t="s">
        <v>12</v>
      </c>
      <c r="H48" s="38" t="s">
        <v>13</v>
      </c>
      <c r="I48" s="38" t="s">
        <v>14</v>
      </c>
      <c r="J48" s="38" t="s">
        <v>15</v>
      </c>
      <c r="K48" s="38" t="s">
        <v>16</v>
      </c>
      <c r="L48" s="38" t="s">
        <v>17</v>
      </c>
      <c r="M48" s="38" t="s">
        <v>18</v>
      </c>
      <c r="N48" s="38" t="s">
        <v>19</v>
      </c>
      <c r="O48" s="38" t="s">
        <v>20</v>
      </c>
      <c r="P48" s="38" t="s">
        <v>21</v>
      </c>
      <c r="Q48" s="38" t="s">
        <v>22</v>
      </c>
      <c r="R48" s="38" t="s">
        <v>23</v>
      </c>
      <c r="S48" s="38" t="s">
        <v>24</v>
      </c>
      <c r="T48" s="38" t="s">
        <v>25</v>
      </c>
      <c r="U48" s="38" t="s">
        <v>26</v>
      </c>
      <c r="V48" s="38" t="s">
        <v>27</v>
      </c>
      <c r="W48" s="38" t="s">
        <v>28</v>
      </c>
      <c r="X48" s="38" t="s">
        <v>29</v>
      </c>
      <c r="Y48" s="38" t="s">
        <v>30</v>
      </c>
      <c r="Z48" s="39" t="s">
        <v>31</v>
      </c>
      <c r="AA48" s="40" t="s">
        <v>830</v>
      </c>
      <c r="AB48" s="38" t="s">
        <v>831</v>
      </c>
      <c r="AC48" s="38" t="s">
        <v>832</v>
      </c>
      <c r="AD48" s="38" t="s">
        <v>833</v>
      </c>
      <c r="AE48" s="38" t="s">
        <v>834</v>
      </c>
      <c r="AF48" s="38" t="s">
        <v>835</v>
      </c>
      <c r="AG48" s="38" t="s">
        <v>836</v>
      </c>
      <c r="AH48" s="38" t="s">
        <v>837</v>
      </c>
      <c r="AI48" s="38" t="s">
        <v>838</v>
      </c>
      <c r="AJ48" s="38" t="s">
        <v>839</v>
      </c>
      <c r="AK48" s="38" t="s">
        <v>840</v>
      </c>
      <c r="AL48" s="38" t="s">
        <v>841</v>
      </c>
      <c r="AM48" s="38" t="s">
        <v>842</v>
      </c>
      <c r="AN48" s="38" t="s">
        <v>843</v>
      </c>
      <c r="AO48" s="38" t="s">
        <v>844</v>
      </c>
      <c r="AP48" s="38" t="s">
        <v>845</v>
      </c>
      <c r="AQ48" s="38" t="s">
        <v>846</v>
      </c>
      <c r="AR48" s="38" t="s">
        <v>847</v>
      </c>
      <c r="AS48" s="38" t="s">
        <v>848</v>
      </c>
      <c r="AT48" s="38" t="s">
        <v>849</v>
      </c>
      <c r="AU48" s="38" t="s">
        <v>850</v>
      </c>
      <c r="AV48" s="38" t="s">
        <v>851</v>
      </c>
      <c r="AW48" s="38" t="s">
        <v>852</v>
      </c>
      <c r="AX48" s="39" t="s">
        <v>853</v>
      </c>
      <c r="AY48" s="49"/>
      <c r="AZ48" s="49"/>
      <c r="BA48" s="49"/>
    </row>
    <row r="49" spans="2:53" ht="11.25" hidden="1" customHeight="1">
      <c r="B49" s="36" t="s">
        <v>400</v>
      </c>
      <c r="C49" s="38" t="s">
        <v>32</v>
      </c>
      <c r="D49" s="38" t="s">
        <v>33</v>
      </c>
      <c r="E49" s="38" t="s">
        <v>34</v>
      </c>
      <c r="F49" s="38" t="s">
        <v>35</v>
      </c>
      <c r="G49" s="38" t="s">
        <v>36</v>
      </c>
      <c r="H49" s="38" t="s">
        <v>37</v>
      </c>
      <c r="I49" s="38" t="s">
        <v>38</v>
      </c>
      <c r="J49" s="38" t="s">
        <v>39</v>
      </c>
      <c r="K49" s="38" t="s">
        <v>40</v>
      </c>
      <c r="L49" s="38" t="s">
        <v>41</v>
      </c>
      <c r="M49" s="38" t="s">
        <v>42</v>
      </c>
      <c r="N49" s="38" t="s">
        <v>43</v>
      </c>
      <c r="O49" s="38" t="s">
        <v>44</v>
      </c>
      <c r="P49" s="38" t="s">
        <v>45</v>
      </c>
      <c r="Q49" s="38" t="s">
        <v>46</v>
      </c>
      <c r="R49" s="38" t="s">
        <v>47</v>
      </c>
      <c r="S49" s="38" t="s">
        <v>48</v>
      </c>
      <c r="T49" s="38" t="s">
        <v>49</v>
      </c>
      <c r="U49" s="38" t="s">
        <v>50</v>
      </c>
      <c r="V49" s="38" t="s">
        <v>51</v>
      </c>
      <c r="W49" s="38" t="s">
        <v>52</v>
      </c>
      <c r="X49" s="38" t="s">
        <v>53</v>
      </c>
      <c r="Y49" s="38" t="s">
        <v>54</v>
      </c>
      <c r="Z49" s="39" t="s">
        <v>55</v>
      </c>
      <c r="AA49" s="40" t="s">
        <v>854</v>
      </c>
      <c r="AB49" s="38" t="s">
        <v>855</v>
      </c>
      <c r="AC49" s="38" t="s">
        <v>856</v>
      </c>
      <c r="AD49" s="38" t="s">
        <v>857</v>
      </c>
      <c r="AE49" s="38" t="s">
        <v>858</v>
      </c>
      <c r="AF49" s="38" t="s">
        <v>859</v>
      </c>
      <c r="AG49" s="38" t="s">
        <v>860</v>
      </c>
      <c r="AH49" s="38" t="s">
        <v>861</v>
      </c>
      <c r="AI49" s="38" t="s">
        <v>862</v>
      </c>
      <c r="AJ49" s="38" t="s">
        <v>863</v>
      </c>
      <c r="AK49" s="38" t="s">
        <v>864</v>
      </c>
      <c r="AL49" s="38" t="s">
        <v>865</v>
      </c>
      <c r="AM49" s="38" t="s">
        <v>866</v>
      </c>
      <c r="AN49" s="38" t="s">
        <v>867</v>
      </c>
      <c r="AO49" s="38" t="s">
        <v>868</v>
      </c>
      <c r="AP49" s="38" t="s">
        <v>869</v>
      </c>
      <c r="AQ49" s="38" t="s">
        <v>870</v>
      </c>
      <c r="AR49" s="38" t="s">
        <v>871</v>
      </c>
      <c r="AS49" s="38" t="s">
        <v>872</v>
      </c>
      <c r="AT49" s="38" t="s">
        <v>873</v>
      </c>
      <c r="AU49" s="38" t="s">
        <v>874</v>
      </c>
      <c r="AV49" s="38" t="s">
        <v>875</v>
      </c>
      <c r="AW49" s="38" t="s">
        <v>876</v>
      </c>
      <c r="AX49" s="39" t="s">
        <v>877</v>
      </c>
      <c r="AY49" s="49"/>
      <c r="AZ49" s="49"/>
      <c r="BA49" s="49"/>
    </row>
    <row r="50" spans="2:53" ht="11.25" hidden="1" customHeight="1">
      <c r="B50" s="36" t="s">
        <v>401</v>
      </c>
      <c r="C50" s="38" t="s">
        <v>56</v>
      </c>
      <c r="D50" s="38" t="s">
        <v>57</v>
      </c>
      <c r="E50" s="38" t="s">
        <v>58</v>
      </c>
      <c r="F50" s="38" t="s">
        <v>59</v>
      </c>
      <c r="G50" s="38" t="s">
        <v>60</v>
      </c>
      <c r="H50" s="38" t="s">
        <v>61</v>
      </c>
      <c r="I50" s="38" t="s">
        <v>62</v>
      </c>
      <c r="J50" s="38" t="s">
        <v>63</v>
      </c>
      <c r="K50" s="38" t="s">
        <v>64</v>
      </c>
      <c r="L50" s="38" t="s">
        <v>65</v>
      </c>
      <c r="M50" s="38" t="s">
        <v>66</v>
      </c>
      <c r="N50" s="38" t="s">
        <v>67</v>
      </c>
      <c r="O50" s="38" t="s">
        <v>68</v>
      </c>
      <c r="P50" s="38" t="s">
        <v>69</v>
      </c>
      <c r="Q50" s="38" t="s">
        <v>70</v>
      </c>
      <c r="R50" s="38" t="s">
        <v>71</v>
      </c>
      <c r="S50" s="38" t="s">
        <v>72</v>
      </c>
      <c r="T50" s="38" t="s">
        <v>73</v>
      </c>
      <c r="U50" s="38" t="s">
        <v>74</v>
      </c>
      <c r="V50" s="38" t="s">
        <v>75</v>
      </c>
      <c r="W50" s="38" t="s">
        <v>76</v>
      </c>
      <c r="X50" s="38" t="s">
        <v>77</v>
      </c>
      <c r="Y50" s="38" t="s">
        <v>78</v>
      </c>
      <c r="Z50" s="39" t="s">
        <v>79</v>
      </c>
      <c r="AA50" s="40" t="s">
        <v>878</v>
      </c>
      <c r="AB50" s="38" t="s">
        <v>879</v>
      </c>
      <c r="AC50" s="38" t="s">
        <v>880</v>
      </c>
      <c r="AD50" s="38" t="s">
        <v>881</v>
      </c>
      <c r="AE50" s="38" t="s">
        <v>882</v>
      </c>
      <c r="AF50" s="38" t="s">
        <v>883</v>
      </c>
      <c r="AG50" s="38" t="s">
        <v>884</v>
      </c>
      <c r="AH50" s="38" t="s">
        <v>885</v>
      </c>
      <c r="AI50" s="38" t="s">
        <v>886</v>
      </c>
      <c r="AJ50" s="38" t="s">
        <v>887</v>
      </c>
      <c r="AK50" s="38" t="s">
        <v>888</v>
      </c>
      <c r="AL50" s="38" t="s">
        <v>889</v>
      </c>
      <c r="AM50" s="38" t="s">
        <v>890</v>
      </c>
      <c r="AN50" s="38" t="s">
        <v>891</v>
      </c>
      <c r="AO50" s="38" t="s">
        <v>892</v>
      </c>
      <c r="AP50" s="38" t="s">
        <v>893</v>
      </c>
      <c r="AQ50" s="38" t="s">
        <v>894</v>
      </c>
      <c r="AR50" s="38" t="s">
        <v>895</v>
      </c>
      <c r="AS50" s="38" t="s">
        <v>896</v>
      </c>
      <c r="AT50" s="38" t="s">
        <v>897</v>
      </c>
      <c r="AU50" s="38" t="s">
        <v>898</v>
      </c>
      <c r="AV50" s="38" t="s">
        <v>899</v>
      </c>
      <c r="AW50" s="38" t="s">
        <v>900</v>
      </c>
      <c r="AX50" s="39" t="s">
        <v>901</v>
      </c>
      <c r="AY50" s="49"/>
      <c r="AZ50" s="49"/>
      <c r="BA50" s="49"/>
    </row>
    <row r="51" spans="2:53" ht="11.25" hidden="1" customHeight="1">
      <c r="B51" s="36" t="s">
        <v>402</v>
      </c>
      <c r="C51" s="38" t="s">
        <v>80</v>
      </c>
      <c r="D51" s="38" t="s">
        <v>81</v>
      </c>
      <c r="E51" s="38" t="s">
        <v>82</v>
      </c>
      <c r="F51" s="38" t="s">
        <v>83</v>
      </c>
      <c r="G51" s="38" t="s">
        <v>84</v>
      </c>
      <c r="H51" s="38" t="s">
        <v>85</v>
      </c>
      <c r="I51" s="38" t="s">
        <v>86</v>
      </c>
      <c r="J51" s="38" t="s">
        <v>87</v>
      </c>
      <c r="K51" s="38" t="s">
        <v>88</v>
      </c>
      <c r="L51" s="38" t="s">
        <v>89</v>
      </c>
      <c r="M51" s="38" t="s">
        <v>90</v>
      </c>
      <c r="N51" s="38" t="s">
        <v>91</v>
      </c>
      <c r="O51" s="38" t="s">
        <v>92</v>
      </c>
      <c r="P51" s="38" t="s">
        <v>93</v>
      </c>
      <c r="Q51" s="38" t="s">
        <v>94</v>
      </c>
      <c r="R51" s="38" t="s">
        <v>95</v>
      </c>
      <c r="S51" s="38" t="s">
        <v>96</v>
      </c>
      <c r="T51" s="38" t="s">
        <v>97</v>
      </c>
      <c r="U51" s="38" t="s">
        <v>98</v>
      </c>
      <c r="V51" s="38" t="s">
        <v>99</v>
      </c>
      <c r="W51" s="38" t="s">
        <v>100</v>
      </c>
      <c r="X51" s="38" t="s">
        <v>101</v>
      </c>
      <c r="Y51" s="38" t="s">
        <v>102</v>
      </c>
      <c r="Z51" s="39" t="s">
        <v>103</v>
      </c>
      <c r="AA51" s="40" t="s">
        <v>902</v>
      </c>
      <c r="AB51" s="38" t="s">
        <v>903</v>
      </c>
      <c r="AC51" s="38" t="s">
        <v>904</v>
      </c>
      <c r="AD51" s="38" t="s">
        <v>905</v>
      </c>
      <c r="AE51" s="38" t="s">
        <v>906</v>
      </c>
      <c r="AF51" s="38" t="s">
        <v>907</v>
      </c>
      <c r="AG51" s="38" t="s">
        <v>908</v>
      </c>
      <c r="AH51" s="38" t="s">
        <v>909</v>
      </c>
      <c r="AI51" s="38" t="s">
        <v>910</v>
      </c>
      <c r="AJ51" s="38" t="s">
        <v>911</v>
      </c>
      <c r="AK51" s="38" t="s">
        <v>912</v>
      </c>
      <c r="AL51" s="38" t="s">
        <v>913</v>
      </c>
      <c r="AM51" s="38" t="s">
        <v>914</v>
      </c>
      <c r="AN51" s="38" t="s">
        <v>915</v>
      </c>
      <c r="AO51" s="38" t="s">
        <v>916</v>
      </c>
      <c r="AP51" s="38" t="s">
        <v>917</v>
      </c>
      <c r="AQ51" s="38" t="s">
        <v>918</v>
      </c>
      <c r="AR51" s="38" t="s">
        <v>919</v>
      </c>
      <c r="AS51" s="38" t="s">
        <v>920</v>
      </c>
      <c r="AT51" s="38" t="s">
        <v>921</v>
      </c>
      <c r="AU51" s="38" t="s">
        <v>922</v>
      </c>
      <c r="AV51" s="38" t="s">
        <v>923</v>
      </c>
      <c r="AW51" s="38" t="s">
        <v>924</v>
      </c>
      <c r="AX51" s="39" t="s">
        <v>925</v>
      </c>
      <c r="AY51" s="49"/>
      <c r="AZ51" s="49"/>
      <c r="BA51" s="49"/>
    </row>
    <row r="52" spans="2:53" ht="11.25" hidden="1" customHeight="1">
      <c r="B52" s="36" t="s">
        <v>403</v>
      </c>
      <c r="C52" s="38" t="s">
        <v>104</v>
      </c>
      <c r="D52" s="38" t="s">
        <v>105</v>
      </c>
      <c r="E52" s="38" t="s">
        <v>106</v>
      </c>
      <c r="F52" s="38" t="s">
        <v>107</v>
      </c>
      <c r="G52" s="38" t="s">
        <v>108</v>
      </c>
      <c r="H52" s="38" t="s">
        <v>109</v>
      </c>
      <c r="I52" s="38" t="s">
        <v>110</v>
      </c>
      <c r="J52" s="38" t="s">
        <v>111</v>
      </c>
      <c r="K52" s="38" t="s">
        <v>112</v>
      </c>
      <c r="L52" s="38" t="s">
        <v>113</v>
      </c>
      <c r="M52" s="38" t="s">
        <v>114</v>
      </c>
      <c r="N52" s="38" t="s">
        <v>115</v>
      </c>
      <c r="O52" s="38" t="s">
        <v>116</v>
      </c>
      <c r="P52" s="38" t="s">
        <v>117</v>
      </c>
      <c r="Q52" s="38" t="s">
        <v>118</v>
      </c>
      <c r="R52" s="38" t="s">
        <v>119</v>
      </c>
      <c r="S52" s="38" t="s">
        <v>120</v>
      </c>
      <c r="T52" s="38" t="s">
        <v>121</v>
      </c>
      <c r="U52" s="38" t="s">
        <v>122</v>
      </c>
      <c r="V52" s="38" t="s">
        <v>123</v>
      </c>
      <c r="W52" s="38" t="s">
        <v>124</v>
      </c>
      <c r="X52" s="38" t="s">
        <v>125</v>
      </c>
      <c r="Y52" s="38" t="s">
        <v>126</v>
      </c>
      <c r="Z52" s="39" t="s">
        <v>127</v>
      </c>
      <c r="AA52" s="40" t="s">
        <v>926</v>
      </c>
      <c r="AB52" s="38" t="s">
        <v>927</v>
      </c>
      <c r="AC52" s="38" t="s">
        <v>928</v>
      </c>
      <c r="AD52" s="38" t="s">
        <v>929</v>
      </c>
      <c r="AE52" s="38" t="s">
        <v>930</v>
      </c>
      <c r="AF52" s="38" t="s">
        <v>931</v>
      </c>
      <c r="AG52" s="38" t="s">
        <v>932</v>
      </c>
      <c r="AH52" s="38" t="s">
        <v>933</v>
      </c>
      <c r="AI52" s="38" t="s">
        <v>934</v>
      </c>
      <c r="AJ52" s="38" t="s">
        <v>935</v>
      </c>
      <c r="AK52" s="38" t="s">
        <v>936</v>
      </c>
      <c r="AL52" s="38" t="s">
        <v>937</v>
      </c>
      <c r="AM52" s="38" t="s">
        <v>938</v>
      </c>
      <c r="AN52" s="38" t="s">
        <v>939</v>
      </c>
      <c r="AO52" s="38" t="s">
        <v>940</v>
      </c>
      <c r="AP52" s="38" t="s">
        <v>941</v>
      </c>
      <c r="AQ52" s="38" t="s">
        <v>942</v>
      </c>
      <c r="AR52" s="38" t="s">
        <v>943</v>
      </c>
      <c r="AS52" s="38" t="s">
        <v>944</v>
      </c>
      <c r="AT52" s="38" t="s">
        <v>945</v>
      </c>
      <c r="AU52" s="38" t="s">
        <v>946</v>
      </c>
      <c r="AV52" s="38" t="s">
        <v>947</v>
      </c>
      <c r="AW52" s="38" t="s">
        <v>948</v>
      </c>
      <c r="AX52" s="39" t="s">
        <v>949</v>
      </c>
      <c r="AY52" s="49"/>
      <c r="AZ52" s="49"/>
      <c r="BA52" s="49"/>
    </row>
    <row r="53" spans="2:53" ht="11.25" hidden="1" customHeight="1">
      <c r="B53" s="36" t="s">
        <v>404</v>
      </c>
      <c r="C53" s="38" t="s">
        <v>128</v>
      </c>
      <c r="D53" s="38" t="s">
        <v>129</v>
      </c>
      <c r="E53" s="38" t="s">
        <v>130</v>
      </c>
      <c r="F53" s="38" t="s">
        <v>131</v>
      </c>
      <c r="G53" s="38" t="s">
        <v>132</v>
      </c>
      <c r="H53" s="38" t="s">
        <v>133</v>
      </c>
      <c r="I53" s="38" t="s">
        <v>134</v>
      </c>
      <c r="J53" s="38" t="s">
        <v>135</v>
      </c>
      <c r="K53" s="38" t="s">
        <v>136</v>
      </c>
      <c r="L53" s="38" t="s">
        <v>137</v>
      </c>
      <c r="M53" s="38" t="s">
        <v>138</v>
      </c>
      <c r="N53" s="38" t="s">
        <v>139</v>
      </c>
      <c r="O53" s="38" t="s">
        <v>140</v>
      </c>
      <c r="P53" s="38" t="s">
        <v>141</v>
      </c>
      <c r="Q53" s="38" t="s">
        <v>142</v>
      </c>
      <c r="R53" s="38" t="s">
        <v>143</v>
      </c>
      <c r="S53" s="38" t="s">
        <v>144</v>
      </c>
      <c r="T53" s="38" t="s">
        <v>145</v>
      </c>
      <c r="U53" s="38" t="s">
        <v>146</v>
      </c>
      <c r="V53" s="38" t="s">
        <v>147</v>
      </c>
      <c r="W53" s="38" t="s">
        <v>148</v>
      </c>
      <c r="X53" s="38" t="s">
        <v>149</v>
      </c>
      <c r="Y53" s="38" t="s">
        <v>150</v>
      </c>
      <c r="Z53" s="39" t="s">
        <v>151</v>
      </c>
      <c r="AA53" s="40" t="s">
        <v>950</v>
      </c>
      <c r="AB53" s="38" t="s">
        <v>951</v>
      </c>
      <c r="AC53" s="38" t="s">
        <v>952</v>
      </c>
      <c r="AD53" s="38" t="s">
        <v>953</v>
      </c>
      <c r="AE53" s="38" t="s">
        <v>954</v>
      </c>
      <c r="AF53" s="38" t="s">
        <v>955</v>
      </c>
      <c r="AG53" s="38" t="s">
        <v>956</v>
      </c>
      <c r="AH53" s="38" t="s">
        <v>957</v>
      </c>
      <c r="AI53" s="38" t="s">
        <v>958</v>
      </c>
      <c r="AJ53" s="38" t="s">
        <v>959</v>
      </c>
      <c r="AK53" s="38" t="s">
        <v>960</v>
      </c>
      <c r="AL53" s="38" t="s">
        <v>961</v>
      </c>
      <c r="AM53" s="38" t="s">
        <v>962</v>
      </c>
      <c r="AN53" s="38" t="s">
        <v>963</v>
      </c>
      <c r="AO53" s="38" t="s">
        <v>964</v>
      </c>
      <c r="AP53" s="38" t="s">
        <v>965</v>
      </c>
      <c r="AQ53" s="38" t="s">
        <v>966</v>
      </c>
      <c r="AR53" s="38" t="s">
        <v>967</v>
      </c>
      <c r="AS53" s="38" t="s">
        <v>968</v>
      </c>
      <c r="AT53" s="38" t="s">
        <v>969</v>
      </c>
      <c r="AU53" s="38" t="s">
        <v>970</v>
      </c>
      <c r="AV53" s="38" t="s">
        <v>971</v>
      </c>
      <c r="AW53" s="38" t="s">
        <v>972</v>
      </c>
      <c r="AX53" s="39" t="s">
        <v>973</v>
      </c>
      <c r="AY53" s="49"/>
      <c r="AZ53" s="49"/>
      <c r="BA53" s="49"/>
    </row>
    <row r="54" spans="2:53" ht="11.25" hidden="1" customHeight="1">
      <c r="B54" s="36" t="s">
        <v>405</v>
      </c>
      <c r="C54" s="38" t="s">
        <v>152</v>
      </c>
      <c r="D54" s="38" t="s">
        <v>153</v>
      </c>
      <c r="E54" s="38" t="s">
        <v>154</v>
      </c>
      <c r="F54" s="38" t="s">
        <v>155</v>
      </c>
      <c r="G54" s="38" t="s">
        <v>156</v>
      </c>
      <c r="H54" s="38" t="s">
        <v>157</v>
      </c>
      <c r="I54" s="38" t="s">
        <v>158</v>
      </c>
      <c r="J54" s="38" t="s">
        <v>159</v>
      </c>
      <c r="K54" s="38" t="s">
        <v>160</v>
      </c>
      <c r="L54" s="38" t="s">
        <v>161</v>
      </c>
      <c r="M54" s="38" t="s">
        <v>162</v>
      </c>
      <c r="N54" s="38" t="s">
        <v>163</v>
      </c>
      <c r="O54" s="38" t="s">
        <v>164</v>
      </c>
      <c r="P54" s="38" t="s">
        <v>165</v>
      </c>
      <c r="Q54" s="38" t="s">
        <v>166</v>
      </c>
      <c r="R54" s="38" t="s">
        <v>167</v>
      </c>
      <c r="S54" s="38" t="s">
        <v>168</v>
      </c>
      <c r="T54" s="38" t="s">
        <v>169</v>
      </c>
      <c r="U54" s="38" t="s">
        <v>170</v>
      </c>
      <c r="V54" s="38" t="s">
        <v>171</v>
      </c>
      <c r="W54" s="38" t="s">
        <v>172</v>
      </c>
      <c r="X54" s="38" t="s">
        <v>173</v>
      </c>
      <c r="Y54" s="38" t="s">
        <v>174</v>
      </c>
      <c r="Z54" s="39" t="s">
        <v>175</v>
      </c>
      <c r="AA54" s="40" t="s">
        <v>974</v>
      </c>
      <c r="AB54" s="38" t="s">
        <v>975</v>
      </c>
      <c r="AC54" s="38" t="s">
        <v>976</v>
      </c>
      <c r="AD54" s="38" t="s">
        <v>977</v>
      </c>
      <c r="AE54" s="38" t="s">
        <v>978</v>
      </c>
      <c r="AF54" s="38" t="s">
        <v>979</v>
      </c>
      <c r="AG54" s="38" t="s">
        <v>980</v>
      </c>
      <c r="AH54" s="38" t="s">
        <v>981</v>
      </c>
      <c r="AI54" s="38" t="s">
        <v>982</v>
      </c>
      <c r="AJ54" s="38" t="s">
        <v>983</v>
      </c>
      <c r="AK54" s="38" t="s">
        <v>984</v>
      </c>
      <c r="AL54" s="38" t="s">
        <v>985</v>
      </c>
      <c r="AM54" s="38" t="s">
        <v>986</v>
      </c>
      <c r="AN54" s="38" t="s">
        <v>987</v>
      </c>
      <c r="AO54" s="38" t="s">
        <v>988</v>
      </c>
      <c r="AP54" s="38" t="s">
        <v>989</v>
      </c>
      <c r="AQ54" s="38" t="s">
        <v>990</v>
      </c>
      <c r="AR54" s="38" t="s">
        <v>991</v>
      </c>
      <c r="AS54" s="38" t="s">
        <v>992</v>
      </c>
      <c r="AT54" s="38" t="s">
        <v>993</v>
      </c>
      <c r="AU54" s="38" t="s">
        <v>994</v>
      </c>
      <c r="AV54" s="38" t="s">
        <v>995</v>
      </c>
      <c r="AW54" s="38" t="s">
        <v>996</v>
      </c>
      <c r="AX54" s="39" t="s">
        <v>997</v>
      </c>
      <c r="AY54" s="49"/>
      <c r="AZ54" s="49"/>
      <c r="BA54" s="49"/>
    </row>
    <row r="55" spans="2:53" ht="11.25" hidden="1" customHeight="1">
      <c r="B55" s="36" t="s">
        <v>406</v>
      </c>
      <c r="C55" s="38" t="s">
        <v>176</v>
      </c>
      <c r="D55" s="38" t="s">
        <v>177</v>
      </c>
      <c r="E55" s="38" t="s">
        <v>178</v>
      </c>
      <c r="F55" s="38" t="s">
        <v>179</v>
      </c>
      <c r="G55" s="38" t="s">
        <v>180</v>
      </c>
      <c r="H55" s="38" t="s">
        <v>181</v>
      </c>
      <c r="I55" s="38" t="s">
        <v>182</v>
      </c>
      <c r="J55" s="38" t="s">
        <v>183</v>
      </c>
      <c r="K55" s="38" t="s">
        <v>184</v>
      </c>
      <c r="L55" s="38" t="s">
        <v>185</v>
      </c>
      <c r="M55" s="38" t="s">
        <v>186</v>
      </c>
      <c r="N55" s="38" t="s">
        <v>187</v>
      </c>
      <c r="O55" s="38" t="s">
        <v>188</v>
      </c>
      <c r="P55" s="38" t="s">
        <v>189</v>
      </c>
      <c r="Q55" s="38" t="s">
        <v>190</v>
      </c>
      <c r="R55" s="38" t="s">
        <v>191</v>
      </c>
      <c r="S55" s="38" t="s">
        <v>192</v>
      </c>
      <c r="T55" s="38" t="s">
        <v>193</v>
      </c>
      <c r="U55" s="38" t="s">
        <v>194</v>
      </c>
      <c r="V55" s="38" t="s">
        <v>195</v>
      </c>
      <c r="W55" s="38" t="s">
        <v>196</v>
      </c>
      <c r="X55" s="38" t="s">
        <v>197</v>
      </c>
      <c r="Y55" s="38" t="s">
        <v>198</v>
      </c>
      <c r="Z55" s="39" t="s">
        <v>199</v>
      </c>
      <c r="AA55" s="40" t="s">
        <v>998</v>
      </c>
      <c r="AB55" s="38" t="s">
        <v>999</v>
      </c>
      <c r="AC55" s="38" t="s">
        <v>1000</v>
      </c>
      <c r="AD55" s="38" t="s">
        <v>1001</v>
      </c>
      <c r="AE55" s="38" t="s">
        <v>1002</v>
      </c>
      <c r="AF55" s="38" t="s">
        <v>1003</v>
      </c>
      <c r="AG55" s="38" t="s">
        <v>1004</v>
      </c>
      <c r="AH55" s="38" t="s">
        <v>1005</v>
      </c>
      <c r="AI55" s="38" t="s">
        <v>1006</v>
      </c>
      <c r="AJ55" s="38" t="s">
        <v>1007</v>
      </c>
      <c r="AK55" s="38" t="s">
        <v>1008</v>
      </c>
      <c r="AL55" s="38" t="s">
        <v>1009</v>
      </c>
      <c r="AM55" s="38" t="s">
        <v>1010</v>
      </c>
      <c r="AN55" s="38" t="s">
        <v>1011</v>
      </c>
      <c r="AO55" s="38" t="s">
        <v>1012</v>
      </c>
      <c r="AP55" s="38" t="s">
        <v>1013</v>
      </c>
      <c r="AQ55" s="38" t="s">
        <v>1014</v>
      </c>
      <c r="AR55" s="38" t="s">
        <v>1015</v>
      </c>
      <c r="AS55" s="38" t="s">
        <v>1016</v>
      </c>
      <c r="AT55" s="38" t="s">
        <v>1017</v>
      </c>
      <c r="AU55" s="38" t="s">
        <v>1018</v>
      </c>
      <c r="AV55" s="38" t="s">
        <v>1019</v>
      </c>
      <c r="AW55" s="38" t="s">
        <v>1020</v>
      </c>
      <c r="AX55" s="39" t="s">
        <v>1021</v>
      </c>
      <c r="AY55" s="49"/>
      <c r="AZ55" s="49"/>
      <c r="BA55" s="49"/>
    </row>
    <row r="56" spans="2:53" ht="11.25" hidden="1" customHeight="1">
      <c r="B56" s="36" t="s">
        <v>407</v>
      </c>
      <c r="C56" s="38" t="s">
        <v>200</v>
      </c>
      <c r="D56" s="38" t="s">
        <v>201</v>
      </c>
      <c r="E56" s="38" t="s">
        <v>202</v>
      </c>
      <c r="F56" s="38" t="s">
        <v>203</v>
      </c>
      <c r="G56" s="38" t="s">
        <v>204</v>
      </c>
      <c r="H56" s="38" t="s">
        <v>205</v>
      </c>
      <c r="I56" s="38" t="s">
        <v>206</v>
      </c>
      <c r="J56" s="38" t="s">
        <v>207</v>
      </c>
      <c r="K56" s="38" t="s">
        <v>208</v>
      </c>
      <c r="L56" s="38" t="s">
        <v>209</v>
      </c>
      <c r="M56" s="38" t="s">
        <v>210</v>
      </c>
      <c r="N56" s="38" t="s">
        <v>211</v>
      </c>
      <c r="O56" s="38" t="s">
        <v>212</v>
      </c>
      <c r="P56" s="38" t="s">
        <v>213</v>
      </c>
      <c r="Q56" s="38" t="s">
        <v>214</v>
      </c>
      <c r="R56" s="38" t="s">
        <v>215</v>
      </c>
      <c r="S56" s="38" t="s">
        <v>216</v>
      </c>
      <c r="T56" s="38" t="s">
        <v>217</v>
      </c>
      <c r="U56" s="38" t="s">
        <v>218</v>
      </c>
      <c r="V56" s="38" t="s">
        <v>219</v>
      </c>
      <c r="W56" s="38" t="s">
        <v>220</v>
      </c>
      <c r="X56" s="38" t="s">
        <v>221</v>
      </c>
      <c r="Y56" s="38" t="s">
        <v>222</v>
      </c>
      <c r="Z56" s="39" t="s">
        <v>223</v>
      </c>
      <c r="AA56" s="40" t="s">
        <v>1022</v>
      </c>
      <c r="AB56" s="38" t="s">
        <v>1023</v>
      </c>
      <c r="AC56" s="38" t="s">
        <v>1024</v>
      </c>
      <c r="AD56" s="38" t="s">
        <v>1025</v>
      </c>
      <c r="AE56" s="38" t="s">
        <v>1026</v>
      </c>
      <c r="AF56" s="38" t="s">
        <v>1027</v>
      </c>
      <c r="AG56" s="38" t="s">
        <v>1028</v>
      </c>
      <c r="AH56" s="38" t="s">
        <v>1029</v>
      </c>
      <c r="AI56" s="38" t="s">
        <v>1030</v>
      </c>
      <c r="AJ56" s="38" t="s">
        <v>1031</v>
      </c>
      <c r="AK56" s="38" t="s">
        <v>1032</v>
      </c>
      <c r="AL56" s="38" t="s">
        <v>1033</v>
      </c>
      <c r="AM56" s="38" t="s">
        <v>1034</v>
      </c>
      <c r="AN56" s="38" t="s">
        <v>1035</v>
      </c>
      <c r="AO56" s="38" t="s">
        <v>1036</v>
      </c>
      <c r="AP56" s="38" t="s">
        <v>1037</v>
      </c>
      <c r="AQ56" s="38" t="s">
        <v>1038</v>
      </c>
      <c r="AR56" s="38" t="s">
        <v>1039</v>
      </c>
      <c r="AS56" s="38" t="s">
        <v>1040</v>
      </c>
      <c r="AT56" s="38" t="s">
        <v>1041</v>
      </c>
      <c r="AU56" s="38" t="s">
        <v>1042</v>
      </c>
      <c r="AV56" s="38" t="s">
        <v>1043</v>
      </c>
      <c r="AW56" s="38" t="s">
        <v>1044</v>
      </c>
      <c r="AX56" s="39" t="s">
        <v>1045</v>
      </c>
      <c r="AY56" s="49"/>
      <c r="AZ56" s="49"/>
      <c r="BA56" s="49"/>
    </row>
    <row r="57" spans="2:53" ht="11.25" hidden="1" customHeight="1">
      <c r="B57" s="36" t="s">
        <v>408</v>
      </c>
      <c r="C57" s="38" t="s">
        <v>224</v>
      </c>
      <c r="D57" s="38" t="s">
        <v>225</v>
      </c>
      <c r="E57" s="38" t="s">
        <v>226</v>
      </c>
      <c r="F57" s="38" t="s">
        <v>227</v>
      </c>
      <c r="G57" s="38" t="s">
        <v>228</v>
      </c>
      <c r="H57" s="38" t="s">
        <v>229</v>
      </c>
      <c r="I57" s="38" t="s">
        <v>230</v>
      </c>
      <c r="J57" s="38" t="s">
        <v>231</v>
      </c>
      <c r="K57" s="38" t="s">
        <v>232</v>
      </c>
      <c r="L57" s="38" t="s">
        <v>233</v>
      </c>
      <c r="M57" s="38" t="s">
        <v>234</v>
      </c>
      <c r="N57" s="38" t="s">
        <v>235</v>
      </c>
      <c r="O57" s="38" t="s">
        <v>236</v>
      </c>
      <c r="P57" s="38" t="s">
        <v>237</v>
      </c>
      <c r="Q57" s="38" t="s">
        <v>238</v>
      </c>
      <c r="R57" s="38" t="s">
        <v>239</v>
      </c>
      <c r="S57" s="38" t="s">
        <v>240</v>
      </c>
      <c r="T57" s="38" t="s">
        <v>241</v>
      </c>
      <c r="U57" s="38" t="s">
        <v>242</v>
      </c>
      <c r="V57" s="38" t="s">
        <v>243</v>
      </c>
      <c r="W57" s="38" t="s">
        <v>244</v>
      </c>
      <c r="X57" s="38" t="s">
        <v>245</v>
      </c>
      <c r="Y57" s="38" t="s">
        <v>246</v>
      </c>
      <c r="Z57" s="39" t="s">
        <v>247</v>
      </c>
      <c r="AA57" s="40" t="s">
        <v>1046</v>
      </c>
      <c r="AB57" s="38" t="s">
        <v>1047</v>
      </c>
      <c r="AC57" s="38" t="s">
        <v>1048</v>
      </c>
      <c r="AD57" s="38" t="s">
        <v>1049</v>
      </c>
      <c r="AE57" s="38" t="s">
        <v>1050</v>
      </c>
      <c r="AF57" s="38" t="s">
        <v>1051</v>
      </c>
      <c r="AG57" s="38" t="s">
        <v>1052</v>
      </c>
      <c r="AH57" s="38" t="s">
        <v>1053</v>
      </c>
      <c r="AI57" s="38" t="s">
        <v>1054</v>
      </c>
      <c r="AJ57" s="38" t="s">
        <v>1055</v>
      </c>
      <c r="AK57" s="38" t="s">
        <v>1056</v>
      </c>
      <c r="AL57" s="38" t="s">
        <v>1057</v>
      </c>
      <c r="AM57" s="38" t="s">
        <v>1058</v>
      </c>
      <c r="AN57" s="38" t="s">
        <v>1059</v>
      </c>
      <c r="AO57" s="38" t="s">
        <v>1060</v>
      </c>
      <c r="AP57" s="38" t="s">
        <v>1061</v>
      </c>
      <c r="AQ57" s="38" t="s">
        <v>1062</v>
      </c>
      <c r="AR57" s="38" t="s">
        <v>1063</v>
      </c>
      <c r="AS57" s="38" t="s">
        <v>1064</v>
      </c>
      <c r="AT57" s="38" t="s">
        <v>1065</v>
      </c>
      <c r="AU57" s="38" t="s">
        <v>1066</v>
      </c>
      <c r="AV57" s="38" t="s">
        <v>1067</v>
      </c>
      <c r="AW57" s="38" t="s">
        <v>1068</v>
      </c>
      <c r="AX57" s="39" t="s">
        <v>1069</v>
      </c>
      <c r="AY57" s="49"/>
      <c r="AZ57" s="49"/>
      <c r="BA57" s="49"/>
    </row>
    <row r="58" spans="2:53" ht="11.25" hidden="1" customHeight="1">
      <c r="B58" s="36" t="s">
        <v>409</v>
      </c>
      <c r="C58" s="38" t="s">
        <v>248</v>
      </c>
      <c r="D58" s="38" t="s">
        <v>249</v>
      </c>
      <c r="E58" s="38" t="s">
        <v>250</v>
      </c>
      <c r="F58" s="38" t="s">
        <v>251</v>
      </c>
      <c r="G58" s="38" t="s">
        <v>252</v>
      </c>
      <c r="H58" s="38" t="s">
        <v>253</v>
      </c>
      <c r="I58" s="38" t="s">
        <v>254</v>
      </c>
      <c r="J58" s="38" t="s">
        <v>255</v>
      </c>
      <c r="K58" s="38" t="s">
        <v>256</v>
      </c>
      <c r="L58" s="38" t="s">
        <v>257</v>
      </c>
      <c r="M58" s="38" t="s">
        <v>258</v>
      </c>
      <c r="N58" s="38" t="s">
        <v>259</v>
      </c>
      <c r="O58" s="38" t="s">
        <v>260</v>
      </c>
      <c r="P58" s="38" t="s">
        <v>261</v>
      </c>
      <c r="Q58" s="38" t="s">
        <v>262</v>
      </c>
      <c r="R58" s="38" t="s">
        <v>263</v>
      </c>
      <c r="S58" s="38" t="s">
        <v>264</v>
      </c>
      <c r="T58" s="38" t="s">
        <v>265</v>
      </c>
      <c r="U58" s="38" t="s">
        <v>266</v>
      </c>
      <c r="V58" s="38" t="s">
        <v>267</v>
      </c>
      <c r="W58" s="38" t="s">
        <v>268</v>
      </c>
      <c r="X58" s="38" t="s">
        <v>269</v>
      </c>
      <c r="Y58" s="38" t="s">
        <v>270</v>
      </c>
      <c r="Z58" s="39" t="s">
        <v>271</v>
      </c>
      <c r="AA58" s="40" t="s">
        <v>1070</v>
      </c>
      <c r="AB58" s="38" t="s">
        <v>1071</v>
      </c>
      <c r="AC58" s="38" t="s">
        <v>1072</v>
      </c>
      <c r="AD58" s="38" t="s">
        <v>1073</v>
      </c>
      <c r="AE58" s="38" t="s">
        <v>1074</v>
      </c>
      <c r="AF58" s="38" t="s">
        <v>1075</v>
      </c>
      <c r="AG58" s="38" t="s">
        <v>1076</v>
      </c>
      <c r="AH58" s="38" t="s">
        <v>1077</v>
      </c>
      <c r="AI58" s="38" t="s">
        <v>1078</v>
      </c>
      <c r="AJ58" s="38" t="s">
        <v>1079</v>
      </c>
      <c r="AK58" s="38" t="s">
        <v>1080</v>
      </c>
      <c r="AL58" s="38" t="s">
        <v>1081</v>
      </c>
      <c r="AM58" s="38" t="s">
        <v>1082</v>
      </c>
      <c r="AN58" s="38" t="s">
        <v>1083</v>
      </c>
      <c r="AO58" s="38" t="s">
        <v>1084</v>
      </c>
      <c r="AP58" s="38" t="s">
        <v>1085</v>
      </c>
      <c r="AQ58" s="38" t="s">
        <v>1086</v>
      </c>
      <c r="AR58" s="38" t="s">
        <v>1087</v>
      </c>
      <c r="AS58" s="38" t="s">
        <v>1088</v>
      </c>
      <c r="AT58" s="38" t="s">
        <v>1089</v>
      </c>
      <c r="AU58" s="38" t="s">
        <v>1090</v>
      </c>
      <c r="AV58" s="38" t="s">
        <v>1091</v>
      </c>
      <c r="AW58" s="38" t="s">
        <v>1092</v>
      </c>
      <c r="AX58" s="39" t="s">
        <v>1093</v>
      </c>
      <c r="AY58" s="49"/>
      <c r="AZ58" s="49"/>
      <c r="BA58" s="49"/>
    </row>
    <row r="59" spans="2:53" ht="11.25" hidden="1" customHeight="1">
      <c r="B59" s="36" t="s">
        <v>410</v>
      </c>
      <c r="C59" s="38" t="s">
        <v>272</v>
      </c>
      <c r="D59" s="38" t="s">
        <v>273</v>
      </c>
      <c r="E59" s="38" t="s">
        <v>274</v>
      </c>
      <c r="F59" s="38" t="s">
        <v>275</v>
      </c>
      <c r="G59" s="38" t="s">
        <v>276</v>
      </c>
      <c r="H59" s="38" t="s">
        <v>277</v>
      </c>
      <c r="I59" s="38" t="s">
        <v>278</v>
      </c>
      <c r="J59" s="38" t="s">
        <v>279</v>
      </c>
      <c r="K59" s="38" t="s">
        <v>280</v>
      </c>
      <c r="L59" s="38" t="s">
        <v>281</v>
      </c>
      <c r="M59" s="38" t="s">
        <v>282</v>
      </c>
      <c r="N59" s="38" t="s">
        <v>283</v>
      </c>
      <c r="O59" s="38" t="s">
        <v>284</v>
      </c>
      <c r="P59" s="38" t="s">
        <v>285</v>
      </c>
      <c r="Q59" s="38" t="s">
        <v>286</v>
      </c>
      <c r="R59" s="38" t="s">
        <v>287</v>
      </c>
      <c r="S59" s="38" t="s">
        <v>288</v>
      </c>
      <c r="T59" s="38" t="s">
        <v>289</v>
      </c>
      <c r="U59" s="38" t="s">
        <v>290</v>
      </c>
      <c r="V59" s="38" t="s">
        <v>291</v>
      </c>
      <c r="W59" s="38" t="s">
        <v>292</v>
      </c>
      <c r="X59" s="38" t="s">
        <v>293</v>
      </c>
      <c r="Y59" s="38" t="s">
        <v>294</v>
      </c>
      <c r="Z59" s="39" t="s">
        <v>295</v>
      </c>
      <c r="AA59" s="40" t="s">
        <v>1094</v>
      </c>
      <c r="AB59" s="38" t="s">
        <v>1095</v>
      </c>
      <c r="AC59" s="38" t="s">
        <v>1096</v>
      </c>
      <c r="AD59" s="38" t="s">
        <v>1097</v>
      </c>
      <c r="AE59" s="38" t="s">
        <v>1098</v>
      </c>
      <c r="AF59" s="38" t="s">
        <v>1099</v>
      </c>
      <c r="AG59" s="38" t="s">
        <v>1100</v>
      </c>
      <c r="AH59" s="38" t="s">
        <v>1101</v>
      </c>
      <c r="AI59" s="38" t="s">
        <v>1102</v>
      </c>
      <c r="AJ59" s="38" t="s">
        <v>1103</v>
      </c>
      <c r="AK59" s="38" t="s">
        <v>1104</v>
      </c>
      <c r="AL59" s="38" t="s">
        <v>1105</v>
      </c>
      <c r="AM59" s="38" t="s">
        <v>1106</v>
      </c>
      <c r="AN59" s="38" t="s">
        <v>1107</v>
      </c>
      <c r="AO59" s="38" t="s">
        <v>1108</v>
      </c>
      <c r="AP59" s="38" t="s">
        <v>1109</v>
      </c>
      <c r="AQ59" s="38" t="s">
        <v>1110</v>
      </c>
      <c r="AR59" s="38" t="s">
        <v>1111</v>
      </c>
      <c r="AS59" s="38" t="s">
        <v>1112</v>
      </c>
      <c r="AT59" s="38" t="s">
        <v>1113</v>
      </c>
      <c r="AU59" s="38" t="s">
        <v>1114</v>
      </c>
      <c r="AV59" s="38" t="s">
        <v>1115</v>
      </c>
      <c r="AW59" s="38" t="s">
        <v>1116</v>
      </c>
      <c r="AX59" s="39" t="s">
        <v>1117</v>
      </c>
      <c r="AY59" s="49"/>
      <c r="AZ59" s="49"/>
      <c r="BA59" s="49"/>
    </row>
    <row r="60" spans="2:53" ht="11.25" hidden="1" customHeight="1">
      <c r="B60" s="36" t="s">
        <v>411</v>
      </c>
      <c r="C60" s="38" t="s">
        <v>296</v>
      </c>
      <c r="D60" s="38" t="s">
        <v>297</v>
      </c>
      <c r="E60" s="38" t="s">
        <v>298</v>
      </c>
      <c r="F60" s="38" t="s">
        <v>299</v>
      </c>
      <c r="G60" s="38" t="s">
        <v>300</v>
      </c>
      <c r="H60" s="38" t="s">
        <v>301</v>
      </c>
      <c r="I60" s="38" t="s">
        <v>302</v>
      </c>
      <c r="J60" s="38" t="s">
        <v>303</v>
      </c>
      <c r="K60" s="38" t="s">
        <v>304</v>
      </c>
      <c r="L60" s="38" t="s">
        <v>305</v>
      </c>
      <c r="M60" s="38" t="s">
        <v>306</v>
      </c>
      <c r="N60" s="38" t="s">
        <v>307</v>
      </c>
      <c r="O60" s="38" t="s">
        <v>308</v>
      </c>
      <c r="P60" s="38" t="s">
        <v>309</v>
      </c>
      <c r="Q60" s="38" t="s">
        <v>310</v>
      </c>
      <c r="R60" s="38" t="s">
        <v>311</v>
      </c>
      <c r="S60" s="38" t="s">
        <v>312</v>
      </c>
      <c r="T60" s="38" t="s">
        <v>313</v>
      </c>
      <c r="U60" s="38" t="s">
        <v>314</v>
      </c>
      <c r="V60" s="38" t="s">
        <v>315</v>
      </c>
      <c r="W60" s="38" t="s">
        <v>316</v>
      </c>
      <c r="X60" s="38" t="s">
        <v>317</v>
      </c>
      <c r="Y60" s="38" t="s">
        <v>318</v>
      </c>
      <c r="Z60" s="39" t="s">
        <v>319</v>
      </c>
      <c r="AA60" s="40" t="s">
        <v>1118</v>
      </c>
      <c r="AB60" s="38" t="s">
        <v>1119</v>
      </c>
      <c r="AC60" s="38" t="s">
        <v>1120</v>
      </c>
      <c r="AD60" s="38" t="s">
        <v>1121</v>
      </c>
      <c r="AE60" s="38" t="s">
        <v>1122</v>
      </c>
      <c r="AF60" s="38" t="s">
        <v>1123</v>
      </c>
      <c r="AG60" s="38" t="s">
        <v>1124</v>
      </c>
      <c r="AH60" s="38" t="s">
        <v>1125</v>
      </c>
      <c r="AI60" s="38" t="s">
        <v>1126</v>
      </c>
      <c r="AJ60" s="38" t="s">
        <v>1127</v>
      </c>
      <c r="AK60" s="38" t="s">
        <v>1128</v>
      </c>
      <c r="AL60" s="38" t="s">
        <v>1129</v>
      </c>
      <c r="AM60" s="38" t="s">
        <v>1130</v>
      </c>
      <c r="AN60" s="38" t="s">
        <v>1131</v>
      </c>
      <c r="AO60" s="38" t="s">
        <v>1132</v>
      </c>
      <c r="AP60" s="38" t="s">
        <v>1133</v>
      </c>
      <c r="AQ60" s="38" t="s">
        <v>1134</v>
      </c>
      <c r="AR60" s="38" t="s">
        <v>1135</v>
      </c>
      <c r="AS60" s="38" t="s">
        <v>1136</v>
      </c>
      <c r="AT60" s="38" t="s">
        <v>1137</v>
      </c>
      <c r="AU60" s="38" t="s">
        <v>1138</v>
      </c>
      <c r="AV60" s="38" t="s">
        <v>1139</v>
      </c>
      <c r="AW60" s="38" t="s">
        <v>1140</v>
      </c>
      <c r="AX60" s="39" t="s">
        <v>1141</v>
      </c>
      <c r="AY60" s="49"/>
      <c r="AZ60" s="49"/>
      <c r="BA60" s="49"/>
    </row>
    <row r="61" spans="2:53" ht="11.25" hidden="1" customHeight="1">
      <c r="B61" s="36" t="s">
        <v>412</v>
      </c>
      <c r="C61" s="38" t="s">
        <v>320</v>
      </c>
      <c r="D61" s="38" t="s">
        <v>321</v>
      </c>
      <c r="E61" s="38" t="s">
        <v>322</v>
      </c>
      <c r="F61" s="38" t="s">
        <v>323</v>
      </c>
      <c r="G61" s="38" t="s">
        <v>324</v>
      </c>
      <c r="H61" s="38" t="s">
        <v>325</v>
      </c>
      <c r="I61" s="38" t="s">
        <v>326</v>
      </c>
      <c r="J61" s="38" t="s">
        <v>327</v>
      </c>
      <c r="K61" s="38" t="s">
        <v>328</v>
      </c>
      <c r="L61" s="38" t="s">
        <v>329</v>
      </c>
      <c r="M61" s="38" t="s">
        <v>330</v>
      </c>
      <c r="N61" s="38" t="s">
        <v>331</v>
      </c>
      <c r="O61" s="38" t="s">
        <v>332</v>
      </c>
      <c r="P61" s="38" t="s">
        <v>333</v>
      </c>
      <c r="Q61" s="38" t="s">
        <v>334</v>
      </c>
      <c r="R61" s="38" t="s">
        <v>335</v>
      </c>
      <c r="S61" s="38" t="s">
        <v>336</v>
      </c>
      <c r="T61" s="38" t="s">
        <v>337</v>
      </c>
      <c r="U61" s="38" t="s">
        <v>338</v>
      </c>
      <c r="V61" s="38" t="s">
        <v>339</v>
      </c>
      <c r="W61" s="38" t="s">
        <v>340</v>
      </c>
      <c r="X61" s="38" t="s">
        <v>341</v>
      </c>
      <c r="Y61" s="38" t="s">
        <v>342</v>
      </c>
      <c r="Z61" s="39" t="s">
        <v>343</v>
      </c>
      <c r="AA61" s="40" t="s">
        <v>1142</v>
      </c>
      <c r="AB61" s="38" t="s">
        <v>1143</v>
      </c>
      <c r="AC61" s="38" t="s">
        <v>1144</v>
      </c>
      <c r="AD61" s="38" t="s">
        <v>1145</v>
      </c>
      <c r="AE61" s="38" t="s">
        <v>1146</v>
      </c>
      <c r="AF61" s="38" t="s">
        <v>1147</v>
      </c>
      <c r="AG61" s="38" t="s">
        <v>1148</v>
      </c>
      <c r="AH61" s="38" t="s">
        <v>1149</v>
      </c>
      <c r="AI61" s="38" t="s">
        <v>1150</v>
      </c>
      <c r="AJ61" s="38" t="s">
        <v>1151</v>
      </c>
      <c r="AK61" s="38" t="s">
        <v>1152</v>
      </c>
      <c r="AL61" s="38" t="s">
        <v>1153</v>
      </c>
      <c r="AM61" s="38" t="s">
        <v>1154</v>
      </c>
      <c r="AN61" s="38" t="s">
        <v>1155</v>
      </c>
      <c r="AO61" s="38" t="s">
        <v>1156</v>
      </c>
      <c r="AP61" s="38" t="s">
        <v>1157</v>
      </c>
      <c r="AQ61" s="38" t="s">
        <v>1158</v>
      </c>
      <c r="AR61" s="38" t="s">
        <v>1159</v>
      </c>
      <c r="AS61" s="38" t="s">
        <v>1160</v>
      </c>
      <c r="AT61" s="38" t="s">
        <v>1161</v>
      </c>
      <c r="AU61" s="38" t="s">
        <v>1162</v>
      </c>
      <c r="AV61" s="38" t="s">
        <v>1163</v>
      </c>
      <c r="AW61" s="38" t="s">
        <v>1164</v>
      </c>
      <c r="AX61" s="39" t="s">
        <v>1165</v>
      </c>
      <c r="AY61" s="49"/>
      <c r="AZ61" s="49"/>
      <c r="BA61" s="49"/>
    </row>
    <row r="62" spans="2:53" ht="11.25" hidden="1" customHeight="1">
      <c r="B62" s="36" t="s">
        <v>413</v>
      </c>
      <c r="C62" s="38" t="s">
        <v>344</v>
      </c>
      <c r="D62" s="38" t="s">
        <v>345</v>
      </c>
      <c r="E62" s="38" t="s">
        <v>346</v>
      </c>
      <c r="F62" s="38" t="s">
        <v>347</v>
      </c>
      <c r="G62" s="38" t="s">
        <v>348</v>
      </c>
      <c r="H62" s="38" t="s">
        <v>349</v>
      </c>
      <c r="I62" s="38" t="s">
        <v>350</v>
      </c>
      <c r="J62" s="38" t="s">
        <v>351</v>
      </c>
      <c r="K62" s="38" t="s">
        <v>352</v>
      </c>
      <c r="L62" s="38" t="s">
        <v>353</v>
      </c>
      <c r="M62" s="38" t="s">
        <v>354</v>
      </c>
      <c r="N62" s="38" t="s">
        <v>355</v>
      </c>
      <c r="O62" s="38" t="s">
        <v>356</v>
      </c>
      <c r="P62" s="38" t="s">
        <v>357</v>
      </c>
      <c r="Q62" s="38" t="s">
        <v>358</v>
      </c>
      <c r="R62" s="38" t="s">
        <v>359</v>
      </c>
      <c r="S62" s="38" t="s">
        <v>360</v>
      </c>
      <c r="T62" s="38" t="s">
        <v>361</v>
      </c>
      <c r="U62" s="38" t="s">
        <v>362</v>
      </c>
      <c r="V62" s="38" t="s">
        <v>363</v>
      </c>
      <c r="W62" s="38" t="s">
        <v>364</v>
      </c>
      <c r="X62" s="38" t="s">
        <v>365</v>
      </c>
      <c r="Y62" s="38" t="s">
        <v>366</v>
      </c>
      <c r="Z62" s="39" t="s">
        <v>367</v>
      </c>
      <c r="AA62" s="40" t="s">
        <v>1166</v>
      </c>
      <c r="AB62" s="38" t="s">
        <v>1167</v>
      </c>
      <c r="AC62" s="38" t="s">
        <v>1168</v>
      </c>
      <c r="AD62" s="38" t="s">
        <v>1169</v>
      </c>
      <c r="AE62" s="38" t="s">
        <v>1170</v>
      </c>
      <c r="AF62" s="38" t="s">
        <v>1171</v>
      </c>
      <c r="AG62" s="38" t="s">
        <v>1172</v>
      </c>
      <c r="AH62" s="38" t="s">
        <v>1173</v>
      </c>
      <c r="AI62" s="38" t="s">
        <v>1174</v>
      </c>
      <c r="AJ62" s="38" t="s">
        <v>1175</v>
      </c>
      <c r="AK62" s="38" t="s">
        <v>1176</v>
      </c>
      <c r="AL62" s="38" t="s">
        <v>1177</v>
      </c>
      <c r="AM62" s="38" t="s">
        <v>1178</v>
      </c>
      <c r="AN62" s="38" t="s">
        <v>1179</v>
      </c>
      <c r="AO62" s="38" t="s">
        <v>1180</v>
      </c>
      <c r="AP62" s="38" t="s">
        <v>1181</v>
      </c>
      <c r="AQ62" s="38" t="s">
        <v>1182</v>
      </c>
      <c r="AR62" s="38" t="s">
        <v>1183</v>
      </c>
      <c r="AS62" s="38" t="s">
        <v>1184</v>
      </c>
      <c r="AT62" s="38" t="s">
        <v>1185</v>
      </c>
      <c r="AU62" s="38" t="s">
        <v>1186</v>
      </c>
      <c r="AV62" s="38" t="s">
        <v>1187</v>
      </c>
      <c r="AW62" s="38" t="s">
        <v>1188</v>
      </c>
      <c r="AX62" s="39" t="s">
        <v>1189</v>
      </c>
      <c r="AY62" s="49"/>
      <c r="AZ62" s="49"/>
      <c r="BA62" s="49"/>
    </row>
    <row r="63" spans="2:53" ht="11.25" hidden="1" customHeight="1">
      <c r="B63" s="36" t="s">
        <v>414</v>
      </c>
      <c r="C63" s="38" t="s">
        <v>368</v>
      </c>
      <c r="D63" s="38" t="s">
        <v>369</v>
      </c>
      <c r="E63" s="38" t="s">
        <v>370</v>
      </c>
      <c r="F63" s="38" t="s">
        <v>371</v>
      </c>
      <c r="G63" s="38" t="s">
        <v>372</v>
      </c>
      <c r="H63" s="38" t="s">
        <v>373</v>
      </c>
      <c r="I63" s="38" t="s">
        <v>374</v>
      </c>
      <c r="J63" s="38" t="s">
        <v>375</v>
      </c>
      <c r="K63" s="38" t="s">
        <v>376</v>
      </c>
      <c r="L63" s="38" t="s">
        <v>377</v>
      </c>
      <c r="M63" s="38" t="s">
        <v>378</v>
      </c>
      <c r="N63" s="38" t="s">
        <v>379</v>
      </c>
      <c r="O63" s="38" t="s">
        <v>380</v>
      </c>
      <c r="P63" s="38" t="s">
        <v>381</v>
      </c>
      <c r="Q63" s="38" t="s">
        <v>382</v>
      </c>
      <c r="R63" s="38" t="s">
        <v>383</v>
      </c>
      <c r="S63" s="38" t="s">
        <v>384</v>
      </c>
      <c r="T63" s="38" t="s">
        <v>385</v>
      </c>
      <c r="U63" s="38" t="s">
        <v>386</v>
      </c>
      <c r="V63" s="38" t="s">
        <v>387</v>
      </c>
      <c r="W63" s="38" t="s">
        <v>388</v>
      </c>
      <c r="X63" s="38" t="s">
        <v>389</v>
      </c>
      <c r="Y63" s="38" t="s">
        <v>390</v>
      </c>
      <c r="Z63" s="39" t="s">
        <v>391</v>
      </c>
      <c r="AA63" s="40" t="s">
        <v>1190</v>
      </c>
      <c r="AB63" s="38" t="s">
        <v>1191</v>
      </c>
      <c r="AC63" s="38" t="s">
        <v>1192</v>
      </c>
      <c r="AD63" s="38" t="s">
        <v>1193</v>
      </c>
      <c r="AE63" s="38" t="s">
        <v>1194</v>
      </c>
      <c r="AF63" s="38" t="s">
        <v>1195</v>
      </c>
      <c r="AG63" s="38" t="s">
        <v>1196</v>
      </c>
      <c r="AH63" s="38" t="s">
        <v>1197</v>
      </c>
      <c r="AI63" s="38" t="s">
        <v>1198</v>
      </c>
      <c r="AJ63" s="38" t="s">
        <v>1199</v>
      </c>
      <c r="AK63" s="38" t="s">
        <v>1200</v>
      </c>
      <c r="AL63" s="38" t="s">
        <v>1201</v>
      </c>
      <c r="AM63" s="38" t="s">
        <v>1202</v>
      </c>
      <c r="AN63" s="38" t="s">
        <v>1203</v>
      </c>
      <c r="AO63" s="38" t="s">
        <v>1204</v>
      </c>
      <c r="AP63" s="38" t="s">
        <v>1205</v>
      </c>
      <c r="AQ63" s="38" t="s">
        <v>1206</v>
      </c>
      <c r="AR63" s="38" t="s">
        <v>1207</v>
      </c>
      <c r="AS63" s="38" t="s">
        <v>1208</v>
      </c>
      <c r="AT63" s="38" t="s">
        <v>1209</v>
      </c>
      <c r="AU63" s="38" t="s">
        <v>1210</v>
      </c>
      <c r="AV63" s="38" t="s">
        <v>1211</v>
      </c>
      <c r="AW63" s="38" t="s">
        <v>1212</v>
      </c>
      <c r="AX63" s="39" t="s">
        <v>1213</v>
      </c>
      <c r="AY63" s="49"/>
      <c r="AZ63" s="49"/>
      <c r="BA63" s="49"/>
    </row>
    <row r="64" spans="2:53" ht="11.25" hidden="1" customHeight="1">
      <c r="B64" s="36" t="s">
        <v>1214</v>
      </c>
      <c r="C64" s="38" t="s">
        <v>1215</v>
      </c>
      <c r="D64" s="38" t="s">
        <v>1216</v>
      </c>
      <c r="E64" s="38" t="s">
        <v>1217</v>
      </c>
      <c r="F64" s="38" t="s">
        <v>1218</v>
      </c>
      <c r="G64" s="38" t="s">
        <v>1219</v>
      </c>
      <c r="H64" s="38" t="s">
        <v>1220</v>
      </c>
      <c r="I64" s="38" t="s">
        <v>1221</v>
      </c>
      <c r="J64" s="38" t="s">
        <v>1222</v>
      </c>
      <c r="K64" s="38" t="s">
        <v>1223</v>
      </c>
      <c r="L64" s="38" t="s">
        <v>1224</v>
      </c>
      <c r="M64" s="38" t="s">
        <v>1225</v>
      </c>
      <c r="N64" s="38" t="s">
        <v>1226</v>
      </c>
      <c r="O64" s="38" t="s">
        <v>1227</v>
      </c>
      <c r="P64" s="38" t="s">
        <v>1228</v>
      </c>
      <c r="Q64" s="38" t="s">
        <v>1229</v>
      </c>
      <c r="R64" s="38" t="s">
        <v>1230</v>
      </c>
      <c r="S64" s="38" t="s">
        <v>1231</v>
      </c>
      <c r="T64" s="38" t="s">
        <v>1232</v>
      </c>
      <c r="U64" s="38" t="s">
        <v>1233</v>
      </c>
      <c r="V64" s="38" t="s">
        <v>1234</v>
      </c>
      <c r="W64" s="38" t="s">
        <v>1235</v>
      </c>
      <c r="X64" s="38" t="s">
        <v>1236</v>
      </c>
      <c r="Y64" s="38" t="s">
        <v>1237</v>
      </c>
      <c r="Z64" s="39" t="s">
        <v>1238</v>
      </c>
      <c r="AA64" s="40" t="s">
        <v>1239</v>
      </c>
      <c r="AB64" s="38" t="s">
        <v>1240</v>
      </c>
      <c r="AC64" s="38" t="s">
        <v>1241</v>
      </c>
      <c r="AD64" s="38" t="s">
        <v>1242</v>
      </c>
      <c r="AE64" s="38" t="s">
        <v>1243</v>
      </c>
      <c r="AF64" s="38" t="s">
        <v>1244</v>
      </c>
      <c r="AG64" s="38" t="s">
        <v>1245</v>
      </c>
      <c r="AH64" s="38" t="s">
        <v>1246</v>
      </c>
      <c r="AI64" s="38" t="s">
        <v>1247</v>
      </c>
      <c r="AJ64" s="38" t="s">
        <v>1248</v>
      </c>
      <c r="AK64" s="38" t="s">
        <v>1249</v>
      </c>
      <c r="AL64" s="38" t="s">
        <v>1250</v>
      </c>
      <c r="AM64" s="38" t="s">
        <v>1251</v>
      </c>
      <c r="AN64" s="38" t="s">
        <v>1252</v>
      </c>
      <c r="AO64" s="38" t="s">
        <v>1253</v>
      </c>
      <c r="AP64" s="38" t="s">
        <v>1254</v>
      </c>
      <c r="AQ64" s="38" t="s">
        <v>1255</v>
      </c>
      <c r="AR64" s="38" t="s">
        <v>1256</v>
      </c>
      <c r="AS64" s="38" t="s">
        <v>1257</v>
      </c>
      <c r="AT64" s="38" t="s">
        <v>1258</v>
      </c>
      <c r="AU64" s="38" t="s">
        <v>1259</v>
      </c>
      <c r="AV64" s="38" t="s">
        <v>1260</v>
      </c>
      <c r="AW64" s="38" t="s">
        <v>1261</v>
      </c>
      <c r="AX64" s="39" t="s">
        <v>1262</v>
      </c>
      <c r="AY64" s="49"/>
      <c r="AZ64" s="49"/>
      <c r="BA64" s="49"/>
    </row>
    <row r="65" spans="2:53" ht="11.25" hidden="1" customHeight="1">
      <c r="B65" s="36" t="s">
        <v>1263</v>
      </c>
      <c r="C65" s="38" t="s">
        <v>1264</v>
      </c>
      <c r="D65" s="38" t="s">
        <v>1265</v>
      </c>
      <c r="E65" s="38" t="s">
        <v>1266</v>
      </c>
      <c r="F65" s="38" t="s">
        <v>1267</v>
      </c>
      <c r="G65" s="38" t="s">
        <v>1268</v>
      </c>
      <c r="H65" s="38" t="s">
        <v>1269</v>
      </c>
      <c r="I65" s="38" t="s">
        <v>1270</v>
      </c>
      <c r="J65" s="38" t="s">
        <v>1271</v>
      </c>
      <c r="K65" s="38" t="s">
        <v>1272</v>
      </c>
      <c r="L65" s="38" t="s">
        <v>1273</v>
      </c>
      <c r="M65" s="38" t="s">
        <v>1274</v>
      </c>
      <c r="N65" s="38" t="s">
        <v>1275</v>
      </c>
      <c r="O65" s="38" t="s">
        <v>1276</v>
      </c>
      <c r="P65" s="38" t="s">
        <v>1277</v>
      </c>
      <c r="Q65" s="38" t="s">
        <v>1278</v>
      </c>
      <c r="R65" s="38" t="s">
        <v>1279</v>
      </c>
      <c r="S65" s="38" t="s">
        <v>1280</v>
      </c>
      <c r="T65" s="38" t="s">
        <v>1281</v>
      </c>
      <c r="U65" s="38" t="s">
        <v>1282</v>
      </c>
      <c r="V65" s="38" t="s">
        <v>1283</v>
      </c>
      <c r="W65" s="38" t="s">
        <v>1284</v>
      </c>
      <c r="X65" s="38" t="s">
        <v>1285</v>
      </c>
      <c r="Y65" s="38" t="s">
        <v>1286</v>
      </c>
      <c r="Z65" s="39" t="s">
        <v>1287</v>
      </c>
      <c r="AA65" s="40" t="s">
        <v>1288</v>
      </c>
      <c r="AB65" s="38" t="s">
        <v>1289</v>
      </c>
      <c r="AC65" s="38" t="s">
        <v>1290</v>
      </c>
      <c r="AD65" s="38" t="s">
        <v>1291</v>
      </c>
      <c r="AE65" s="38" t="s">
        <v>1292</v>
      </c>
      <c r="AF65" s="38" t="s">
        <v>1293</v>
      </c>
      <c r="AG65" s="38" t="s">
        <v>1294</v>
      </c>
      <c r="AH65" s="38" t="s">
        <v>1295</v>
      </c>
      <c r="AI65" s="38" t="s">
        <v>1296</v>
      </c>
      <c r="AJ65" s="38" t="s">
        <v>1297</v>
      </c>
      <c r="AK65" s="38" t="s">
        <v>1298</v>
      </c>
      <c r="AL65" s="38" t="s">
        <v>1299</v>
      </c>
      <c r="AM65" s="38" t="s">
        <v>1300</v>
      </c>
      <c r="AN65" s="38" t="s">
        <v>1301</v>
      </c>
      <c r="AO65" s="38" t="s">
        <v>1302</v>
      </c>
      <c r="AP65" s="38" t="s">
        <v>1303</v>
      </c>
      <c r="AQ65" s="38" t="s">
        <v>1304</v>
      </c>
      <c r="AR65" s="38" t="s">
        <v>1305</v>
      </c>
      <c r="AS65" s="38" t="s">
        <v>1306</v>
      </c>
      <c r="AT65" s="38" t="s">
        <v>1307</v>
      </c>
      <c r="AU65" s="38" t="s">
        <v>1308</v>
      </c>
      <c r="AV65" s="38" t="s">
        <v>1309</v>
      </c>
      <c r="AW65" s="38" t="s">
        <v>1310</v>
      </c>
      <c r="AX65" s="39" t="s">
        <v>1311</v>
      </c>
      <c r="AY65" s="49"/>
      <c r="AZ65" s="49"/>
      <c r="BA65" s="49"/>
    </row>
    <row r="66" spans="2:53" ht="11.25" hidden="1" customHeight="1">
      <c r="B66" s="36" t="s">
        <v>1312</v>
      </c>
      <c r="C66" s="38" t="s">
        <v>1313</v>
      </c>
      <c r="D66" s="38" t="s">
        <v>1314</v>
      </c>
      <c r="E66" s="38" t="s">
        <v>1315</v>
      </c>
      <c r="F66" s="38" t="s">
        <v>1316</v>
      </c>
      <c r="G66" s="38" t="s">
        <v>1317</v>
      </c>
      <c r="H66" s="38" t="s">
        <v>1318</v>
      </c>
      <c r="I66" s="38" t="s">
        <v>1319</v>
      </c>
      <c r="J66" s="38" t="s">
        <v>1320</v>
      </c>
      <c r="K66" s="38" t="s">
        <v>1321</v>
      </c>
      <c r="L66" s="38" t="s">
        <v>1322</v>
      </c>
      <c r="M66" s="38" t="s">
        <v>1323</v>
      </c>
      <c r="N66" s="38" t="s">
        <v>1324</v>
      </c>
      <c r="O66" s="38" t="s">
        <v>1325</v>
      </c>
      <c r="P66" s="38" t="s">
        <v>1326</v>
      </c>
      <c r="Q66" s="38" t="s">
        <v>1327</v>
      </c>
      <c r="R66" s="38" t="s">
        <v>1328</v>
      </c>
      <c r="S66" s="38" t="s">
        <v>1329</v>
      </c>
      <c r="T66" s="38" t="s">
        <v>1330</v>
      </c>
      <c r="U66" s="38" t="s">
        <v>1331</v>
      </c>
      <c r="V66" s="38" t="s">
        <v>1332</v>
      </c>
      <c r="W66" s="38" t="s">
        <v>1333</v>
      </c>
      <c r="X66" s="38" t="s">
        <v>1334</v>
      </c>
      <c r="Y66" s="38" t="s">
        <v>1335</v>
      </c>
      <c r="Z66" s="39" t="s">
        <v>1336</v>
      </c>
      <c r="AA66" s="40" t="s">
        <v>1337</v>
      </c>
      <c r="AB66" s="38" t="s">
        <v>1338</v>
      </c>
      <c r="AC66" s="38" t="s">
        <v>1339</v>
      </c>
      <c r="AD66" s="38" t="s">
        <v>1340</v>
      </c>
      <c r="AE66" s="38" t="s">
        <v>1341</v>
      </c>
      <c r="AF66" s="38" t="s">
        <v>1342</v>
      </c>
      <c r="AG66" s="38" t="s">
        <v>1343</v>
      </c>
      <c r="AH66" s="38" t="s">
        <v>1344</v>
      </c>
      <c r="AI66" s="38" t="s">
        <v>1345</v>
      </c>
      <c r="AJ66" s="38" t="s">
        <v>1346</v>
      </c>
      <c r="AK66" s="38" t="s">
        <v>1347</v>
      </c>
      <c r="AL66" s="38" t="s">
        <v>1348</v>
      </c>
      <c r="AM66" s="38" t="s">
        <v>1349</v>
      </c>
      <c r="AN66" s="38" t="s">
        <v>1350</v>
      </c>
      <c r="AO66" s="38" t="s">
        <v>1351</v>
      </c>
      <c r="AP66" s="38" t="s">
        <v>1352</v>
      </c>
      <c r="AQ66" s="38" t="s">
        <v>1353</v>
      </c>
      <c r="AR66" s="38" t="s">
        <v>1354</v>
      </c>
      <c r="AS66" s="38" t="s">
        <v>1355</v>
      </c>
      <c r="AT66" s="38" t="s">
        <v>1356</v>
      </c>
      <c r="AU66" s="38" t="s">
        <v>1357</v>
      </c>
      <c r="AV66" s="38" t="s">
        <v>1358</v>
      </c>
      <c r="AW66" s="38" t="s">
        <v>1359</v>
      </c>
      <c r="AX66" s="39" t="s">
        <v>1360</v>
      </c>
      <c r="AY66" s="49"/>
      <c r="AZ66" s="49"/>
      <c r="BA66" s="49"/>
    </row>
    <row r="67" spans="2:53" ht="11.25" hidden="1" customHeight="1">
      <c r="B67" s="36" t="s">
        <v>1361</v>
      </c>
      <c r="C67" s="38" t="s">
        <v>1362</v>
      </c>
      <c r="D67" s="38" t="s">
        <v>1363</v>
      </c>
      <c r="E67" s="38" t="s">
        <v>1364</v>
      </c>
      <c r="F67" s="38" t="s">
        <v>1365</v>
      </c>
      <c r="G67" s="38" t="s">
        <v>1366</v>
      </c>
      <c r="H67" s="38" t="s">
        <v>1367</v>
      </c>
      <c r="I67" s="38" t="s">
        <v>1368</v>
      </c>
      <c r="J67" s="38" t="s">
        <v>1369</v>
      </c>
      <c r="K67" s="38" t="s">
        <v>1370</v>
      </c>
      <c r="L67" s="38" t="s">
        <v>1371</v>
      </c>
      <c r="M67" s="38" t="s">
        <v>1372</v>
      </c>
      <c r="N67" s="38" t="s">
        <v>1373</v>
      </c>
      <c r="O67" s="38" t="s">
        <v>1374</v>
      </c>
      <c r="P67" s="38" t="s">
        <v>1375</v>
      </c>
      <c r="Q67" s="38" t="s">
        <v>1376</v>
      </c>
      <c r="R67" s="38" t="s">
        <v>1377</v>
      </c>
      <c r="S67" s="38" t="s">
        <v>1378</v>
      </c>
      <c r="T67" s="38" t="s">
        <v>1379</v>
      </c>
      <c r="U67" s="38" t="s">
        <v>1380</v>
      </c>
      <c r="V67" s="38" t="s">
        <v>1381</v>
      </c>
      <c r="W67" s="38" t="s">
        <v>1382</v>
      </c>
      <c r="X67" s="38" t="s">
        <v>1383</v>
      </c>
      <c r="Y67" s="38" t="s">
        <v>1384</v>
      </c>
      <c r="Z67" s="39" t="s">
        <v>1385</v>
      </c>
      <c r="AA67" s="40" t="s">
        <v>1386</v>
      </c>
      <c r="AB67" s="38" t="s">
        <v>1387</v>
      </c>
      <c r="AC67" s="38" t="s">
        <v>1388</v>
      </c>
      <c r="AD67" s="38" t="s">
        <v>1389</v>
      </c>
      <c r="AE67" s="38" t="s">
        <v>1390</v>
      </c>
      <c r="AF67" s="38" t="s">
        <v>1391</v>
      </c>
      <c r="AG67" s="38" t="s">
        <v>1392</v>
      </c>
      <c r="AH67" s="38" t="s">
        <v>1393</v>
      </c>
      <c r="AI67" s="38" t="s">
        <v>1394</v>
      </c>
      <c r="AJ67" s="38" t="s">
        <v>1395</v>
      </c>
      <c r="AK67" s="38" t="s">
        <v>1396</v>
      </c>
      <c r="AL67" s="38" t="s">
        <v>1397</v>
      </c>
      <c r="AM67" s="38" t="s">
        <v>1398</v>
      </c>
      <c r="AN67" s="38" t="s">
        <v>1399</v>
      </c>
      <c r="AO67" s="38" t="s">
        <v>1400</v>
      </c>
      <c r="AP67" s="38" t="s">
        <v>1401</v>
      </c>
      <c r="AQ67" s="38" t="s">
        <v>1402</v>
      </c>
      <c r="AR67" s="38" t="s">
        <v>1403</v>
      </c>
      <c r="AS67" s="38" t="s">
        <v>1404</v>
      </c>
      <c r="AT67" s="38" t="s">
        <v>1405</v>
      </c>
      <c r="AU67" s="38" t="s">
        <v>1406</v>
      </c>
      <c r="AV67" s="38" t="s">
        <v>1407</v>
      </c>
      <c r="AW67" s="38" t="s">
        <v>1408</v>
      </c>
      <c r="AX67" s="39" t="s">
        <v>1409</v>
      </c>
      <c r="AY67" s="49"/>
      <c r="AZ67" s="49"/>
      <c r="BA67" s="49"/>
    </row>
    <row r="68" spans="2:53" ht="11.25" hidden="1" customHeight="1">
      <c r="B68" s="36" t="s">
        <v>1410</v>
      </c>
      <c r="C68" s="38" t="s">
        <v>1411</v>
      </c>
      <c r="D68" s="38" t="s">
        <v>1412</v>
      </c>
      <c r="E68" s="38" t="s">
        <v>1413</v>
      </c>
      <c r="F68" s="38" t="s">
        <v>1414</v>
      </c>
      <c r="G68" s="38" t="s">
        <v>1415</v>
      </c>
      <c r="H68" s="38" t="s">
        <v>1416</v>
      </c>
      <c r="I68" s="38" t="s">
        <v>1417</v>
      </c>
      <c r="J68" s="38" t="s">
        <v>1418</v>
      </c>
      <c r="K68" s="38" t="s">
        <v>1419</v>
      </c>
      <c r="L68" s="38" t="s">
        <v>1420</v>
      </c>
      <c r="M68" s="38" t="s">
        <v>1421</v>
      </c>
      <c r="N68" s="38" t="s">
        <v>1422</v>
      </c>
      <c r="O68" s="38" t="s">
        <v>1423</v>
      </c>
      <c r="P68" s="38" t="s">
        <v>1424</v>
      </c>
      <c r="Q68" s="38" t="s">
        <v>1425</v>
      </c>
      <c r="R68" s="38" t="s">
        <v>1426</v>
      </c>
      <c r="S68" s="38" t="s">
        <v>1427</v>
      </c>
      <c r="T68" s="38" t="s">
        <v>1428</v>
      </c>
      <c r="U68" s="38" t="s">
        <v>1429</v>
      </c>
      <c r="V68" s="38" t="s">
        <v>1430</v>
      </c>
      <c r="W68" s="38" t="s">
        <v>1431</v>
      </c>
      <c r="X68" s="38" t="s">
        <v>1432</v>
      </c>
      <c r="Y68" s="38" t="s">
        <v>1433</v>
      </c>
      <c r="Z68" s="39" t="s">
        <v>1434</v>
      </c>
      <c r="AA68" s="40" t="s">
        <v>1435</v>
      </c>
      <c r="AB68" s="38" t="s">
        <v>1436</v>
      </c>
      <c r="AC68" s="38" t="s">
        <v>1437</v>
      </c>
      <c r="AD68" s="38" t="s">
        <v>1438</v>
      </c>
      <c r="AE68" s="38" t="s">
        <v>1439</v>
      </c>
      <c r="AF68" s="38" t="s">
        <v>1440</v>
      </c>
      <c r="AG68" s="38" t="s">
        <v>1441</v>
      </c>
      <c r="AH68" s="38" t="s">
        <v>1442</v>
      </c>
      <c r="AI68" s="38" t="s">
        <v>1443</v>
      </c>
      <c r="AJ68" s="38" t="s">
        <v>1444</v>
      </c>
      <c r="AK68" s="38" t="s">
        <v>1445</v>
      </c>
      <c r="AL68" s="38" t="s">
        <v>1446</v>
      </c>
      <c r="AM68" s="38" t="s">
        <v>1447</v>
      </c>
      <c r="AN68" s="38" t="s">
        <v>1448</v>
      </c>
      <c r="AO68" s="38" t="s">
        <v>1449</v>
      </c>
      <c r="AP68" s="38" t="s">
        <v>1450</v>
      </c>
      <c r="AQ68" s="38" t="s">
        <v>1451</v>
      </c>
      <c r="AR68" s="38" t="s">
        <v>1452</v>
      </c>
      <c r="AS68" s="38" t="s">
        <v>1453</v>
      </c>
      <c r="AT68" s="38" t="s">
        <v>1454</v>
      </c>
      <c r="AU68" s="38" t="s">
        <v>1455</v>
      </c>
      <c r="AV68" s="38" t="s">
        <v>1456</v>
      </c>
      <c r="AW68" s="38" t="s">
        <v>1457</v>
      </c>
      <c r="AX68" s="39" t="s">
        <v>1458</v>
      </c>
      <c r="AY68" s="49"/>
      <c r="AZ68" s="49"/>
      <c r="BA68" s="49"/>
    </row>
    <row r="69" spans="2:53" ht="11.25" hidden="1" customHeight="1">
      <c r="B69" s="36" t="s">
        <v>1459</v>
      </c>
      <c r="C69" s="38" t="s">
        <v>1460</v>
      </c>
      <c r="D69" s="38" t="s">
        <v>1461</v>
      </c>
      <c r="E69" s="38" t="s">
        <v>1462</v>
      </c>
      <c r="F69" s="38" t="s">
        <v>1463</v>
      </c>
      <c r="G69" s="38" t="s">
        <v>1464</v>
      </c>
      <c r="H69" s="38" t="s">
        <v>1465</v>
      </c>
      <c r="I69" s="38" t="s">
        <v>1466</v>
      </c>
      <c r="J69" s="38" t="s">
        <v>1467</v>
      </c>
      <c r="K69" s="38" t="s">
        <v>1468</v>
      </c>
      <c r="L69" s="38" t="s">
        <v>1469</v>
      </c>
      <c r="M69" s="38" t="s">
        <v>1470</v>
      </c>
      <c r="N69" s="38" t="s">
        <v>1471</v>
      </c>
      <c r="O69" s="38" t="s">
        <v>1472</v>
      </c>
      <c r="P69" s="38" t="s">
        <v>1473</v>
      </c>
      <c r="Q69" s="38" t="s">
        <v>1474</v>
      </c>
      <c r="R69" s="38" t="s">
        <v>1475</v>
      </c>
      <c r="S69" s="38" t="s">
        <v>1476</v>
      </c>
      <c r="T69" s="38" t="s">
        <v>1477</v>
      </c>
      <c r="U69" s="38" t="s">
        <v>1478</v>
      </c>
      <c r="V69" s="38" t="s">
        <v>1479</v>
      </c>
      <c r="W69" s="38" t="s">
        <v>1480</v>
      </c>
      <c r="X69" s="38" t="s">
        <v>1481</v>
      </c>
      <c r="Y69" s="38" t="s">
        <v>1482</v>
      </c>
      <c r="Z69" s="39" t="s">
        <v>1483</v>
      </c>
      <c r="AA69" s="40" t="s">
        <v>1484</v>
      </c>
      <c r="AB69" s="38" t="s">
        <v>1485</v>
      </c>
      <c r="AC69" s="38" t="s">
        <v>1486</v>
      </c>
      <c r="AD69" s="38" t="s">
        <v>1487</v>
      </c>
      <c r="AE69" s="38" t="s">
        <v>1488</v>
      </c>
      <c r="AF69" s="38" t="s">
        <v>1489</v>
      </c>
      <c r="AG69" s="38" t="s">
        <v>1490</v>
      </c>
      <c r="AH69" s="38" t="s">
        <v>1491</v>
      </c>
      <c r="AI69" s="38" t="s">
        <v>1492</v>
      </c>
      <c r="AJ69" s="38" t="s">
        <v>1493</v>
      </c>
      <c r="AK69" s="38" t="s">
        <v>1494</v>
      </c>
      <c r="AL69" s="38" t="s">
        <v>1495</v>
      </c>
      <c r="AM69" s="38" t="s">
        <v>1496</v>
      </c>
      <c r="AN69" s="38" t="s">
        <v>1497</v>
      </c>
      <c r="AO69" s="38" t="s">
        <v>1498</v>
      </c>
      <c r="AP69" s="38" t="s">
        <v>1499</v>
      </c>
      <c r="AQ69" s="38" t="s">
        <v>1500</v>
      </c>
      <c r="AR69" s="38" t="s">
        <v>1501</v>
      </c>
      <c r="AS69" s="38" t="s">
        <v>1502</v>
      </c>
      <c r="AT69" s="38" t="s">
        <v>1503</v>
      </c>
      <c r="AU69" s="38" t="s">
        <v>1504</v>
      </c>
      <c r="AV69" s="38" t="s">
        <v>1505</v>
      </c>
      <c r="AW69" s="38" t="s">
        <v>1506</v>
      </c>
      <c r="AX69" s="39" t="s">
        <v>1507</v>
      </c>
      <c r="AY69" s="49"/>
      <c r="AZ69" s="49"/>
      <c r="BA69" s="49"/>
    </row>
    <row r="70" spans="2:53" ht="11.25" hidden="1" customHeight="1">
      <c r="B70" s="36" t="s">
        <v>1508</v>
      </c>
      <c r="C70" s="38" t="s">
        <v>1509</v>
      </c>
      <c r="D70" s="38" t="s">
        <v>1510</v>
      </c>
      <c r="E70" s="38" t="s">
        <v>1511</v>
      </c>
      <c r="F70" s="38" t="s">
        <v>1512</v>
      </c>
      <c r="G70" s="38" t="s">
        <v>1513</v>
      </c>
      <c r="H70" s="38" t="s">
        <v>1514</v>
      </c>
      <c r="I70" s="38" t="s">
        <v>1515</v>
      </c>
      <c r="J70" s="38" t="s">
        <v>1516</v>
      </c>
      <c r="K70" s="38" t="s">
        <v>1517</v>
      </c>
      <c r="L70" s="38" t="s">
        <v>1518</v>
      </c>
      <c r="M70" s="38" t="s">
        <v>1519</v>
      </c>
      <c r="N70" s="38" t="s">
        <v>1520</v>
      </c>
      <c r="O70" s="38" t="s">
        <v>1521</v>
      </c>
      <c r="P70" s="38" t="s">
        <v>1522</v>
      </c>
      <c r="Q70" s="38" t="s">
        <v>1523</v>
      </c>
      <c r="R70" s="38" t="s">
        <v>1524</v>
      </c>
      <c r="S70" s="38" t="s">
        <v>1525</v>
      </c>
      <c r="T70" s="38" t="s">
        <v>1526</v>
      </c>
      <c r="U70" s="38" t="s">
        <v>1527</v>
      </c>
      <c r="V70" s="38" t="s">
        <v>1528</v>
      </c>
      <c r="W70" s="38" t="s">
        <v>1529</v>
      </c>
      <c r="X70" s="38" t="s">
        <v>1530</v>
      </c>
      <c r="Y70" s="38" t="s">
        <v>1531</v>
      </c>
      <c r="Z70" s="39" t="s">
        <v>1532</v>
      </c>
      <c r="AA70" s="40" t="s">
        <v>1533</v>
      </c>
      <c r="AB70" s="38" t="s">
        <v>1534</v>
      </c>
      <c r="AC70" s="38" t="s">
        <v>1535</v>
      </c>
      <c r="AD70" s="38" t="s">
        <v>1536</v>
      </c>
      <c r="AE70" s="38" t="s">
        <v>1537</v>
      </c>
      <c r="AF70" s="38" t="s">
        <v>1538</v>
      </c>
      <c r="AG70" s="38" t="s">
        <v>1539</v>
      </c>
      <c r="AH70" s="38" t="s">
        <v>1540</v>
      </c>
      <c r="AI70" s="38" t="s">
        <v>1541</v>
      </c>
      <c r="AJ70" s="38" t="s">
        <v>1542</v>
      </c>
      <c r="AK70" s="38" t="s">
        <v>1543</v>
      </c>
      <c r="AL70" s="38" t="s">
        <v>1544</v>
      </c>
      <c r="AM70" s="38" t="s">
        <v>1545</v>
      </c>
      <c r="AN70" s="38" t="s">
        <v>1546</v>
      </c>
      <c r="AO70" s="38" t="s">
        <v>1547</v>
      </c>
      <c r="AP70" s="38" t="s">
        <v>1548</v>
      </c>
      <c r="AQ70" s="38" t="s">
        <v>1549</v>
      </c>
      <c r="AR70" s="38" t="s">
        <v>1550</v>
      </c>
      <c r="AS70" s="38" t="s">
        <v>1551</v>
      </c>
      <c r="AT70" s="38" t="s">
        <v>1552</v>
      </c>
      <c r="AU70" s="38" t="s">
        <v>1553</v>
      </c>
      <c r="AV70" s="38" t="s">
        <v>1554</v>
      </c>
      <c r="AW70" s="38" t="s">
        <v>1555</v>
      </c>
      <c r="AX70" s="39" t="s">
        <v>1556</v>
      </c>
      <c r="AY70" s="49"/>
      <c r="AZ70" s="49"/>
      <c r="BA70" s="49"/>
    </row>
    <row r="71" spans="2:53" ht="11.25" hidden="1" customHeight="1">
      <c r="B71" s="36" t="s">
        <v>1557</v>
      </c>
      <c r="C71" s="38" t="s">
        <v>1558</v>
      </c>
      <c r="D71" s="38" t="s">
        <v>1559</v>
      </c>
      <c r="E71" s="38" t="s">
        <v>1560</v>
      </c>
      <c r="F71" s="38" t="s">
        <v>1561</v>
      </c>
      <c r="G71" s="38" t="s">
        <v>1562</v>
      </c>
      <c r="H71" s="38" t="s">
        <v>1563</v>
      </c>
      <c r="I71" s="38" t="s">
        <v>1564</v>
      </c>
      <c r="J71" s="38" t="s">
        <v>1565</v>
      </c>
      <c r="K71" s="38" t="s">
        <v>1566</v>
      </c>
      <c r="L71" s="38" t="s">
        <v>1567</v>
      </c>
      <c r="M71" s="38" t="s">
        <v>1568</v>
      </c>
      <c r="N71" s="38" t="s">
        <v>1569</v>
      </c>
      <c r="O71" s="38" t="s">
        <v>1570</v>
      </c>
      <c r="P71" s="38" t="s">
        <v>1571</v>
      </c>
      <c r="Q71" s="38" t="s">
        <v>1572</v>
      </c>
      <c r="R71" s="38" t="s">
        <v>1573</v>
      </c>
      <c r="S71" s="38" t="s">
        <v>1574</v>
      </c>
      <c r="T71" s="38" t="s">
        <v>1575</v>
      </c>
      <c r="U71" s="38" t="s">
        <v>1576</v>
      </c>
      <c r="V71" s="38" t="s">
        <v>1577</v>
      </c>
      <c r="W71" s="38" t="s">
        <v>1578</v>
      </c>
      <c r="X71" s="38" t="s">
        <v>1579</v>
      </c>
      <c r="Y71" s="38" t="s">
        <v>1580</v>
      </c>
      <c r="Z71" s="39" t="s">
        <v>1581</v>
      </c>
      <c r="AA71" s="40" t="s">
        <v>1582</v>
      </c>
      <c r="AB71" s="38" t="s">
        <v>1583</v>
      </c>
      <c r="AC71" s="38" t="s">
        <v>1584</v>
      </c>
      <c r="AD71" s="38" t="s">
        <v>1585</v>
      </c>
      <c r="AE71" s="38" t="s">
        <v>1586</v>
      </c>
      <c r="AF71" s="38" t="s">
        <v>1587</v>
      </c>
      <c r="AG71" s="38" t="s">
        <v>1588</v>
      </c>
      <c r="AH71" s="38" t="s">
        <v>1589</v>
      </c>
      <c r="AI71" s="38" t="s">
        <v>1590</v>
      </c>
      <c r="AJ71" s="38" t="s">
        <v>1591</v>
      </c>
      <c r="AK71" s="38" t="s">
        <v>1592</v>
      </c>
      <c r="AL71" s="38" t="s">
        <v>1593</v>
      </c>
      <c r="AM71" s="38" t="s">
        <v>1594</v>
      </c>
      <c r="AN71" s="38" t="s">
        <v>1595</v>
      </c>
      <c r="AO71" s="38" t="s">
        <v>1596</v>
      </c>
      <c r="AP71" s="38" t="s">
        <v>1597</v>
      </c>
      <c r="AQ71" s="38" t="s">
        <v>1598</v>
      </c>
      <c r="AR71" s="38" t="s">
        <v>1599</v>
      </c>
      <c r="AS71" s="38" t="s">
        <v>1600</v>
      </c>
      <c r="AT71" s="38" t="s">
        <v>1601</v>
      </c>
      <c r="AU71" s="38" t="s">
        <v>1602</v>
      </c>
      <c r="AV71" s="38" t="s">
        <v>1603</v>
      </c>
      <c r="AW71" s="38" t="s">
        <v>1604</v>
      </c>
      <c r="AX71" s="39" t="s">
        <v>1605</v>
      </c>
      <c r="AY71" s="49"/>
      <c r="AZ71" s="49"/>
      <c r="BA71" s="49"/>
    </row>
    <row r="72" spans="2:53" ht="11.25" hidden="1" customHeight="1">
      <c r="B72" s="36" t="s">
        <v>1606</v>
      </c>
      <c r="C72" s="41" t="s">
        <v>1607</v>
      </c>
      <c r="D72" s="41" t="s">
        <v>1608</v>
      </c>
      <c r="E72" s="41" t="s">
        <v>1609</v>
      </c>
      <c r="F72" s="41" t="s">
        <v>1610</v>
      </c>
      <c r="G72" s="41" t="s">
        <v>1611</v>
      </c>
      <c r="H72" s="41" t="s">
        <v>1612</v>
      </c>
      <c r="I72" s="41" t="s">
        <v>1613</v>
      </c>
      <c r="J72" s="41" t="s">
        <v>1614</v>
      </c>
      <c r="K72" s="41" t="s">
        <v>1615</v>
      </c>
      <c r="L72" s="41" t="s">
        <v>1616</v>
      </c>
      <c r="M72" s="41" t="s">
        <v>1617</v>
      </c>
      <c r="N72" s="41" t="s">
        <v>1618</v>
      </c>
      <c r="O72" s="41" t="s">
        <v>1619</v>
      </c>
      <c r="P72" s="41" t="s">
        <v>1620</v>
      </c>
      <c r="Q72" s="41" t="s">
        <v>1621</v>
      </c>
      <c r="R72" s="41" t="s">
        <v>1622</v>
      </c>
      <c r="S72" s="41" t="s">
        <v>1623</v>
      </c>
      <c r="T72" s="41" t="s">
        <v>1624</v>
      </c>
      <c r="U72" s="41" t="s">
        <v>1625</v>
      </c>
      <c r="V72" s="41" t="s">
        <v>1626</v>
      </c>
      <c r="W72" s="41" t="s">
        <v>1627</v>
      </c>
      <c r="X72" s="41" t="s">
        <v>1628</v>
      </c>
      <c r="Y72" s="41" t="s">
        <v>1629</v>
      </c>
      <c r="Z72" s="42" t="s">
        <v>1630</v>
      </c>
      <c r="AA72" s="40" t="s">
        <v>1631</v>
      </c>
      <c r="AB72" s="38" t="s">
        <v>1632</v>
      </c>
      <c r="AC72" s="38" t="s">
        <v>1633</v>
      </c>
      <c r="AD72" s="38" t="s">
        <v>1634</v>
      </c>
      <c r="AE72" s="38" t="s">
        <v>1635</v>
      </c>
      <c r="AF72" s="38" t="s">
        <v>1636</v>
      </c>
      <c r="AG72" s="38" t="s">
        <v>1637</v>
      </c>
      <c r="AH72" s="38" t="s">
        <v>1638</v>
      </c>
      <c r="AI72" s="38" t="s">
        <v>1639</v>
      </c>
      <c r="AJ72" s="38" t="s">
        <v>1640</v>
      </c>
      <c r="AK72" s="38" t="s">
        <v>1641</v>
      </c>
      <c r="AL72" s="38" t="s">
        <v>1642</v>
      </c>
      <c r="AM72" s="38" t="s">
        <v>1643</v>
      </c>
      <c r="AN72" s="38" t="s">
        <v>1644</v>
      </c>
      <c r="AO72" s="38" t="s">
        <v>1645</v>
      </c>
      <c r="AP72" s="38" t="s">
        <v>1646</v>
      </c>
      <c r="AQ72" s="38" t="s">
        <v>1647</v>
      </c>
      <c r="AR72" s="38" t="s">
        <v>1648</v>
      </c>
      <c r="AS72" s="38" t="s">
        <v>1649</v>
      </c>
      <c r="AT72" s="38" t="s">
        <v>1650</v>
      </c>
      <c r="AU72" s="38" t="s">
        <v>1651</v>
      </c>
      <c r="AV72" s="38" t="s">
        <v>1652</v>
      </c>
      <c r="AW72" s="38" t="s">
        <v>1653</v>
      </c>
      <c r="AX72" s="39" t="s">
        <v>1654</v>
      </c>
      <c r="AY72" s="49"/>
      <c r="AZ72" s="49"/>
      <c r="BA72" s="49"/>
    </row>
    <row r="73" spans="2:53" ht="11.25" hidden="1" customHeight="1">
      <c r="B73" s="36" t="s">
        <v>1655</v>
      </c>
      <c r="C73" s="43" t="s">
        <v>1656</v>
      </c>
      <c r="D73" s="43" t="s">
        <v>1657</v>
      </c>
      <c r="E73" s="43" t="s">
        <v>1658</v>
      </c>
      <c r="F73" s="43" t="s">
        <v>1659</v>
      </c>
      <c r="G73" s="43" t="s">
        <v>1660</v>
      </c>
      <c r="H73" s="43" t="s">
        <v>1661</v>
      </c>
      <c r="I73" s="43" t="s">
        <v>1662</v>
      </c>
      <c r="J73" s="43" t="s">
        <v>1663</v>
      </c>
      <c r="K73" s="43" t="s">
        <v>1664</v>
      </c>
      <c r="L73" s="43" t="s">
        <v>1665</v>
      </c>
      <c r="M73" s="43" t="s">
        <v>1666</v>
      </c>
      <c r="N73" s="43" t="s">
        <v>1667</v>
      </c>
      <c r="O73" s="43" t="s">
        <v>1668</v>
      </c>
      <c r="P73" s="43" t="s">
        <v>1669</v>
      </c>
      <c r="Q73" s="43" t="s">
        <v>1670</v>
      </c>
      <c r="R73" s="43" t="s">
        <v>1671</v>
      </c>
      <c r="S73" s="43" t="s">
        <v>1672</v>
      </c>
      <c r="T73" s="43" t="s">
        <v>1673</v>
      </c>
      <c r="U73" s="43" t="s">
        <v>1674</v>
      </c>
      <c r="V73" s="43" t="s">
        <v>1675</v>
      </c>
      <c r="W73" s="43" t="s">
        <v>1676</v>
      </c>
      <c r="X73" s="43" t="s">
        <v>1677</v>
      </c>
      <c r="Y73" s="43" t="s">
        <v>1678</v>
      </c>
      <c r="Z73" s="44" t="s">
        <v>1679</v>
      </c>
      <c r="AA73" s="40" t="s">
        <v>1680</v>
      </c>
      <c r="AB73" s="38" t="s">
        <v>1681</v>
      </c>
      <c r="AC73" s="38" t="s">
        <v>1682</v>
      </c>
      <c r="AD73" s="38" t="s">
        <v>1683</v>
      </c>
      <c r="AE73" s="38" t="s">
        <v>1684</v>
      </c>
      <c r="AF73" s="38" t="s">
        <v>1685</v>
      </c>
      <c r="AG73" s="38" t="s">
        <v>1686</v>
      </c>
      <c r="AH73" s="38" t="s">
        <v>1687</v>
      </c>
      <c r="AI73" s="38" t="s">
        <v>1688</v>
      </c>
      <c r="AJ73" s="38" t="s">
        <v>1689</v>
      </c>
      <c r="AK73" s="38" t="s">
        <v>1690</v>
      </c>
      <c r="AL73" s="38" t="s">
        <v>1691</v>
      </c>
      <c r="AM73" s="38" t="s">
        <v>1692</v>
      </c>
      <c r="AN73" s="38" t="s">
        <v>1693</v>
      </c>
      <c r="AO73" s="38" t="s">
        <v>1694</v>
      </c>
      <c r="AP73" s="38" t="s">
        <v>1695</v>
      </c>
      <c r="AQ73" s="38" t="s">
        <v>1696</v>
      </c>
      <c r="AR73" s="38" t="s">
        <v>1697</v>
      </c>
      <c r="AS73" s="38" t="s">
        <v>1698</v>
      </c>
      <c r="AT73" s="38" t="s">
        <v>1699</v>
      </c>
      <c r="AU73" s="38" t="s">
        <v>1700</v>
      </c>
      <c r="AV73" s="38" t="s">
        <v>1701</v>
      </c>
      <c r="AW73" s="38" t="s">
        <v>1702</v>
      </c>
      <c r="AX73" s="39" t="s">
        <v>1703</v>
      </c>
      <c r="AY73" s="49"/>
      <c r="AZ73" s="49"/>
      <c r="BA73" s="49"/>
    </row>
    <row r="74" spans="2:53" ht="11.25" hidden="1" customHeight="1">
      <c r="B74" s="36" t="s">
        <v>1704</v>
      </c>
      <c r="C74" s="38" t="s">
        <v>1705</v>
      </c>
      <c r="D74" s="38" t="s">
        <v>1706</v>
      </c>
      <c r="E74" s="38" t="s">
        <v>1707</v>
      </c>
      <c r="F74" s="38" t="s">
        <v>1708</v>
      </c>
      <c r="G74" s="38" t="s">
        <v>1709</v>
      </c>
      <c r="H74" s="38" t="s">
        <v>1710</v>
      </c>
      <c r="I74" s="38" t="s">
        <v>1711</v>
      </c>
      <c r="J74" s="38" t="s">
        <v>1712</v>
      </c>
      <c r="K74" s="38" t="s">
        <v>1713</v>
      </c>
      <c r="L74" s="38" t="s">
        <v>1714</v>
      </c>
      <c r="M74" s="38" t="s">
        <v>1715</v>
      </c>
      <c r="N74" s="38" t="s">
        <v>1716</v>
      </c>
      <c r="O74" s="38" t="s">
        <v>1717</v>
      </c>
      <c r="P74" s="38" t="s">
        <v>1718</v>
      </c>
      <c r="Q74" s="38" t="s">
        <v>1719</v>
      </c>
      <c r="R74" s="38" t="s">
        <v>1720</v>
      </c>
      <c r="S74" s="38" t="s">
        <v>1721</v>
      </c>
      <c r="T74" s="38" t="s">
        <v>1722</v>
      </c>
      <c r="U74" s="38" t="s">
        <v>1723</v>
      </c>
      <c r="V74" s="38" t="s">
        <v>1724</v>
      </c>
      <c r="W74" s="38" t="s">
        <v>1725</v>
      </c>
      <c r="X74" s="38" t="s">
        <v>1726</v>
      </c>
      <c r="Y74" s="38" t="s">
        <v>1727</v>
      </c>
      <c r="Z74" s="39" t="s">
        <v>1728</v>
      </c>
      <c r="AA74" s="40" t="s">
        <v>1729</v>
      </c>
      <c r="AB74" s="38" t="s">
        <v>1730</v>
      </c>
      <c r="AC74" s="38" t="s">
        <v>1731</v>
      </c>
      <c r="AD74" s="38" t="s">
        <v>1732</v>
      </c>
      <c r="AE74" s="38" t="s">
        <v>1733</v>
      </c>
      <c r="AF74" s="38" t="s">
        <v>1734</v>
      </c>
      <c r="AG74" s="38" t="s">
        <v>1735</v>
      </c>
      <c r="AH74" s="38" t="s">
        <v>1736</v>
      </c>
      <c r="AI74" s="38" t="s">
        <v>1737</v>
      </c>
      <c r="AJ74" s="38" t="s">
        <v>1738</v>
      </c>
      <c r="AK74" s="38" t="s">
        <v>1739</v>
      </c>
      <c r="AL74" s="38" t="s">
        <v>1740</v>
      </c>
      <c r="AM74" s="38" t="s">
        <v>1741</v>
      </c>
      <c r="AN74" s="38" t="s">
        <v>1742</v>
      </c>
      <c r="AO74" s="38" t="s">
        <v>1743</v>
      </c>
      <c r="AP74" s="38" t="s">
        <v>1744</v>
      </c>
      <c r="AQ74" s="38" t="s">
        <v>1745</v>
      </c>
      <c r="AR74" s="38" t="s">
        <v>1746</v>
      </c>
      <c r="AS74" s="38" t="s">
        <v>1747</v>
      </c>
      <c r="AT74" s="38" t="s">
        <v>1748</v>
      </c>
      <c r="AU74" s="38" t="s">
        <v>1749</v>
      </c>
      <c r="AV74" s="38" t="s">
        <v>1750</v>
      </c>
      <c r="AW74" s="38" t="s">
        <v>1751</v>
      </c>
      <c r="AX74" s="39" t="s">
        <v>1752</v>
      </c>
      <c r="AY74" s="49"/>
      <c r="AZ74" s="49"/>
      <c r="BA74" s="49"/>
    </row>
    <row r="75" spans="2:53" ht="11.25" hidden="1" customHeight="1">
      <c r="B75" s="36" t="s">
        <v>1753</v>
      </c>
      <c r="C75" s="38" t="s">
        <v>1754</v>
      </c>
      <c r="D75" s="38" t="s">
        <v>1755</v>
      </c>
      <c r="E75" s="38" t="s">
        <v>1756</v>
      </c>
      <c r="F75" s="38" t="s">
        <v>1757</v>
      </c>
      <c r="G75" s="38" t="s">
        <v>1758</v>
      </c>
      <c r="H75" s="38" t="s">
        <v>1759</v>
      </c>
      <c r="I75" s="38" t="s">
        <v>1760</v>
      </c>
      <c r="J75" s="38" t="s">
        <v>1761</v>
      </c>
      <c r="K75" s="38" t="s">
        <v>1762</v>
      </c>
      <c r="L75" s="38" t="s">
        <v>1763</v>
      </c>
      <c r="M75" s="38" t="s">
        <v>1764</v>
      </c>
      <c r="N75" s="38" t="s">
        <v>1765</v>
      </c>
      <c r="O75" s="38" t="s">
        <v>1766</v>
      </c>
      <c r="P75" s="38" t="s">
        <v>1767</v>
      </c>
      <c r="Q75" s="38" t="s">
        <v>1768</v>
      </c>
      <c r="R75" s="38" t="s">
        <v>1769</v>
      </c>
      <c r="S75" s="38" t="s">
        <v>1770</v>
      </c>
      <c r="T75" s="38" t="s">
        <v>1771</v>
      </c>
      <c r="U75" s="38" t="s">
        <v>1772</v>
      </c>
      <c r="V75" s="38" t="s">
        <v>1773</v>
      </c>
      <c r="W75" s="38" t="s">
        <v>1774</v>
      </c>
      <c r="X75" s="38" t="s">
        <v>1775</v>
      </c>
      <c r="Y75" s="38" t="s">
        <v>1776</v>
      </c>
      <c r="Z75" s="39" t="s">
        <v>1777</v>
      </c>
      <c r="AA75" s="40" t="s">
        <v>1778</v>
      </c>
      <c r="AB75" s="38" t="s">
        <v>1779</v>
      </c>
      <c r="AC75" s="38" t="s">
        <v>1780</v>
      </c>
      <c r="AD75" s="38" t="s">
        <v>1781</v>
      </c>
      <c r="AE75" s="38" t="s">
        <v>1782</v>
      </c>
      <c r="AF75" s="38" t="s">
        <v>1783</v>
      </c>
      <c r="AG75" s="38" t="s">
        <v>1784</v>
      </c>
      <c r="AH75" s="38" t="s">
        <v>1785</v>
      </c>
      <c r="AI75" s="38" t="s">
        <v>1786</v>
      </c>
      <c r="AJ75" s="38" t="s">
        <v>1787</v>
      </c>
      <c r="AK75" s="38" t="s">
        <v>1788</v>
      </c>
      <c r="AL75" s="38" t="s">
        <v>1789</v>
      </c>
      <c r="AM75" s="38" t="s">
        <v>1790</v>
      </c>
      <c r="AN75" s="38" t="s">
        <v>1791</v>
      </c>
      <c r="AO75" s="38" t="s">
        <v>1792</v>
      </c>
      <c r="AP75" s="38" t="s">
        <v>1793</v>
      </c>
      <c r="AQ75" s="38" t="s">
        <v>1794</v>
      </c>
      <c r="AR75" s="38" t="s">
        <v>1795</v>
      </c>
      <c r="AS75" s="38" t="s">
        <v>1796</v>
      </c>
      <c r="AT75" s="38" t="s">
        <v>1797</v>
      </c>
      <c r="AU75" s="38" t="s">
        <v>1798</v>
      </c>
      <c r="AV75" s="38" t="s">
        <v>1799</v>
      </c>
      <c r="AW75" s="38" t="s">
        <v>1800</v>
      </c>
      <c r="AX75" s="39" t="s">
        <v>1801</v>
      </c>
      <c r="AY75" s="49"/>
      <c r="AZ75" s="49"/>
      <c r="BA75" s="49"/>
    </row>
    <row r="76" spans="2:53" ht="11.25" hidden="1" customHeight="1">
      <c r="B76" s="36" t="s">
        <v>1802</v>
      </c>
      <c r="C76" s="38" t="s">
        <v>1803</v>
      </c>
      <c r="D76" s="38" t="s">
        <v>1804</v>
      </c>
      <c r="E76" s="38" t="s">
        <v>1805</v>
      </c>
      <c r="F76" s="38" t="s">
        <v>1806</v>
      </c>
      <c r="G76" s="38" t="s">
        <v>1807</v>
      </c>
      <c r="H76" s="38" t="s">
        <v>1808</v>
      </c>
      <c r="I76" s="38" t="s">
        <v>1809</v>
      </c>
      <c r="J76" s="38" t="s">
        <v>1810</v>
      </c>
      <c r="K76" s="38" t="s">
        <v>1811</v>
      </c>
      <c r="L76" s="38" t="s">
        <v>1812</v>
      </c>
      <c r="M76" s="38" t="s">
        <v>1813</v>
      </c>
      <c r="N76" s="38" t="s">
        <v>1814</v>
      </c>
      <c r="O76" s="38" t="s">
        <v>1815</v>
      </c>
      <c r="P76" s="38" t="s">
        <v>1816</v>
      </c>
      <c r="Q76" s="38" t="s">
        <v>1817</v>
      </c>
      <c r="R76" s="38" t="s">
        <v>1818</v>
      </c>
      <c r="S76" s="38" t="s">
        <v>1819</v>
      </c>
      <c r="T76" s="38" t="s">
        <v>1820</v>
      </c>
      <c r="U76" s="38" t="s">
        <v>1821</v>
      </c>
      <c r="V76" s="38" t="s">
        <v>1822</v>
      </c>
      <c r="W76" s="38" t="s">
        <v>1823</v>
      </c>
      <c r="X76" s="38" t="s">
        <v>1824</v>
      </c>
      <c r="Y76" s="38" t="s">
        <v>1825</v>
      </c>
      <c r="Z76" s="39" t="s">
        <v>1826</v>
      </c>
      <c r="AA76" s="40" t="s">
        <v>1827</v>
      </c>
      <c r="AB76" s="38" t="s">
        <v>1828</v>
      </c>
      <c r="AC76" s="38" t="s">
        <v>1829</v>
      </c>
      <c r="AD76" s="38" t="s">
        <v>1830</v>
      </c>
      <c r="AE76" s="38" t="s">
        <v>1831</v>
      </c>
      <c r="AF76" s="38" t="s">
        <v>1832</v>
      </c>
      <c r="AG76" s="38" t="s">
        <v>1833</v>
      </c>
      <c r="AH76" s="38" t="s">
        <v>1834</v>
      </c>
      <c r="AI76" s="38" t="s">
        <v>1835</v>
      </c>
      <c r="AJ76" s="38" t="s">
        <v>1836</v>
      </c>
      <c r="AK76" s="38" t="s">
        <v>1837</v>
      </c>
      <c r="AL76" s="38" t="s">
        <v>1838</v>
      </c>
      <c r="AM76" s="38" t="s">
        <v>1839</v>
      </c>
      <c r="AN76" s="38" t="s">
        <v>1840</v>
      </c>
      <c r="AO76" s="38" t="s">
        <v>1841</v>
      </c>
      <c r="AP76" s="38" t="s">
        <v>1842</v>
      </c>
      <c r="AQ76" s="38" t="s">
        <v>1843</v>
      </c>
      <c r="AR76" s="38" t="s">
        <v>1844</v>
      </c>
      <c r="AS76" s="38" t="s">
        <v>1845</v>
      </c>
      <c r="AT76" s="38" t="s">
        <v>1846</v>
      </c>
      <c r="AU76" s="38" t="s">
        <v>1847</v>
      </c>
      <c r="AV76" s="38" t="s">
        <v>1848</v>
      </c>
      <c r="AW76" s="38" t="s">
        <v>1849</v>
      </c>
      <c r="AX76" s="39" t="s">
        <v>1850</v>
      </c>
      <c r="AY76" s="49"/>
      <c r="AZ76" s="49"/>
      <c r="BA76" s="49"/>
    </row>
    <row r="77" spans="2:53" ht="11.25" hidden="1" customHeight="1">
      <c r="B77" s="36" t="s">
        <v>1851</v>
      </c>
      <c r="C77" s="38" t="s">
        <v>1852</v>
      </c>
      <c r="D77" s="38" t="s">
        <v>1853</v>
      </c>
      <c r="E77" s="38" t="s">
        <v>1854</v>
      </c>
      <c r="F77" s="38" t="s">
        <v>1855</v>
      </c>
      <c r="G77" s="38" t="s">
        <v>1856</v>
      </c>
      <c r="H77" s="38" t="s">
        <v>1857</v>
      </c>
      <c r="I77" s="38" t="s">
        <v>1858</v>
      </c>
      <c r="J77" s="38" t="s">
        <v>1859</v>
      </c>
      <c r="K77" s="38" t="s">
        <v>1860</v>
      </c>
      <c r="L77" s="38" t="s">
        <v>1861</v>
      </c>
      <c r="M77" s="38" t="s">
        <v>1862</v>
      </c>
      <c r="N77" s="38" t="s">
        <v>1863</v>
      </c>
      <c r="O77" s="38" t="s">
        <v>1864</v>
      </c>
      <c r="P77" s="38" t="s">
        <v>1865</v>
      </c>
      <c r="Q77" s="38" t="s">
        <v>1866</v>
      </c>
      <c r="R77" s="38" t="s">
        <v>1867</v>
      </c>
      <c r="S77" s="38" t="s">
        <v>1868</v>
      </c>
      <c r="T77" s="38" t="s">
        <v>1869</v>
      </c>
      <c r="U77" s="38" t="s">
        <v>1870</v>
      </c>
      <c r="V77" s="38" t="s">
        <v>1871</v>
      </c>
      <c r="W77" s="38" t="s">
        <v>1872</v>
      </c>
      <c r="X77" s="38" t="s">
        <v>1873</v>
      </c>
      <c r="Y77" s="38" t="s">
        <v>1874</v>
      </c>
      <c r="Z77" s="39" t="s">
        <v>1875</v>
      </c>
      <c r="AA77" s="40" t="s">
        <v>1876</v>
      </c>
      <c r="AB77" s="38" t="s">
        <v>1877</v>
      </c>
      <c r="AC77" s="38" t="s">
        <v>1878</v>
      </c>
      <c r="AD77" s="38" t="s">
        <v>1879</v>
      </c>
      <c r="AE77" s="38" t="s">
        <v>1880</v>
      </c>
      <c r="AF77" s="38" t="s">
        <v>1881</v>
      </c>
      <c r="AG77" s="38" t="s">
        <v>1882</v>
      </c>
      <c r="AH77" s="38" t="s">
        <v>1883</v>
      </c>
      <c r="AI77" s="38" t="s">
        <v>1884</v>
      </c>
      <c r="AJ77" s="38" t="s">
        <v>1885</v>
      </c>
      <c r="AK77" s="38" t="s">
        <v>1886</v>
      </c>
      <c r="AL77" s="38" t="s">
        <v>1887</v>
      </c>
      <c r="AM77" s="38" t="s">
        <v>1888</v>
      </c>
      <c r="AN77" s="38" t="s">
        <v>1889</v>
      </c>
      <c r="AO77" s="38" t="s">
        <v>1890</v>
      </c>
      <c r="AP77" s="38" t="s">
        <v>1891</v>
      </c>
      <c r="AQ77" s="38" t="s">
        <v>1892</v>
      </c>
      <c r="AR77" s="38" t="s">
        <v>1893</v>
      </c>
      <c r="AS77" s="38" t="s">
        <v>1894</v>
      </c>
      <c r="AT77" s="38" t="s">
        <v>1895</v>
      </c>
      <c r="AU77" s="38" t="s">
        <v>1896</v>
      </c>
      <c r="AV77" s="38" t="s">
        <v>1897</v>
      </c>
      <c r="AW77" s="38" t="s">
        <v>1898</v>
      </c>
      <c r="AX77" s="39" t="s">
        <v>1899</v>
      </c>
      <c r="AY77" s="49"/>
      <c r="AZ77" s="49"/>
      <c r="BA77" s="49"/>
    </row>
    <row r="78" spans="2:53" ht="11.25" hidden="1" customHeight="1">
      <c r="B78" s="36" t="s">
        <v>1900</v>
      </c>
      <c r="C78" s="41" t="s">
        <v>1901</v>
      </c>
      <c r="D78" s="41" t="s">
        <v>1902</v>
      </c>
      <c r="E78" s="41" t="s">
        <v>1903</v>
      </c>
      <c r="F78" s="41" t="s">
        <v>1904</v>
      </c>
      <c r="G78" s="41" t="s">
        <v>1905</v>
      </c>
      <c r="H78" s="41" t="s">
        <v>1906</v>
      </c>
      <c r="I78" s="41" t="s">
        <v>1907</v>
      </c>
      <c r="J78" s="41" t="s">
        <v>1908</v>
      </c>
      <c r="K78" s="41" t="s">
        <v>1909</v>
      </c>
      <c r="L78" s="41" t="s">
        <v>1910</v>
      </c>
      <c r="M78" s="41" t="s">
        <v>1911</v>
      </c>
      <c r="N78" s="41" t="s">
        <v>1912</v>
      </c>
      <c r="O78" s="41" t="s">
        <v>1913</v>
      </c>
      <c r="P78" s="41" t="s">
        <v>1914</v>
      </c>
      <c r="Q78" s="41" t="s">
        <v>1915</v>
      </c>
      <c r="R78" s="41" t="s">
        <v>1916</v>
      </c>
      <c r="S78" s="41" t="s">
        <v>1917</v>
      </c>
      <c r="T78" s="41" t="s">
        <v>1918</v>
      </c>
      <c r="U78" s="41" t="s">
        <v>1919</v>
      </c>
      <c r="V78" s="41" t="s">
        <v>1920</v>
      </c>
      <c r="W78" s="41" t="s">
        <v>1921</v>
      </c>
      <c r="X78" s="41" t="s">
        <v>1922</v>
      </c>
      <c r="Y78" s="41" t="s">
        <v>1923</v>
      </c>
      <c r="Z78" s="42" t="s">
        <v>1924</v>
      </c>
      <c r="AA78" s="40" t="s">
        <v>1925</v>
      </c>
      <c r="AB78" s="38" t="s">
        <v>1926</v>
      </c>
      <c r="AC78" s="38" t="s">
        <v>1927</v>
      </c>
      <c r="AD78" s="38" t="s">
        <v>1928</v>
      </c>
      <c r="AE78" s="38" t="s">
        <v>1929</v>
      </c>
      <c r="AF78" s="38" t="s">
        <v>1930</v>
      </c>
      <c r="AG78" s="38" t="s">
        <v>1931</v>
      </c>
      <c r="AH78" s="38" t="s">
        <v>1932</v>
      </c>
      <c r="AI78" s="38" t="s">
        <v>1933</v>
      </c>
      <c r="AJ78" s="38" t="s">
        <v>1934</v>
      </c>
      <c r="AK78" s="38" t="s">
        <v>1935</v>
      </c>
      <c r="AL78" s="38" t="s">
        <v>1936</v>
      </c>
      <c r="AM78" s="38" t="s">
        <v>1937</v>
      </c>
      <c r="AN78" s="38" t="s">
        <v>1938</v>
      </c>
      <c r="AO78" s="38" t="s">
        <v>1939</v>
      </c>
      <c r="AP78" s="38" t="s">
        <v>1940</v>
      </c>
      <c r="AQ78" s="38" t="s">
        <v>1941</v>
      </c>
      <c r="AR78" s="38" t="s">
        <v>1942</v>
      </c>
      <c r="AS78" s="38" t="s">
        <v>1943</v>
      </c>
      <c r="AT78" s="38" t="s">
        <v>1944</v>
      </c>
      <c r="AU78" s="38" t="s">
        <v>1945</v>
      </c>
      <c r="AV78" s="38" t="s">
        <v>1946</v>
      </c>
      <c r="AW78" s="38" t="s">
        <v>1947</v>
      </c>
      <c r="AX78" s="39" t="s">
        <v>1948</v>
      </c>
      <c r="AY78" s="49"/>
      <c r="AZ78" s="49"/>
      <c r="BA78" s="49"/>
    </row>
    <row r="79" spans="2:53" ht="11.25" hidden="1" customHeight="1">
      <c r="B79" s="36" t="s">
        <v>1949</v>
      </c>
      <c r="C79" s="45" t="s">
        <v>1950</v>
      </c>
      <c r="D79" s="45" t="s">
        <v>1951</v>
      </c>
      <c r="E79" s="45" t="s">
        <v>1952</v>
      </c>
      <c r="F79" s="45" t="s">
        <v>1953</v>
      </c>
      <c r="G79" s="45" t="s">
        <v>1954</v>
      </c>
      <c r="H79" s="45" t="s">
        <v>1955</v>
      </c>
      <c r="I79" s="45" t="s">
        <v>1956</v>
      </c>
      <c r="J79" s="45" t="s">
        <v>1957</v>
      </c>
      <c r="K79" s="45" t="s">
        <v>1958</v>
      </c>
      <c r="L79" s="45" t="s">
        <v>1959</v>
      </c>
      <c r="M79" s="45" t="s">
        <v>1960</v>
      </c>
      <c r="N79" s="45" t="s">
        <v>1961</v>
      </c>
      <c r="O79" s="45" t="s">
        <v>1962</v>
      </c>
      <c r="P79" s="45" t="s">
        <v>1963</v>
      </c>
      <c r="Q79" s="45" t="s">
        <v>1964</v>
      </c>
      <c r="R79" s="45" t="s">
        <v>1965</v>
      </c>
      <c r="S79" s="45" t="s">
        <v>1966</v>
      </c>
      <c r="T79" s="45" t="s">
        <v>1967</v>
      </c>
      <c r="U79" s="45" t="s">
        <v>1968</v>
      </c>
      <c r="V79" s="45" t="s">
        <v>1969</v>
      </c>
      <c r="W79" s="45" t="s">
        <v>1970</v>
      </c>
      <c r="X79" s="45" t="s">
        <v>1971</v>
      </c>
      <c r="Y79" s="45" t="s">
        <v>1972</v>
      </c>
      <c r="Z79" s="46" t="s">
        <v>1973</v>
      </c>
      <c r="AA79" s="47" t="s">
        <v>1974</v>
      </c>
      <c r="AB79" s="41" t="s">
        <v>1975</v>
      </c>
      <c r="AC79" s="41" t="s">
        <v>1976</v>
      </c>
      <c r="AD79" s="41" t="s">
        <v>1977</v>
      </c>
      <c r="AE79" s="41" t="s">
        <v>1978</v>
      </c>
      <c r="AF79" s="41" t="s">
        <v>1979</v>
      </c>
      <c r="AG79" s="41" t="s">
        <v>1980</v>
      </c>
      <c r="AH79" s="41" t="s">
        <v>1981</v>
      </c>
      <c r="AI79" s="41" t="s">
        <v>1982</v>
      </c>
      <c r="AJ79" s="41" t="s">
        <v>1983</v>
      </c>
      <c r="AK79" s="41" t="s">
        <v>1984</v>
      </c>
      <c r="AL79" s="41" t="s">
        <v>1985</v>
      </c>
      <c r="AM79" s="41" t="s">
        <v>1986</v>
      </c>
      <c r="AN79" s="41" t="s">
        <v>1987</v>
      </c>
      <c r="AO79" s="41" t="s">
        <v>1988</v>
      </c>
      <c r="AP79" s="41" t="s">
        <v>1989</v>
      </c>
      <c r="AQ79" s="41" t="s">
        <v>1990</v>
      </c>
      <c r="AR79" s="41" t="s">
        <v>1991</v>
      </c>
      <c r="AS79" s="41" t="s">
        <v>1992</v>
      </c>
      <c r="AT79" s="41" t="s">
        <v>1993</v>
      </c>
      <c r="AU79" s="41" t="s">
        <v>1994</v>
      </c>
      <c r="AV79" s="41" t="s">
        <v>1995</v>
      </c>
      <c r="AW79" s="41" t="s">
        <v>1996</v>
      </c>
      <c r="AX79" s="42" t="s">
        <v>1997</v>
      </c>
      <c r="AY79" s="49"/>
      <c r="AZ79" s="49"/>
      <c r="BA79" s="49"/>
    </row>
    <row r="80" spans="2:53" ht="11.25" customHeight="1">
      <c r="AY80" s="49"/>
      <c r="AZ80" s="49"/>
      <c r="BA80" s="49"/>
    </row>
    <row r="81" spans="1:26" s="61" customFormat="1" ht="11.25" customHeight="1">
      <c r="A81" s="61" t="s">
        <v>3029</v>
      </c>
      <c r="D81" s="62"/>
      <c r="H81" s="62"/>
    </row>
    <row r="82" spans="1:26" s="35" customFormat="1" ht="11.25" hidden="1" customHeight="1">
      <c r="A82" s="26"/>
      <c r="B82" s="26"/>
      <c r="C82" s="34"/>
      <c r="D82" s="34"/>
      <c r="H82" s="34"/>
    </row>
    <row r="83" spans="1:26" ht="11.25" hidden="1" customHeight="1">
      <c r="B83" s="1"/>
      <c r="C83" s="1">
        <v>1</v>
      </c>
      <c r="D83" s="1">
        <v>2</v>
      </c>
      <c r="E83" s="1">
        <v>3</v>
      </c>
      <c r="F83" s="1">
        <v>4</v>
      </c>
      <c r="G83" s="1">
        <v>5</v>
      </c>
      <c r="H83" s="1">
        <v>6</v>
      </c>
      <c r="I83"/>
      <c r="J83"/>
      <c r="K83"/>
      <c r="L83"/>
      <c r="M83"/>
      <c r="N83"/>
      <c r="O83"/>
      <c r="P83"/>
      <c r="Q83" s="49"/>
      <c r="R83" s="49"/>
      <c r="S83" s="49"/>
      <c r="T83" s="49"/>
      <c r="U83" s="49"/>
      <c r="V83" s="49"/>
      <c r="W83" s="49"/>
      <c r="X83" s="49"/>
      <c r="Y83" s="49"/>
      <c r="Z83" s="49"/>
    </row>
    <row r="84" spans="1:26" ht="11.25" hidden="1" customHeight="1">
      <c r="B84" s="1" t="s">
        <v>415</v>
      </c>
      <c r="C84" s="53" t="s">
        <v>1998</v>
      </c>
      <c r="D84" s="53" t="s">
        <v>3030</v>
      </c>
      <c r="E84" s="53" t="s">
        <v>3030</v>
      </c>
      <c r="F84" s="53" t="s">
        <v>3030</v>
      </c>
      <c r="G84" s="53" t="s">
        <v>3030</v>
      </c>
      <c r="H84" s="53" t="s">
        <v>2052</v>
      </c>
      <c r="I84"/>
      <c r="J84"/>
      <c r="K84"/>
      <c r="L84"/>
      <c r="M84"/>
      <c r="N84"/>
      <c r="O84"/>
      <c r="P84"/>
      <c r="Q84" s="49"/>
      <c r="R84" s="49"/>
      <c r="S84" s="49"/>
      <c r="T84" s="49"/>
      <c r="U84" s="49"/>
      <c r="V84" s="49"/>
      <c r="W84" s="49"/>
      <c r="X84" s="49"/>
      <c r="Y84" s="49"/>
      <c r="Z84" s="49"/>
    </row>
    <row r="85" spans="1:26" ht="11.25" hidden="1" customHeight="1">
      <c r="B85" s="1" t="s">
        <v>416</v>
      </c>
      <c r="C85" s="53" t="s">
        <v>1998</v>
      </c>
      <c r="D85" s="53" t="s">
        <v>3030</v>
      </c>
      <c r="E85" s="53" t="s">
        <v>3030</v>
      </c>
      <c r="F85" s="53" t="s">
        <v>3030</v>
      </c>
      <c r="G85" s="53" t="s">
        <v>3030</v>
      </c>
      <c r="H85" s="53" t="s">
        <v>2052</v>
      </c>
      <c r="I85"/>
      <c r="J85"/>
      <c r="K85"/>
      <c r="L85"/>
      <c r="M85"/>
      <c r="N85"/>
      <c r="O85"/>
      <c r="P85"/>
      <c r="Q85" s="49"/>
      <c r="R85" s="49"/>
      <c r="S85" s="49"/>
      <c r="T85" s="49"/>
      <c r="U85" s="49"/>
      <c r="V85" s="49"/>
      <c r="W85" s="49"/>
      <c r="X85" s="49"/>
      <c r="Y85" s="49"/>
      <c r="Z85" s="49"/>
    </row>
    <row r="86" spans="1:26" ht="11.25" hidden="1" customHeight="1">
      <c r="B86" s="1" t="s">
        <v>417</v>
      </c>
      <c r="C86" s="53" t="s">
        <v>1998</v>
      </c>
      <c r="D86" s="53" t="s">
        <v>3030</v>
      </c>
      <c r="E86" s="53" t="s">
        <v>3030</v>
      </c>
      <c r="F86" s="53" t="s">
        <v>3030</v>
      </c>
      <c r="G86" s="53" t="s">
        <v>3030</v>
      </c>
      <c r="H86" s="53" t="s">
        <v>2052</v>
      </c>
      <c r="I86"/>
      <c r="J86"/>
      <c r="K86"/>
      <c r="L86"/>
      <c r="M86"/>
      <c r="N86"/>
      <c r="O86"/>
      <c r="P86"/>
      <c r="Q86" s="49"/>
      <c r="R86" s="49"/>
      <c r="S86" s="49"/>
      <c r="T86" s="49"/>
      <c r="U86" s="49"/>
      <c r="V86" s="49"/>
      <c r="W86" s="49"/>
      <c r="X86" s="49"/>
      <c r="Y86" s="49"/>
      <c r="Z86" s="49"/>
    </row>
    <row r="87" spans="1:26" ht="11.25" hidden="1" customHeight="1">
      <c r="B87" s="1" t="s">
        <v>418</v>
      </c>
      <c r="C87" s="53" t="s">
        <v>1998</v>
      </c>
      <c r="D87" s="53" t="s">
        <v>3030</v>
      </c>
      <c r="E87" s="53" t="s">
        <v>3030</v>
      </c>
      <c r="F87" s="53" t="s">
        <v>3030</v>
      </c>
      <c r="G87" s="53" t="s">
        <v>3030</v>
      </c>
      <c r="H87" s="53" t="s">
        <v>2052</v>
      </c>
      <c r="I87"/>
      <c r="J87"/>
      <c r="K87"/>
      <c r="L87"/>
      <c r="M87"/>
      <c r="N87"/>
      <c r="O87"/>
      <c r="P87"/>
      <c r="Q87" s="49"/>
      <c r="R87" s="49"/>
      <c r="S87" s="49"/>
      <c r="T87" s="49"/>
      <c r="U87" s="49"/>
      <c r="V87" s="49"/>
      <c r="W87" s="49"/>
      <c r="X87" s="49"/>
      <c r="Y87" s="49"/>
      <c r="Z87" s="49"/>
    </row>
    <row r="89" spans="1:26" s="61" customFormat="1" ht="11.25" customHeight="1">
      <c r="A89" s="61" t="s">
        <v>2043</v>
      </c>
      <c r="D89" s="62"/>
      <c r="H89" s="62"/>
    </row>
    <row r="90" spans="1:26" s="35" customFormat="1" ht="11.25" hidden="1" customHeight="1">
      <c r="A90" s="26"/>
      <c r="B90" s="26"/>
      <c r="C90" s="34"/>
      <c r="D90" s="34"/>
      <c r="H90" s="34"/>
    </row>
    <row r="91" spans="1:26" ht="11.25" hidden="1" customHeight="1">
      <c r="B91" s="1"/>
      <c r="C91" s="1">
        <v>1</v>
      </c>
      <c r="D91" s="1">
        <v>2</v>
      </c>
      <c r="E91" s="1">
        <v>3</v>
      </c>
      <c r="F91" s="1">
        <v>4</v>
      </c>
      <c r="G91" s="1">
        <v>5</v>
      </c>
      <c r="H91" s="1">
        <v>6</v>
      </c>
      <c r="I91" s="1">
        <v>7</v>
      </c>
      <c r="J91" s="1">
        <v>8</v>
      </c>
      <c r="K91" s="1">
        <v>9</v>
      </c>
      <c r="L91" s="1">
        <v>10</v>
      </c>
      <c r="M91" s="1">
        <v>11</v>
      </c>
      <c r="N91" s="1">
        <v>12</v>
      </c>
      <c r="O91" s="49"/>
      <c r="P91" s="49"/>
      <c r="Q91" s="49"/>
      <c r="R91" s="49"/>
      <c r="S91" s="49"/>
      <c r="T91" s="49"/>
      <c r="U91" s="49"/>
      <c r="V91" s="49"/>
      <c r="W91" s="49"/>
      <c r="X91" s="49"/>
      <c r="Y91" s="49"/>
      <c r="Z91" s="49"/>
    </row>
    <row r="92" spans="1:26" ht="11.25" hidden="1" customHeight="1">
      <c r="B92" s="1" t="s">
        <v>415</v>
      </c>
      <c r="C92" s="9" t="s">
        <v>1998</v>
      </c>
      <c r="D92" s="9" t="s">
        <v>2000</v>
      </c>
      <c r="E92" s="9" t="s">
        <v>2002</v>
      </c>
      <c r="F92" s="9" t="s">
        <v>819</v>
      </c>
      <c r="G92" s="9" t="s">
        <v>749</v>
      </c>
      <c r="H92" s="9" t="s">
        <v>443</v>
      </c>
      <c r="I92" s="9" t="s">
        <v>591</v>
      </c>
      <c r="J92" s="9" t="s">
        <v>444</v>
      </c>
      <c r="K92" s="9" t="s">
        <v>592</v>
      </c>
      <c r="L92" s="9" t="s">
        <v>445</v>
      </c>
      <c r="M92" s="9" t="s">
        <v>593</v>
      </c>
      <c r="N92" s="9" t="s">
        <v>1999</v>
      </c>
      <c r="O92" s="49"/>
      <c r="P92" s="49"/>
      <c r="Q92" s="49"/>
      <c r="R92" s="49"/>
      <c r="S92" s="49"/>
      <c r="T92" s="49"/>
      <c r="U92" s="49"/>
      <c r="V92" s="49"/>
      <c r="W92" s="49"/>
      <c r="X92" s="49"/>
      <c r="Y92" s="49"/>
      <c r="Z92" s="49"/>
    </row>
    <row r="93" spans="1:26" ht="11.25" hidden="1" customHeight="1">
      <c r="B93" s="1" t="s">
        <v>416</v>
      </c>
      <c r="C93" s="9" t="s">
        <v>1998</v>
      </c>
      <c r="D93" s="9" t="s">
        <v>2001</v>
      </c>
      <c r="E93" s="9" t="s">
        <v>2003</v>
      </c>
      <c r="F93" s="9" t="s">
        <v>820</v>
      </c>
      <c r="G93" s="9" t="s">
        <v>609</v>
      </c>
      <c r="H93" s="9" t="s">
        <v>460</v>
      </c>
      <c r="I93" s="9" t="s">
        <v>610</v>
      </c>
      <c r="J93" s="9" t="s">
        <v>461</v>
      </c>
      <c r="K93" s="9" t="s">
        <v>611</v>
      </c>
      <c r="L93" s="9" t="s">
        <v>462</v>
      </c>
      <c r="M93" s="9" t="s">
        <v>612</v>
      </c>
      <c r="N93" s="9" t="s">
        <v>1999</v>
      </c>
      <c r="O93" s="49"/>
      <c r="P93" s="49"/>
      <c r="Q93" s="49"/>
      <c r="R93" s="49"/>
      <c r="S93" s="49"/>
      <c r="T93" s="49"/>
      <c r="U93" s="49"/>
      <c r="V93" s="49"/>
      <c r="W93" s="49"/>
      <c r="X93" s="49"/>
      <c r="Y93" s="49"/>
      <c r="Z93" s="49"/>
    </row>
    <row r="94" spans="1:26" ht="11.25" hidden="1" customHeight="1">
      <c r="B94" s="1" t="s">
        <v>417</v>
      </c>
      <c r="C94" s="9" t="s">
        <v>1998</v>
      </c>
      <c r="D94" s="9" t="s">
        <v>434</v>
      </c>
      <c r="E94" s="9" t="s">
        <v>4</v>
      </c>
      <c r="F94" s="9" t="s">
        <v>478</v>
      </c>
      <c r="G94" s="9" t="s">
        <v>628</v>
      </c>
      <c r="H94" s="9" t="s">
        <v>479</v>
      </c>
      <c r="I94" s="9" t="s">
        <v>629</v>
      </c>
      <c r="J94" s="9" t="s">
        <v>480</v>
      </c>
      <c r="K94" s="9" t="s">
        <v>630</v>
      </c>
      <c r="L94" s="9" t="s">
        <v>481</v>
      </c>
      <c r="M94" s="9" t="s">
        <v>631</v>
      </c>
      <c r="N94" s="9" t="s">
        <v>1999</v>
      </c>
      <c r="O94" s="49"/>
      <c r="P94" s="49"/>
      <c r="Q94" s="49"/>
      <c r="R94" s="49"/>
      <c r="S94" s="49"/>
      <c r="T94" s="49"/>
      <c r="U94" s="49"/>
      <c r="V94" s="49"/>
      <c r="W94" s="49"/>
      <c r="X94" s="49"/>
      <c r="Y94" s="49"/>
      <c r="Z94" s="49"/>
    </row>
    <row r="95" spans="1:26" ht="11.25" hidden="1" customHeight="1">
      <c r="B95" s="1" t="s">
        <v>418</v>
      </c>
      <c r="C95" s="9" t="s">
        <v>1998</v>
      </c>
      <c r="D95" s="9" t="s">
        <v>435</v>
      </c>
      <c r="E95" s="9" t="s">
        <v>6</v>
      </c>
      <c r="F95" s="9" t="s">
        <v>497</v>
      </c>
      <c r="G95" s="9" t="s">
        <v>647</v>
      </c>
      <c r="H95" s="9" t="s">
        <v>498</v>
      </c>
      <c r="I95" s="9" t="s">
        <v>648</v>
      </c>
      <c r="J95" s="9" t="s">
        <v>499</v>
      </c>
      <c r="K95" s="9" t="s">
        <v>649</v>
      </c>
      <c r="L95" s="9" t="s">
        <v>500</v>
      </c>
      <c r="M95" s="9" t="s">
        <v>650</v>
      </c>
      <c r="N95" s="9" t="s">
        <v>1999</v>
      </c>
      <c r="O95" s="49"/>
      <c r="P95" s="49"/>
      <c r="Q95" s="49"/>
      <c r="R95" s="49"/>
      <c r="S95" s="49"/>
      <c r="T95" s="49"/>
      <c r="U95" s="49"/>
      <c r="V95" s="49"/>
      <c r="W95" s="49"/>
      <c r="X95" s="49"/>
      <c r="Y95" s="49"/>
      <c r="Z95" s="49"/>
    </row>
    <row r="96" spans="1:26" ht="11.25" hidden="1" customHeight="1">
      <c r="B96" s="1" t="s">
        <v>419</v>
      </c>
      <c r="C96" s="9" t="s">
        <v>1998</v>
      </c>
      <c r="D96" s="9" t="s">
        <v>436</v>
      </c>
      <c r="E96" s="9" t="s">
        <v>1</v>
      </c>
      <c r="F96" s="9" t="s">
        <v>516</v>
      </c>
      <c r="G96" s="9" t="s">
        <v>665</v>
      </c>
      <c r="H96" s="9" t="s">
        <v>517</v>
      </c>
      <c r="I96" s="9" t="s">
        <v>666</v>
      </c>
      <c r="J96" s="9" t="s">
        <v>518</v>
      </c>
      <c r="K96" s="9" t="s">
        <v>667</v>
      </c>
      <c r="L96" s="9" t="s">
        <v>519</v>
      </c>
      <c r="M96" s="9" t="s">
        <v>668</v>
      </c>
      <c r="N96" s="9" t="s">
        <v>1999</v>
      </c>
      <c r="O96" s="49"/>
      <c r="P96" s="49"/>
      <c r="Q96" s="49"/>
      <c r="R96" s="49"/>
      <c r="S96" s="49"/>
      <c r="T96" s="49"/>
      <c r="U96" s="49"/>
      <c r="V96" s="49"/>
      <c r="W96" s="49"/>
      <c r="X96" s="49"/>
      <c r="Y96" s="49"/>
      <c r="Z96" s="49"/>
    </row>
    <row r="97" spans="1:26" ht="11.25" hidden="1" customHeight="1">
      <c r="B97" s="1" t="s">
        <v>420</v>
      </c>
      <c r="C97" s="9" t="s">
        <v>1998</v>
      </c>
      <c r="D97" s="9" t="s">
        <v>437</v>
      </c>
      <c r="E97" s="9" t="s">
        <v>3</v>
      </c>
      <c r="F97" s="9" t="s">
        <v>535</v>
      </c>
      <c r="G97" s="9" t="s">
        <v>684</v>
      </c>
      <c r="H97" s="9" t="s">
        <v>536</v>
      </c>
      <c r="I97" s="9" t="s">
        <v>685</v>
      </c>
      <c r="J97" s="9" t="s">
        <v>537</v>
      </c>
      <c r="K97" s="9" t="s">
        <v>686</v>
      </c>
      <c r="L97" s="9" t="s">
        <v>538</v>
      </c>
      <c r="M97" s="9" t="s">
        <v>687</v>
      </c>
      <c r="N97" s="9" t="s">
        <v>1999</v>
      </c>
      <c r="O97" s="49"/>
      <c r="P97" s="49"/>
      <c r="Q97" s="49"/>
      <c r="R97" s="49"/>
      <c r="S97" s="49"/>
      <c r="T97" s="49"/>
      <c r="U97" s="49"/>
      <c r="V97" s="49"/>
      <c r="W97" s="49"/>
      <c r="X97" s="49"/>
      <c r="Y97" s="49"/>
      <c r="Z97" s="49"/>
    </row>
    <row r="98" spans="1:26" ht="11.25" hidden="1" customHeight="1">
      <c r="B98" s="1" t="s">
        <v>421</v>
      </c>
      <c r="C98" s="9" t="s">
        <v>1998</v>
      </c>
      <c r="D98" s="9" t="s">
        <v>438</v>
      </c>
      <c r="E98" s="9" t="s">
        <v>5</v>
      </c>
      <c r="F98" s="9" t="s">
        <v>554</v>
      </c>
      <c r="G98" s="9" t="s">
        <v>703</v>
      </c>
      <c r="H98" s="9" t="s">
        <v>555</v>
      </c>
      <c r="I98" s="9" t="s">
        <v>704</v>
      </c>
      <c r="J98" s="9" t="s">
        <v>556</v>
      </c>
      <c r="K98" s="9" t="s">
        <v>705</v>
      </c>
      <c r="L98" s="9" t="s">
        <v>557</v>
      </c>
      <c r="M98" s="9" t="s">
        <v>706</v>
      </c>
      <c r="N98" s="9" t="s">
        <v>1999</v>
      </c>
      <c r="O98" s="49"/>
      <c r="P98" s="49"/>
      <c r="Q98" s="49"/>
      <c r="R98" s="49"/>
      <c r="S98" s="49"/>
      <c r="T98" s="49"/>
      <c r="U98" s="49"/>
      <c r="V98" s="49"/>
      <c r="W98" s="49"/>
      <c r="X98" s="49"/>
      <c r="Y98" s="49"/>
      <c r="Z98" s="49"/>
    </row>
    <row r="99" spans="1:26" ht="11.25" hidden="1" customHeight="1">
      <c r="B99" s="1" t="s">
        <v>422</v>
      </c>
      <c r="C99" s="9" t="s">
        <v>1998</v>
      </c>
      <c r="D99" s="9" t="s">
        <v>439</v>
      </c>
      <c r="E99" s="9" t="s">
        <v>7</v>
      </c>
      <c r="F99" s="9" t="s">
        <v>573</v>
      </c>
      <c r="G99" s="9" t="s">
        <v>722</v>
      </c>
      <c r="H99" s="9" t="s">
        <v>574</v>
      </c>
      <c r="I99" s="9" t="s">
        <v>723</v>
      </c>
      <c r="J99" s="9" t="s">
        <v>575</v>
      </c>
      <c r="K99" s="9" t="s">
        <v>724</v>
      </c>
      <c r="L99" s="9" t="s">
        <v>576</v>
      </c>
      <c r="M99" s="9" t="s">
        <v>725</v>
      </c>
      <c r="N99" s="9" t="s">
        <v>1999</v>
      </c>
      <c r="O99" s="49"/>
      <c r="P99" s="49"/>
      <c r="Q99" s="49"/>
      <c r="R99" s="49"/>
      <c r="S99" s="49"/>
      <c r="T99" s="49"/>
      <c r="U99" s="49"/>
      <c r="V99" s="49"/>
      <c r="W99" s="49"/>
      <c r="X99" s="49"/>
      <c r="Y99" s="49"/>
      <c r="Z99" s="49"/>
    </row>
    <row r="101" spans="1:26" s="61" customFormat="1" ht="11.25" customHeight="1">
      <c r="A101" s="61" t="s">
        <v>2004</v>
      </c>
      <c r="D101" s="62"/>
      <c r="H101" s="62"/>
    </row>
    <row r="102" spans="1:26" s="35" customFormat="1" ht="11.25" hidden="1" customHeight="1">
      <c r="A102" s="26"/>
      <c r="B102" s="26"/>
      <c r="C102" s="34"/>
      <c r="D102" s="34"/>
      <c r="H102" s="34"/>
    </row>
    <row r="103" spans="1:26" ht="11.25" hidden="1" customHeight="1">
      <c r="B103" s="1"/>
      <c r="C103" s="1">
        <v>1</v>
      </c>
      <c r="D103" s="1">
        <v>2</v>
      </c>
      <c r="E103" s="1">
        <v>3</v>
      </c>
      <c r="F103" s="1">
        <v>4</v>
      </c>
      <c r="G103" s="1">
        <v>5</v>
      </c>
      <c r="H103" s="1">
        <v>6</v>
      </c>
      <c r="I103" s="1">
        <v>7</v>
      </c>
      <c r="J103" s="1">
        <v>8</v>
      </c>
      <c r="K103" s="1">
        <v>9</v>
      </c>
      <c r="L103" s="1">
        <v>10</v>
      </c>
      <c r="M103" s="1">
        <v>11</v>
      </c>
      <c r="N103" s="1">
        <v>12</v>
      </c>
      <c r="O103" s="49"/>
      <c r="P103" s="49"/>
      <c r="Q103" s="49"/>
      <c r="R103" s="49"/>
      <c r="S103" s="49"/>
      <c r="T103" s="49"/>
      <c r="U103" s="49"/>
      <c r="V103" s="49"/>
      <c r="W103" s="49"/>
      <c r="X103" s="49"/>
      <c r="Y103" s="49"/>
      <c r="Z103" s="49"/>
    </row>
    <row r="104" spans="1:26" ht="11.25" hidden="1" customHeight="1">
      <c r="B104" s="1" t="s">
        <v>415</v>
      </c>
      <c r="C104" s="9" t="s">
        <v>1998</v>
      </c>
      <c r="D104" s="9" t="s">
        <v>2000</v>
      </c>
      <c r="E104" s="9" t="s">
        <v>2005</v>
      </c>
      <c r="F104" s="9" t="s">
        <v>436</v>
      </c>
      <c r="G104" s="9" t="s">
        <v>438</v>
      </c>
      <c r="H104" s="9" t="s">
        <v>440</v>
      </c>
      <c r="I104" s="9" t="s">
        <v>4</v>
      </c>
      <c r="J104" s="9" t="s">
        <v>1</v>
      </c>
      <c r="K104" s="9" t="s">
        <v>5</v>
      </c>
      <c r="L104" s="9" t="s">
        <v>819</v>
      </c>
      <c r="M104" s="9" t="s">
        <v>478</v>
      </c>
      <c r="N104" s="9" t="s">
        <v>1999</v>
      </c>
      <c r="O104" s="49"/>
      <c r="P104" s="49"/>
      <c r="Q104" s="49"/>
      <c r="R104" s="49"/>
      <c r="S104" s="49"/>
      <c r="T104" s="49"/>
      <c r="U104" s="49"/>
      <c r="V104" s="49"/>
      <c r="W104" s="49"/>
      <c r="X104" s="49"/>
      <c r="Y104" s="49"/>
      <c r="Z104" s="49"/>
    </row>
    <row r="105" spans="1:26" ht="11.25" hidden="1" customHeight="1">
      <c r="B105" s="1" t="s">
        <v>416</v>
      </c>
      <c r="C105" s="9" t="s">
        <v>1998</v>
      </c>
      <c r="D105" s="9" t="s">
        <v>2000</v>
      </c>
      <c r="E105" s="9" t="s">
        <v>2005</v>
      </c>
      <c r="F105" s="9" t="s">
        <v>436</v>
      </c>
      <c r="G105" s="9" t="s">
        <v>438</v>
      </c>
      <c r="H105" s="9" t="s">
        <v>440</v>
      </c>
      <c r="I105" s="9" t="s">
        <v>4</v>
      </c>
      <c r="J105" s="9" t="s">
        <v>1</v>
      </c>
      <c r="K105" s="9" t="s">
        <v>5</v>
      </c>
      <c r="L105" s="9" t="s">
        <v>819</v>
      </c>
      <c r="M105" s="9" t="s">
        <v>478</v>
      </c>
      <c r="N105" s="9" t="s">
        <v>1999</v>
      </c>
      <c r="O105" s="49"/>
      <c r="P105" s="49"/>
      <c r="Q105" s="49"/>
      <c r="R105" s="49"/>
      <c r="S105" s="49"/>
      <c r="T105" s="49"/>
      <c r="U105" s="49"/>
      <c r="V105" s="49"/>
      <c r="W105" s="49"/>
      <c r="X105" s="49"/>
      <c r="Y105" s="49"/>
      <c r="Z105" s="49"/>
    </row>
    <row r="106" spans="1:26" ht="11.25" hidden="1" customHeight="1">
      <c r="B106" s="1" t="s">
        <v>417</v>
      </c>
      <c r="C106" s="9" t="s">
        <v>1998</v>
      </c>
      <c r="D106" s="9" t="s">
        <v>2000</v>
      </c>
      <c r="E106" s="9" t="s">
        <v>2005</v>
      </c>
      <c r="F106" s="9" t="s">
        <v>436</v>
      </c>
      <c r="G106" s="9" t="s">
        <v>438</v>
      </c>
      <c r="H106" s="9" t="s">
        <v>440</v>
      </c>
      <c r="I106" s="9" t="s">
        <v>4</v>
      </c>
      <c r="J106" s="9" t="s">
        <v>1</v>
      </c>
      <c r="K106" s="9" t="s">
        <v>5</v>
      </c>
      <c r="L106" s="9" t="s">
        <v>819</v>
      </c>
      <c r="M106" s="9" t="s">
        <v>478</v>
      </c>
      <c r="N106" s="9" t="s">
        <v>1999</v>
      </c>
      <c r="O106" s="49"/>
      <c r="P106" s="49"/>
      <c r="Q106" s="49"/>
      <c r="R106" s="49"/>
      <c r="S106" s="49"/>
      <c r="T106" s="49"/>
      <c r="U106" s="49"/>
      <c r="V106" s="49"/>
      <c r="W106" s="49"/>
      <c r="X106" s="49"/>
      <c r="Y106" s="49"/>
      <c r="Z106" s="49"/>
    </row>
    <row r="107" spans="1:26" ht="11.25" hidden="1" customHeight="1">
      <c r="B107" s="1" t="s">
        <v>418</v>
      </c>
      <c r="C107" s="9" t="s">
        <v>1998</v>
      </c>
      <c r="D107" s="9" t="s">
        <v>2000</v>
      </c>
      <c r="E107" s="9" t="s">
        <v>2005</v>
      </c>
      <c r="F107" s="9" t="s">
        <v>436</v>
      </c>
      <c r="G107" s="9" t="s">
        <v>438</v>
      </c>
      <c r="H107" s="9" t="s">
        <v>440</v>
      </c>
      <c r="I107" s="9" t="s">
        <v>4</v>
      </c>
      <c r="J107" s="9" t="s">
        <v>1</v>
      </c>
      <c r="K107" s="9" t="s">
        <v>5</v>
      </c>
      <c r="L107" s="9" t="s">
        <v>819</v>
      </c>
      <c r="M107" s="9" t="s">
        <v>478</v>
      </c>
      <c r="N107" s="9" t="s">
        <v>1999</v>
      </c>
      <c r="O107" s="49"/>
      <c r="P107" s="49"/>
      <c r="Q107" s="49"/>
      <c r="R107" s="49"/>
      <c r="S107" s="49"/>
      <c r="T107" s="49"/>
      <c r="U107" s="49"/>
      <c r="V107" s="49"/>
      <c r="W107" s="49"/>
      <c r="X107" s="49"/>
      <c r="Y107" s="49"/>
      <c r="Z107" s="49"/>
    </row>
    <row r="108" spans="1:26" ht="11.25" hidden="1" customHeight="1">
      <c r="B108" s="1" t="s">
        <v>419</v>
      </c>
      <c r="C108" s="9" t="s">
        <v>1998</v>
      </c>
      <c r="D108" s="9" t="s">
        <v>2001</v>
      </c>
      <c r="E108" s="9" t="s">
        <v>2006</v>
      </c>
      <c r="F108" s="9" t="s">
        <v>437</v>
      </c>
      <c r="G108" s="9" t="s">
        <v>439</v>
      </c>
      <c r="H108" s="9" t="s">
        <v>2</v>
      </c>
      <c r="I108" s="9" t="s">
        <v>6</v>
      </c>
      <c r="J108" s="9" t="s">
        <v>3</v>
      </c>
      <c r="K108" s="9" t="s">
        <v>7</v>
      </c>
      <c r="L108" s="9" t="s">
        <v>820</v>
      </c>
      <c r="M108" s="9" t="s">
        <v>497</v>
      </c>
      <c r="N108" s="9" t="s">
        <v>1999</v>
      </c>
      <c r="O108" s="49"/>
      <c r="P108" s="49"/>
      <c r="Q108" s="49"/>
      <c r="R108" s="49"/>
      <c r="S108" s="49"/>
      <c r="T108" s="49"/>
      <c r="U108" s="49"/>
      <c r="V108" s="49"/>
      <c r="W108" s="49"/>
      <c r="X108" s="49"/>
      <c r="Y108" s="49"/>
      <c r="Z108" s="49"/>
    </row>
    <row r="109" spans="1:26" ht="11.25" hidden="1" customHeight="1">
      <c r="B109" s="1" t="s">
        <v>420</v>
      </c>
      <c r="C109" s="9" t="s">
        <v>1998</v>
      </c>
      <c r="D109" s="9" t="s">
        <v>2001</v>
      </c>
      <c r="E109" s="9" t="s">
        <v>2006</v>
      </c>
      <c r="F109" s="9" t="s">
        <v>437</v>
      </c>
      <c r="G109" s="9" t="s">
        <v>439</v>
      </c>
      <c r="H109" s="9" t="s">
        <v>2</v>
      </c>
      <c r="I109" s="9" t="s">
        <v>6</v>
      </c>
      <c r="J109" s="9" t="s">
        <v>3</v>
      </c>
      <c r="K109" s="9" t="s">
        <v>7</v>
      </c>
      <c r="L109" s="9" t="s">
        <v>820</v>
      </c>
      <c r="M109" s="9" t="s">
        <v>497</v>
      </c>
      <c r="N109" s="9" t="s">
        <v>1999</v>
      </c>
      <c r="O109" s="49"/>
      <c r="P109" s="49"/>
      <c r="Q109" s="49"/>
      <c r="R109" s="49"/>
      <c r="S109" s="49"/>
      <c r="T109" s="49"/>
      <c r="U109" s="49"/>
      <c r="V109" s="49"/>
      <c r="W109" s="49"/>
      <c r="X109" s="49"/>
      <c r="Y109" s="49"/>
      <c r="Z109" s="49"/>
    </row>
    <row r="110" spans="1:26" ht="11.25" hidden="1" customHeight="1">
      <c r="B110" s="1" t="s">
        <v>421</v>
      </c>
      <c r="C110" s="9" t="s">
        <v>1998</v>
      </c>
      <c r="D110" s="9" t="s">
        <v>2001</v>
      </c>
      <c r="E110" s="9" t="s">
        <v>2006</v>
      </c>
      <c r="F110" s="9" t="s">
        <v>437</v>
      </c>
      <c r="G110" s="9" t="s">
        <v>439</v>
      </c>
      <c r="H110" s="9" t="s">
        <v>2</v>
      </c>
      <c r="I110" s="9" t="s">
        <v>6</v>
      </c>
      <c r="J110" s="9" t="s">
        <v>3</v>
      </c>
      <c r="K110" s="9" t="s">
        <v>7</v>
      </c>
      <c r="L110" s="9" t="s">
        <v>820</v>
      </c>
      <c r="M110" s="9" t="s">
        <v>497</v>
      </c>
      <c r="N110" s="9" t="s">
        <v>1999</v>
      </c>
      <c r="O110" s="49"/>
      <c r="P110" s="49"/>
      <c r="Q110" s="49"/>
      <c r="R110" s="49"/>
      <c r="S110" s="49"/>
      <c r="T110" s="49"/>
      <c r="U110" s="49"/>
      <c r="V110" s="49"/>
      <c r="W110" s="49"/>
      <c r="X110" s="49"/>
      <c r="Y110" s="49"/>
      <c r="Z110" s="49"/>
    </row>
    <row r="111" spans="1:26" ht="11.25" hidden="1" customHeight="1">
      <c r="B111" s="1" t="s">
        <v>422</v>
      </c>
      <c r="C111" s="9" t="s">
        <v>1998</v>
      </c>
      <c r="D111" s="9" t="s">
        <v>2001</v>
      </c>
      <c r="E111" s="9" t="s">
        <v>2006</v>
      </c>
      <c r="F111" s="9" t="s">
        <v>437</v>
      </c>
      <c r="G111" s="9" t="s">
        <v>439</v>
      </c>
      <c r="H111" s="9" t="s">
        <v>2</v>
      </c>
      <c r="I111" s="9" t="s">
        <v>6</v>
      </c>
      <c r="J111" s="9" t="s">
        <v>3</v>
      </c>
      <c r="K111" s="9" t="s">
        <v>7</v>
      </c>
      <c r="L111" s="9" t="s">
        <v>820</v>
      </c>
      <c r="M111" s="9" t="s">
        <v>497</v>
      </c>
      <c r="N111" s="9" t="s">
        <v>1999</v>
      </c>
      <c r="O111" s="49"/>
      <c r="P111" s="49"/>
      <c r="Q111" s="49"/>
      <c r="R111" s="49"/>
      <c r="S111" s="49"/>
      <c r="T111" s="49"/>
      <c r="U111" s="49"/>
      <c r="V111" s="49"/>
      <c r="W111" s="49"/>
      <c r="X111" s="49"/>
      <c r="Y111" s="49"/>
      <c r="Z111" s="49"/>
    </row>
    <row r="113" spans="1:26" s="61" customFormat="1" ht="11.25" customHeight="1">
      <c r="A113" s="61" t="s">
        <v>2044</v>
      </c>
      <c r="H113" s="62"/>
    </row>
    <row r="114" spans="1:26" s="35" customFormat="1" ht="11.25" hidden="1" customHeight="1">
      <c r="A114" s="26"/>
      <c r="B114" s="26"/>
      <c r="H114" s="34"/>
      <c r="O114" s="25"/>
    </row>
    <row r="115" spans="1:26" ht="11.25" hidden="1" customHeight="1">
      <c r="B115" s="1"/>
      <c r="C115" s="1">
        <v>1</v>
      </c>
      <c r="D115" s="1">
        <v>2</v>
      </c>
      <c r="E115" s="1">
        <v>3</v>
      </c>
      <c r="F115" s="1">
        <v>4</v>
      </c>
      <c r="G115" s="1">
        <v>5</v>
      </c>
      <c r="H115" s="1">
        <v>6</v>
      </c>
      <c r="I115" s="1">
        <v>7</v>
      </c>
      <c r="J115" s="1">
        <v>8</v>
      </c>
      <c r="K115" s="1">
        <v>9</v>
      </c>
      <c r="L115" s="1">
        <v>10</v>
      </c>
      <c r="M115" s="1">
        <v>11</v>
      </c>
      <c r="N115" s="1">
        <v>12</v>
      </c>
      <c r="O115" s="1">
        <v>13</v>
      </c>
      <c r="P115" s="1">
        <v>14</v>
      </c>
      <c r="Q115" s="1">
        <v>15</v>
      </c>
      <c r="R115" s="1">
        <v>16</v>
      </c>
      <c r="S115" s="1">
        <v>17</v>
      </c>
      <c r="T115" s="1">
        <v>18</v>
      </c>
      <c r="U115" s="1">
        <v>19</v>
      </c>
      <c r="V115" s="1">
        <v>20</v>
      </c>
      <c r="W115" s="1">
        <v>21</v>
      </c>
      <c r="X115" s="1">
        <v>22</v>
      </c>
      <c r="Y115" s="1">
        <v>23</v>
      </c>
      <c r="Z115" s="1">
        <v>24</v>
      </c>
    </row>
    <row r="116" spans="1:26" ht="11.25" hidden="1" customHeight="1">
      <c r="B116" s="1" t="s">
        <v>415</v>
      </c>
      <c r="C116" s="2" t="s">
        <v>431</v>
      </c>
      <c r="D116" s="2" t="s">
        <v>432</v>
      </c>
      <c r="E116" s="2" t="s">
        <v>745</v>
      </c>
      <c r="F116" s="2" t="s">
        <v>441</v>
      </c>
      <c r="G116" s="2" t="s">
        <v>443</v>
      </c>
      <c r="H116" s="2" t="s">
        <v>444</v>
      </c>
      <c r="I116" s="2" t="s">
        <v>445</v>
      </c>
      <c r="J116" s="2" t="s">
        <v>446</v>
      </c>
      <c r="K116" s="2" t="s">
        <v>447</v>
      </c>
      <c r="L116" s="2" t="s">
        <v>448</v>
      </c>
      <c r="M116" s="2" t="s">
        <v>449</v>
      </c>
      <c r="N116" s="2" t="s">
        <v>450</v>
      </c>
      <c r="O116" s="2" t="s">
        <v>451</v>
      </c>
      <c r="P116" s="2" t="s">
        <v>452</v>
      </c>
      <c r="Q116" s="2" t="s">
        <v>453</v>
      </c>
      <c r="R116" s="2" t="s">
        <v>747</v>
      </c>
      <c r="S116" s="2" t="s">
        <v>454</v>
      </c>
      <c r="T116" s="2" t="s">
        <v>455</v>
      </c>
      <c r="U116" s="2" t="s">
        <v>456</v>
      </c>
      <c r="V116" s="2" t="s">
        <v>457</v>
      </c>
      <c r="W116" s="2" t="s">
        <v>458</v>
      </c>
      <c r="X116" s="2" t="s">
        <v>459</v>
      </c>
      <c r="Y116" s="2" t="s">
        <v>433</v>
      </c>
      <c r="Z116" s="2" t="s">
        <v>431</v>
      </c>
    </row>
    <row r="117" spans="1:26" ht="11.25" hidden="1" customHeight="1">
      <c r="B117" s="1" t="s">
        <v>416</v>
      </c>
      <c r="C117" s="2" t="s">
        <v>431</v>
      </c>
      <c r="D117" s="2" t="s">
        <v>432</v>
      </c>
      <c r="E117" s="2" t="s">
        <v>746</v>
      </c>
      <c r="F117" s="2" t="s">
        <v>442</v>
      </c>
      <c r="G117" s="2" t="s">
        <v>460</v>
      </c>
      <c r="H117" s="2" t="s">
        <v>461</v>
      </c>
      <c r="I117" s="2" t="s">
        <v>462</v>
      </c>
      <c r="J117" s="2" t="s">
        <v>463</v>
      </c>
      <c r="K117" s="2" t="s">
        <v>464</v>
      </c>
      <c r="L117" s="2" t="s">
        <v>465</v>
      </c>
      <c r="M117" s="2" t="s">
        <v>466</v>
      </c>
      <c r="N117" s="2" t="s">
        <v>467</v>
      </c>
      <c r="O117" s="2" t="s">
        <v>468</v>
      </c>
      <c r="P117" s="2" t="s">
        <v>469</v>
      </c>
      <c r="Q117" s="2" t="s">
        <v>470</v>
      </c>
      <c r="R117" s="2" t="s">
        <v>471</v>
      </c>
      <c r="S117" s="2" t="s">
        <v>472</v>
      </c>
      <c r="T117" s="2" t="s">
        <v>473</v>
      </c>
      <c r="U117" s="2" t="s">
        <v>474</v>
      </c>
      <c r="V117" s="2" t="s">
        <v>475</v>
      </c>
      <c r="W117" s="2" t="s">
        <v>476</v>
      </c>
      <c r="X117" s="2" t="s">
        <v>477</v>
      </c>
      <c r="Y117" s="2" t="s">
        <v>433</v>
      </c>
      <c r="Z117" s="2" t="s">
        <v>431</v>
      </c>
    </row>
    <row r="118" spans="1:26" ht="11.25" hidden="1" customHeight="1">
      <c r="B118" s="1" t="s">
        <v>417</v>
      </c>
      <c r="C118" s="2" t="s">
        <v>431</v>
      </c>
      <c r="D118" s="2" t="s">
        <v>432</v>
      </c>
      <c r="E118" s="2" t="s">
        <v>434</v>
      </c>
      <c r="F118" s="2" t="s">
        <v>478</v>
      </c>
      <c r="G118" s="2" t="s">
        <v>479</v>
      </c>
      <c r="H118" s="2" t="s">
        <v>480</v>
      </c>
      <c r="I118" s="2" t="s">
        <v>481</v>
      </c>
      <c r="J118" s="2" t="s">
        <v>482</v>
      </c>
      <c r="K118" s="2" t="s">
        <v>483</v>
      </c>
      <c r="L118" s="2" t="s">
        <v>484</v>
      </c>
      <c r="M118" s="2" t="s">
        <v>485</v>
      </c>
      <c r="N118" s="2" t="s">
        <v>486</v>
      </c>
      <c r="O118" s="2" t="s">
        <v>487</v>
      </c>
      <c r="P118" s="2" t="s">
        <v>488</v>
      </c>
      <c r="Q118" s="2" t="s">
        <v>489</v>
      </c>
      <c r="R118" s="2" t="s">
        <v>490</v>
      </c>
      <c r="S118" s="2" t="s">
        <v>491</v>
      </c>
      <c r="T118" s="2" t="s">
        <v>492</v>
      </c>
      <c r="U118" s="2" t="s">
        <v>493</v>
      </c>
      <c r="V118" s="2" t="s">
        <v>494</v>
      </c>
      <c r="W118" s="2" t="s">
        <v>495</v>
      </c>
      <c r="X118" s="2" t="s">
        <v>496</v>
      </c>
      <c r="Y118" s="2" t="s">
        <v>433</v>
      </c>
      <c r="Z118" s="2" t="s">
        <v>431</v>
      </c>
    </row>
    <row r="119" spans="1:26" ht="11.25" hidden="1" customHeight="1">
      <c r="B119" s="1" t="s">
        <v>418</v>
      </c>
      <c r="C119" s="2" t="s">
        <v>431</v>
      </c>
      <c r="D119" s="2" t="s">
        <v>432</v>
      </c>
      <c r="E119" s="2" t="s">
        <v>435</v>
      </c>
      <c r="F119" s="2" t="s">
        <v>497</v>
      </c>
      <c r="G119" s="2" t="s">
        <v>498</v>
      </c>
      <c r="H119" s="2" t="s">
        <v>499</v>
      </c>
      <c r="I119" s="2" t="s">
        <v>500</v>
      </c>
      <c r="J119" s="2" t="s">
        <v>501</v>
      </c>
      <c r="K119" s="2" t="s">
        <v>502</v>
      </c>
      <c r="L119" s="2" t="s">
        <v>503</v>
      </c>
      <c r="M119" s="2" t="s">
        <v>504</v>
      </c>
      <c r="N119" s="2" t="s">
        <v>505</v>
      </c>
      <c r="O119" s="2" t="s">
        <v>506</v>
      </c>
      <c r="P119" s="2" t="s">
        <v>507</v>
      </c>
      <c r="Q119" s="2" t="s">
        <v>508</v>
      </c>
      <c r="R119" s="2" t="s">
        <v>509</v>
      </c>
      <c r="S119" s="2" t="s">
        <v>510</v>
      </c>
      <c r="T119" s="2" t="s">
        <v>511</v>
      </c>
      <c r="U119" s="2" t="s">
        <v>512</v>
      </c>
      <c r="V119" s="2" t="s">
        <v>513</v>
      </c>
      <c r="W119" s="2" t="s">
        <v>514</v>
      </c>
      <c r="X119" s="2" t="s">
        <v>515</v>
      </c>
      <c r="Y119" s="2" t="s">
        <v>433</v>
      </c>
      <c r="Z119" s="2" t="s">
        <v>431</v>
      </c>
    </row>
    <row r="120" spans="1:26" ht="11.25" hidden="1" customHeight="1">
      <c r="B120" s="1" t="s">
        <v>419</v>
      </c>
      <c r="C120" s="2" t="s">
        <v>431</v>
      </c>
      <c r="D120" s="2" t="s">
        <v>432</v>
      </c>
      <c r="E120" s="2" t="s">
        <v>436</v>
      </c>
      <c r="F120" s="2" t="s">
        <v>516</v>
      </c>
      <c r="G120" s="2" t="s">
        <v>517</v>
      </c>
      <c r="H120" s="2" t="s">
        <v>518</v>
      </c>
      <c r="I120" s="2" t="s">
        <v>519</v>
      </c>
      <c r="J120" s="2" t="s">
        <v>520</v>
      </c>
      <c r="K120" s="2" t="s">
        <v>521</v>
      </c>
      <c r="L120" s="2" t="s">
        <v>522</v>
      </c>
      <c r="M120" s="2" t="s">
        <v>523</v>
      </c>
      <c r="N120" s="2" t="s">
        <v>524</v>
      </c>
      <c r="O120" s="2" t="s">
        <v>525</v>
      </c>
      <c r="P120" s="2" t="s">
        <v>526</v>
      </c>
      <c r="Q120" s="2" t="s">
        <v>527</v>
      </c>
      <c r="R120" s="2" t="s">
        <v>528</v>
      </c>
      <c r="S120" s="2" t="s">
        <v>529</v>
      </c>
      <c r="T120" s="2" t="s">
        <v>530</v>
      </c>
      <c r="U120" s="2" t="s">
        <v>531</v>
      </c>
      <c r="V120" s="2" t="s">
        <v>532</v>
      </c>
      <c r="W120" s="2" t="s">
        <v>533</v>
      </c>
      <c r="X120" s="2" t="s">
        <v>534</v>
      </c>
      <c r="Y120" s="2" t="s">
        <v>3197</v>
      </c>
      <c r="Z120" s="2" t="s">
        <v>431</v>
      </c>
    </row>
    <row r="121" spans="1:26" ht="11.25" hidden="1" customHeight="1">
      <c r="B121" s="1" t="s">
        <v>420</v>
      </c>
      <c r="C121" s="2" t="s">
        <v>431</v>
      </c>
      <c r="D121" s="2" t="s">
        <v>432</v>
      </c>
      <c r="E121" s="2" t="s">
        <v>437</v>
      </c>
      <c r="F121" s="2" t="s">
        <v>535</v>
      </c>
      <c r="G121" s="2" t="s">
        <v>536</v>
      </c>
      <c r="H121" s="2" t="s">
        <v>537</v>
      </c>
      <c r="I121" s="2" t="s">
        <v>538</v>
      </c>
      <c r="J121" s="2" t="s">
        <v>539</v>
      </c>
      <c r="K121" s="2" t="s">
        <v>540</v>
      </c>
      <c r="L121" s="2" t="s">
        <v>541</v>
      </c>
      <c r="M121" s="2" t="s">
        <v>542</v>
      </c>
      <c r="N121" s="2" t="s">
        <v>543</v>
      </c>
      <c r="O121" s="2" t="s">
        <v>544</v>
      </c>
      <c r="P121" s="2" t="s">
        <v>545</v>
      </c>
      <c r="Q121" s="2" t="s">
        <v>546</v>
      </c>
      <c r="R121" s="2" t="s">
        <v>547</v>
      </c>
      <c r="S121" s="2" t="s">
        <v>548</v>
      </c>
      <c r="T121" s="2" t="s">
        <v>549</v>
      </c>
      <c r="U121" s="2" t="s">
        <v>550</v>
      </c>
      <c r="V121" s="2" t="s">
        <v>551</v>
      </c>
      <c r="W121" s="2" t="s">
        <v>552</v>
      </c>
      <c r="X121" s="2" t="s">
        <v>553</v>
      </c>
      <c r="Y121" s="2" t="s">
        <v>433</v>
      </c>
      <c r="Z121" s="2" t="s">
        <v>431</v>
      </c>
    </row>
    <row r="122" spans="1:26" ht="11.25" hidden="1" customHeight="1">
      <c r="B122" s="1" t="s">
        <v>421</v>
      </c>
      <c r="C122" s="2" t="s">
        <v>431</v>
      </c>
      <c r="D122" s="2" t="s">
        <v>432</v>
      </c>
      <c r="E122" s="2" t="s">
        <v>438</v>
      </c>
      <c r="F122" s="2" t="s">
        <v>554</v>
      </c>
      <c r="G122" s="2" t="s">
        <v>555</v>
      </c>
      <c r="H122" s="2" t="s">
        <v>556</v>
      </c>
      <c r="I122" s="2" t="s">
        <v>557</v>
      </c>
      <c r="J122" s="2" t="s">
        <v>558</v>
      </c>
      <c r="K122" s="2" t="s">
        <v>559</v>
      </c>
      <c r="L122" s="2" t="s">
        <v>560</v>
      </c>
      <c r="M122" s="2" t="s">
        <v>561</v>
      </c>
      <c r="N122" s="2" t="s">
        <v>562</v>
      </c>
      <c r="O122" s="2" t="s">
        <v>563</v>
      </c>
      <c r="P122" s="2" t="s">
        <v>564</v>
      </c>
      <c r="Q122" s="2" t="s">
        <v>565</v>
      </c>
      <c r="R122" s="2" t="s">
        <v>566</v>
      </c>
      <c r="S122" s="2" t="s">
        <v>567</v>
      </c>
      <c r="T122" s="2" t="s">
        <v>568</v>
      </c>
      <c r="U122" s="2" t="s">
        <v>569</v>
      </c>
      <c r="V122" s="2" t="s">
        <v>570</v>
      </c>
      <c r="W122" s="2" t="s">
        <v>571</v>
      </c>
      <c r="X122" s="2" t="s">
        <v>572</v>
      </c>
      <c r="Y122" s="2" t="s">
        <v>433</v>
      </c>
      <c r="Z122" s="2" t="s">
        <v>431</v>
      </c>
    </row>
    <row r="123" spans="1:26" ht="11.25" hidden="1" customHeight="1">
      <c r="B123" s="1" t="s">
        <v>422</v>
      </c>
      <c r="C123" s="2" t="s">
        <v>431</v>
      </c>
      <c r="D123" s="2" t="s">
        <v>432</v>
      </c>
      <c r="E123" s="2" t="s">
        <v>439</v>
      </c>
      <c r="F123" s="2" t="s">
        <v>573</v>
      </c>
      <c r="G123" s="2" t="s">
        <v>574</v>
      </c>
      <c r="H123" s="2" t="s">
        <v>575</v>
      </c>
      <c r="I123" s="2" t="s">
        <v>576</v>
      </c>
      <c r="J123" s="2" t="s">
        <v>577</v>
      </c>
      <c r="K123" s="2" t="s">
        <v>578</v>
      </c>
      <c r="L123" s="2" t="s">
        <v>579</v>
      </c>
      <c r="M123" s="2" t="s">
        <v>580</v>
      </c>
      <c r="N123" s="2" t="s">
        <v>748</v>
      </c>
      <c r="O123" s="2" t="s">
        <v>581</v>
      </c>
      <c r="P123" s="2" t="s">
        <v>582</v>
      </c>
      <c r="Q123" s="2" t="s">
        <v>583</v>
      </c>
      <c r="R123" s="2" t="s">
        <v>584</v>
      </c>
      <c r="S123" s="2" t="s">
        <v>585</v>
      </c>
      <c r="T123" s="2" t="s">
        <v>586</v>
      </c>
      <c r="U123" s="2" t="s">
        <v>587</v>
      </c>
      <c r="V123" s="2" t="s">
        <v>588</v>
      </c>
      <c r="W123" s="2" t="s">
        <v>589</v>
      </c>
      <c r="X123" s="2" t="s">
        <v>3199</v>
      </c>
      <c r="Y123" s="2" t="s">
        <v>3196</v>
      </c>
      <c r="Z123" s="2" t="s">
        <v>431</v>
      </c>
    </row>
    <row r="124" spans="1:26" ht="11.25" hidden="1" customHeight="1">
      <c r="B124" s="1" t="s">
        <v>423</v>
      </c>
      <c r="C124" s="2" t="s">
        <v>431</v>
      </c>
      <c r="D124" s="2" t="s">
        <v>432</v>
      </c>
      <c r="E124" s="2" t="s">
        <v>440</v>
      </c>
      <c r="F124" s="2" t="s">
        <v>749</v>
      </c>
      <c r="G124" s="2" t="s">
        <v>591</v>
      </c>
      <c r="H124" s="2" t="s">
        <v>592</v>
      </c>
      <c r="I124" s="2" t="s">
        <v>593</v>
      </c>
      <c r="J124" s="2" t="s">
        <v>594</v>
      </c>
      <c r="K124" s="2" t="s">
        <v>595</v>
      </c>
      <c r="L124" s="2" t="s">
        <v>596</v>
      </c>
      <c r="M124" s="2" t="s">
        <v>597</v>
      </c>
      <c r="N124" s="2" t="s">
        <v>598</v>
      </c>
      <c r="O124" s="2" t="s">
        <v>599</v>
      </c>
      <c r="P124" s="2" t="s">
        <v>600</v>
      </c>
      <c r="Q124" s="2" t="s">
        <v>601</v>
      </c>
      <c r="R124" s="2" t="s">
        <v>602</v>
      </c>
      <c r="S124" s="2" t="s">
        <v>603</v>
      </c>
      <c r="T124" s="2" t="s">
        <v>604</v>
      </c>
      <c r="U124" s="2" t="s">
        <v>605</v>
      </c>
      <c r="V124" s="2" t="s">
        <v>606</v>
      </c>
      <c r="W124" s="2" t="s">
        <v>607</v>
      </c>
      <c r="X124" s="2" t="s">
        <v>608</v>
      </c>
      <c r="Y124" s="2" t="s">
        <v>433</v>
      </c>
      <c r="Z124" s="2" t="s">
        <v>431</v>
      </c>
    </row>
    <row r="125" spans="1:26" ht="11.25" hidden="1" customHeight="1">
      <c r="B125" s="1" t="s">
        <v>424</v>
      </c>
      <c r="C125" s="2" t="s">
        <v>431</v>
      </c>
      <c r="D125" s="2" t="s">
        <v>432</v>
      </c>
      <c r="E125" s="2" t="s">
        <v>2</v>
      </c>
      <c r="F125" s="2" t="s">
        <v>609</v>
      </c>
      <c r="G125" s="2" t="s">
        <v>610</v>
      </c>
      <c r="H125" s="2" t="s">
        <v>611</v>
      </c>
      <c r="I125" s="2" t="s">
        <v>612</v>
      </c>
      <c r="J125" s="2" t="s">
        <v>613</v>
      </c>
      <c r="K125" s="2" t="s">
        <v>614</v>
      </c>
      <c r="L125" s="2" t="s">
        <v>615</v>
      </c>
      <c r="M125" s="2" t="s">
        <v>616</v>
      </c>
      <c r="N125" s="2" t="s">
        <v>617</v>
      </c>
      <c r="O125" s="2" t="s">
        <v>618</v>
      </c>
      <c r="P125" s="2" t="s">
        <v>619</v>
      </c>
      <c r="Q125" s="2" t="s">
        <v>620</v>
      </c>
      <c r="R125" s="2" t="s">
        <v>621</v>
      </c>
      <c r="S125" s="2" t="s">
        <v>622</v>
      </c>
      <c r="T125" s="2" t="s">
        <v>623</v>
      </c>
      <c r="U125" s="2" t="s">
        <v>624</v>
      </c>
      <c r="V125" s="2" t="s">
        <v>625</v>
      </c>
      <c r="W125" s="2" t="s">
        <v>626</v>
      </c>
      <c r="X125" s="2" t="s">
        <v>627</v>
      </c>
      <c r="Y125" s="2" t="s">
        <v>433</v>
      </c>
      <c r="Z125" s="2" t="s">
        <v>431</v>
      </c>
    </row>
    <row r="126" spans="1:26" ht="11.25" hidden="1" customHeight="1">
      <c r="B126" s="1" t="s">
        <v>425</v>
      </c>
      <c r="C126" s="2" t="s">
        <v>431</v>
      </c>
      <c r="D126" s="2" t="s">
        <v>432</v>
      </c>
      <c r="E126" s="2" t="s">
        <v>4</v>
      </c>
      <c r="F126" s="2" t="s">
        <v>628</v>
      </c>
      <c r="G126" s="2" t="s">
        <v>629</v>
      </c>
      <c r="H126" s="2" t="s">
        <v>630</v>
      </c>
      <c r="I126" s="2" t="s">
        <v>631</v>
      </c>
      <c r="J126" s="2" t="s">
        <v>632</v>
      </c>
      <c r="K126" s="2" t="s">
        <v>633</v>
      </c>
      <c r="L126" s="2" t="s">
        <v>634</v>
      </c>
      <c r="M126" s="2" t="s">
        <v>635</v>
      </c>
      <c r="N126" s="2" t="s">
        <v>636</v>
      </c>
      <c r="O126" s="2" t="s">
        <v>637</v>
      </c>
      <c r="P126" s="2" t="s">
        <v>638</v>
      </c>
      <c r="Q126" s="2" t="s">
        <v>639</v>
      </c>
      <c r="R126" s="2" t="s">
        <v>640</v>
      </c>
      <c r="S126" s="2" t="s">
        <v>641</v>
      </c>
      <c r="T126" s="2" t="s">
        <v>642</v>
      </c>
      <c r="U126" s="2" t="s">
        <v>643</v>
      </c>
      <c r="V126" s="2" t="s">
        <v>644</v>
      </c>
      <c r="W126" s="2" t="s">
        <v>645</v>
      </c>
      <c r="X126" s="2" t="s">
        <v>646</v>
      </c>
      <c r="Y126" s="2" t="s">
        <v>3198</v>
      </c>
      <c r="Z126" s="2" t="s">
        <v>431</v>
      </c>
    </row>
    <row r="127" spans="1:26" ht="11.25" hidden="1" customHeight="1">
      <c r="B127" s="1" t="s">
        <v>426</v>
      </c>
      <c r="C127" s="2" t="s">
        <v>431</v>
      </c>
      <c r="D127" s="2" t="s">
        <v>432</v>
      </c>
      <c r="E127" s="2" t="s">
        <v>6</v>
      </c>
      <c r="F127" s="2" t="s">
        <v>647</v>
      </c>
      <c r="G127" s="2" t="s">
        <v>648</v>
      </c>
      <c r="H127" s="2" t="s">
        <v>649</v>
      </c>
      <c r="I127" s="2" t="s">
        <v>650</v>
      </c>
      <c r="J127" s="2" t="s">
        <v>651</v>
      </c>
      <c r="K127" s="2" t="s">
        <v>652</v>
      </c>
      <c r="L127" s="2" t="s">
        <v>750</v>
      </c>
      <c r="M127" s="2" t="s">
        <v>653</v>
      </c>
      <c r="N127" s="2" t="s">
        <v>654</v>
      </c>
      <c r="O127" s="2" t="s">
        <v>655</v>
      </c>
      <c r="P127" s="2" t="s">
        <v>656</v>
      </c>
      <c r="Q127" s="2" t="s">
        <v>657</v>
      </c>
      <c r="R127" s="2" t="s">
        <v>658</v>
      </c>
      <c r="S127" s="2" t="s">
        <v>659</v>
      </c>
      <c r="T127" s="2" t="s">
        <v>660</v>
      </c>
      <c r="U127" s="2" t="s">
        <v>661</v>
      </c>
      <c r="V127" s="2" t="s">
        <v>662</v>
      </c>
      <c r="W127" s="2" t="s">
        <v>663</v>
      </c>
      <c r="X127" s="2" t="s">
        <v>664</v>
      </c>
      <c r="Y127" s="2" t="s">
        <v>3196</v>
      </c>
      <c r="Z127" s="2" t="s">
        <v>431</v>
      </c>
    </row>
    <row r="128" spans="1:26" ht="11.25" hidden="1" customHeight="1">
      <c r="B128" s="1" t="s">
        <v>427</v>
      </c>
      <c r="C128" s="2" t="s">
        <v>431</v>
      </c>
      <c r="D128" s="2" t="s">
        <v>432</v>
      </c>
      <c r="E128" s="2" t="s">
        <v>1</v>
      </c>
      <c r="F128" s="2" t="s">
        <v>665</v>
      </c>
      <c r="G128" s="2" t="s">
        <v>666</v>
      </c>
      <c r="H128" s="2" t="s">
        <v>667</v>
      </c>
      <c r="I128" s="2" t="s">
        <v>668</v>
      </c>
      <c r="J128" s="2" t="s">
        <v>669</v>
      </c>
      <c r="K128" s="2" t="s">
        <v>670</v>
      </c>
      <c r="L128" s="2" t="s">
        <v>671</v>
      </c>
      <c r="M128" s="2" t="s">
        <v>672</v>
      </c>
      <c r="N128" s="2" t="s">
        <v>673</v>
      </c>
      <c r="O128" s="2" t="s">
        <v>674</v>
      </c>
      <c r="P128" s="2" t="s">
        <v>675</v>
      </c>
      <c r="Q128" s="2" t="s">
        <v>676</v>
      </c>
      <c r="R128" s="2" t="s">
        <v>677</v>
      </c>
      <c r="S128" s="2" t="s">
        <v>678</v>
      </c>
      <c r="T128" s="2" t="s">
        <v>679</v>
      </c>
      <c r="U128" s="2" t="s">
        <v>680</v>
      </c>
      <c r="V128" s="2" t="s">
        <v>681</v>
      </c>
      <c r="W128" s="2" t="s">
        <v>682</v>
      </c>
      <c r="X128" s="2" t="s">
        <v>683</v>
      </c>
      <c r="Y128" s="2" t="s">
        <v>433</v>
      </c>
      <c r="Z128" s="2" t="s">
        <v>431</v>
      </c>
    </row>
    <row r="129" spans="1:26" ht="11.25" hidden="1" customHeight="1">
      <c r="B129" s="1" t="s">
        <v>428</v>
      </c>
      <c r="C129" s="2" t="s">
        <v>431</v>
      </c>
      <c r="D129" s="2" t="s">
        <v>432</v>
      </c>
      <c r="E129" s="2" t="s">
        <v>3</v>
      </c>
      <c r="F129" s="2" t="s">
        <v>684</v>
      </c>
      <c r="G129" s="2" t="s">
        <v>685</v>
      </c>
      <c r="H129" s="2" t="s">
        <v>686</v>
      </c>
      <c r="I129" s="2" t="s">
        <v>687</v>
      </c>
      <c r="J129" s="2" t="s">
        <v>688</v>
      </c>
      <c r="K129" s="2" t="s">
        <v>689</v>
      </c>
      <c r="L129" s="2" t="s">
        <v>690</v>
      </c>
      <c r="M129" s="2" t="s">
        <v>691</v>
      </c>
      <c r="N129" s="2" t="s">
        <v>692</v>
      </c>
      <c r="O129" s="2" t="s">
        <v>693</v>
      </c>
      <c r="P129" s="2" t="s">
        <v>694</v>
      </c>
      <c r="Q129" s="2" t="s">
        <v>695</v>
      </c>
      <c r="R129" s="2" t="s">
        <v>696</v>
      </c>
      <c r="S129" s="2" t="s">
        <v>697</v>
      </c>
      <c r="T129" s="2" t="s">
        <v>698</v>
      </c>
      <c r="U129" s="2" t="s">
        <v>699</v>
      </c>
      <c r="V129" s="2" t="s">
        <v>700</v>
      </c>
      <c r="W129" s="2" t="s">
        <v>701</v>
      </c>
      <c r="X129" s="2" t="s">
        <v>702</v>
      </c>
      <c r="Y129" s="2" t="s">
        <v>433</v>
      </c>
      <c r="Z129" s="2" t="s">
        <v>431</v>
      </c>
    </row>
    <row r="130" spans="1:26" ht="11.25" hidden="1" customHeight="1">
      <c r="B130" s="1" t="s">
        <v>429</v>
      </c>
      <c r="C130" s="2" t="s">
        <v>431</v>
      </c>
      <c r="D130" s="2" t="s">
        <v>432</v>
      </c>
      <c r="E130" s="2" t="s">
        <v>5</v>
      </c>
      <c r="F130" s="2" t="s">
        <v>703</v>
      </c>
      <c r="G130" s="2" t="s">
        <v>704</v>
      </c>
      <c r="H130" s="2" t="s">
        <v>705</v>
      </c>
      <c r="I130" s="2" t="s">
        <v>706</v>
      </c>
      <c r="J130" s="2" t="s">
        <v>707</v>
      </c>
      <c r="K130" s="2" t="s">
        <v>708</v>
      </c>
      <c r="L130" s="2" t="s">
        <v>709</v>
      </c>
      <c r="M130" s="2" t="s">
        <v>710</v>
      </c>
      <c r="N130" s="2" t="s">
        <v>711</v>
      </c>
      <c r="O130" s="2" t="s">
        <v>712</v>
      </c>
      <c r="P130" s="2" t="s">
        <v>713</v>
      </c>
      <c r="Q130" s="2" t="s">
        <v>714</v>
      </c>
      <c r="R130" s="2" t="s">
        <v>715</v>
      </c>
      <c r="S130" s="2" t="s">
        <v>716</v>
      </c>
      <c r="T130" s="2" t="s">
        <v>717</v>
      </c>
      <c r="U130" s="2" t="s">
        <v>718</v>
      </c>
      <c r="V130" s="2" t="s">
        <v>719</v>
      </c>
      <c r="W130" s="2" t="s">
        <v>720</v>
      </c>
      <c r="X130" s="2" t="s">
        <v>721</v>
      </c>
      <c r="Y130" s="2" t="s">
        <v>3198</v>
      </c>
      <c r="Z130" s="2" t="s">
        <v>431</v>
      </c>
    </row>
    <row r="131" spans="1:26" ht="11.25" hidden="1" customHeight="1">
      <c r="B131" s="1" t="s">
        <v>430</v>
      </c>
      <c r="C131" s="2" t="s">
        <v>431</v>
      </c>
      <c r="D131" s="2" t="s">
        <v>432</v>
      </c>
      <c r="E131" s="2" t="s">
        <v>7</v>
      </c>
      <c r="F131" s="2" t="s">
        <v>722</v>
      </c>
      <c r="G131" s="2" t="s">
        <v>723</v>
      </c>
      <c r="H131" s="2" t="s">
        <v>724</v>
      </c>
      <c r="I131" s="2" t="s">
        <v>725</v>
      </c>
      <c r="J131" s="2" t="s">
        <v>726</v>
      </c>
      <c r="K131" s="2" t="s">
        <v>727</v>
      </c>
      <c r="L131" s="2" t="s">
        <v>728</v>
      </c>
      <c r="M131" s="2" t="s">
        <v>729</v>
      </c>
      <c r="N131" s="2" t="s">
        <v>730</v>
      </c>
      <c r="O131" s="2" t="s">
        <v>731</v>
      </c>
      <c r="P131" s="2" t="s">
        <v>732</v>
      </c>
      <c r="Q131" s="2" t="s">
        <v>733</v>
      </c>
      <c r="R131" s="2" t="s">
        <v>734</v>
      </c>
      <c r="S131" s="2" t="s">
        <v>735</v>
      </c>
      <c r="T131" s="2" t="s">
        <v>736</v>
      </c>
      <c r="U131" s="2" t="s">
        <v>737</v>
      </c>
      <c r="V131" s="2" t="s">
        <v>738</v>
      </c>
      <c r="W131" s="2" t="s">
        <v>739</v>
      </c>
      <c r="X131" s="2" t="s">
        <v>740</v>
      </c>
      <c r="Y131" s="2" t="s">
        <v>433</v>
      </c>
      <c r="Z131" s="2" t="s">
        <v>431</v>
      </c>
    </row>
    <row r="133" spans="1:26" s="61" customFormat="1" ht="11.25" customHeight="1">
      <c r="A133" s="61" t="s">
        <v>2007</v>
      </c>
      <c r="H133" s="62"/>
    </row>
    <row r="134" spans="1:26" s="35" customFormat="1" ht="11.25" hidden="1" customHeight="1">
      <c r="A134" s="26"/>
      <c r="B134" s="26"/>
      <c r="H134" s="34"/>
      <c r="O134" s="25"/>
    </row>
    <row r="135" spans="1:26" ht="11.25" hidden="1" customHeight="1">
      <c r="B135" s="1"/>
      <c r="C135" s="1">
        <v>1</v>
      </c>
      <c r="D135" s="1">
        <v>2</v>
      </c>
      <c r="E135" s="1">
        <v>3</v>
      </c>
      <c r="F135" s="1">
        <v>4</v>
      </c>
      <c r="G135" s="1">
        <v>5</v>
      </c>
      <c r="H135" s="1">
        <v>6</v>
      </c>
      <c r="I135" s="1">
        <v>7</v>
      </c>
      <c r="J135" s="1">
        <v>8</v>
      </c>
      <c r="K135" s="1">
        <v>9</v>
      </c>
      <c r="L135" s="1">
        <v>10</v>
      </c>
      <c r="M135" s="1">
        <v>11</v>
      </c>
      <c r="N135" s="1">
        <v>12</v>
      </c>
      <c r="O135" s="1">
        <v>13</v>
      </c>
      <c r="P135" s="1">
        <v>14</v>
      </c>
      <c r="Q135" s="1">
        <v>15</v>
      </c>
      <c r="R135" s="1">
        <v>16</v>
      </c>
      <c r="S135" s="1">
        <v>17</v>
      </c>
      <c r="T135" s="1">
        <v>18</v>
      </c>
      <c r="U135" s="1">
        <v>19</v>
      </c>
      <c r="V135" s="1">
        <v>20</v>
      </c>
      <c r="W135" s="1">
        <v>21</v>
      </c>
      <c r="X135" s="1">
        <v>22</v>
      </c>
      <c r="Y135" s="1">
        <v>23</v>
      </c>
      <c r="Z135" s="1">
        <v>24</v>
      </c>
    </row>
    <row r="136" spans="1:26" ht="11.25" hidden="1" customHeight="1">
      <c r="B136" s="1" t="s">
        <v>415</v>
      </c>
      <c r="C136" s="2" t="s">
        <v>431</v>
      </c>
      <c r="D136" s="2" t="s">
        <v>432</v>
      </c>
      <c r="E136" s="2" t="s">
        <v>745</v>
      </c>
      <c r="F136" s="2" t="s">
        <v>436</v>
      </c>
      <c r="G136" s="2" t="s">
        <v>440</v>
      </c>
      <c r="H136" s="2" t="s">
        <v>1</v>
      </c>
      <c r="I136" s="2" t="s">
        <v>819</v>
      </c>
      <c r="J136" s="2" t="s">
        <v>516</v>
      </c>
      <c r="K136" s="2" t="s">
        <v>749</v>
      </c>
      <c r="L136" s="2" t="s">
        <v>665</v>
      </c>
      <c r="M136" s="2" t="s">
        <v>443</v>
      </c>
      <c r="N136" s="2" t="s">
        <v>517</v>
      </c>
      <c r="O136" s="2" t="s">
        <v>591</v>
      </c>
      <c r="P136" s="2" t="s">
        <v>666</v>
      </c>
      <c r="Q136" s="2" t="s">
        <v>444</v>
      </c>
      <c r="R136" s="2" t="s">
        <v>518</v>
      </c>
      <c r="S136" s="2" t="s">
        <v>592</v>
      </c>
      <c r="T136" s="2" t="s">
        <v>667</v>
      </c>
      <c r="U136" s="2" t="s">
        <v>445</v>
      </c>
      <c r="V136" s="2" t="s">
        <v>519</v>
      </c>
      <c r="W136" s="2" t="s">
        <v>593</v>
      </c>
      <c r="X136" s="2" t="s">
        <v>668</v>
      </c>
      <c r="Y136" s="2" t="s">
        <v>433</v>
      </c>
      <c r="Z136" s="2" t="s">
        <v>431</v>
      </c>
    </row>
    <row r="137" spans="1:26" ht="11.25" hidden="1" customHeight="1">
      <c r="B137" s="1" t="s">
        <v>416</v>
      </c>
      <c r="C137" s="2" t="s">
        <v>431</v>
      </c>
      <c r="D137" s="2" t="s">
        <v>432</v>
      </c>
      <c r="E137" s="2" t="s">
        <v>745</v>
      </c>
      <c r="F137" s="2" t="s">
        <v>436</v>
      </c>
      <c r="G137" s="2" t="s">
        <v>440</v>
      </c>
      <c r="H137" s="2" t="s">
        <v>1</v>
      </c>
      <c r="I137" s="2" t="s">
        <v>819</v>
      </c>
      <c r="J137" s="2" t="s">
        <v>516</v>
      </c>
      <c r="K137" s="2" t="s">
        <v>749</v>
      </c>
      <c r="L137" s="2" t="s">
        <v>665</v>
      </c>
      <c r="M137" s="2" t="s">
        <v>443</v>
      </c>
      <c r="N137" s="2" t="s">
        <v>517</v>
      </c>
      <c r="O137" s="2" t="s">
        <v>591</v>
      </c>
      <c r="P137" s="2" t="s">
        <v>666</v>
      </c>
      <c r="Q137" s="2" t="s">
        <v>444</v>
      </c>
      <c r="R137" s="2" t="s">
        <v>518</v>
      </c>
      <c r="S137" s="2" t="s">
        <v>592</v>
      </c>
      <c r="T137" s="2" t="s">
        <v>667</v>
      </c>
      <c r="U137" s="2" t="s">
        <v>445</v>
      </c>
      <c r="V137" s="2" t="s">
        <v>519</v>
      </c>
      <c r="W137" s="2" t="s">
        <v>593</v>
      </c>
      <c r="X137" s="2" t="s">
        <v>668</v>
      </c>
      <c r="Y137" s="2" t="s">
        <v>433</v>
      </c>
      <c r="Z137" s="2" t="s">
        <v>431</v>
      </c>
    </row>
    <row r="138" spans="1:26" ht="11.25" hidden="1" customHeight="1">
      <c r="B138" s="1" t="s">
        <v>417</v>
      </c>
      <c r="C138" s="2" t="s">
        <v>431</v>
      </c>
      <c r="D138" s="2" t="s">
        <v>432</v>
      </c>
      <c r="E138" s="2" t="s">
        <v>745</v>
      </c>
      <c r="F138" s="2" t="s">
        <v>436</v>
      </c>
      <c r="G138" s="2" t="s">
        <v>440</v>
      </c>
      <c r="H138" s="2" t="s">
        <v>1</v>
      </c>
      <c r="I138" s="2" t="s">
        <v>819</v>
      </c>
      <c r="J138" s="2" t="s">
        <v>516</v>
      </c>
      <c r="K138" s="2" t="s">
        <v>749</v>
      </c>
      <c r="L138" s="2" t="s">
        <v>665</v>
      </c>
      <c r="M138" s="2" t="s">
        <v>443</v>
      </c>
      <c r="N138" s="2" t="s">
        <v>517</v>
      </c>
      <c r="O138" s="2" t="s">
        <v>591</v>
      </c>
      <c r="P138" s="2" t="s">
        <v>666</v>
      </c>
      <c r="Q138" s="2" t="s">
        <v>444</v>
      </c>
      <c r="R138" s="2" t="s">
        <v>518</v>
      </c>
      <c r="S138" s="2" t="s">
        <v>592</v>
      </c>
      <c r="T138" s="2" t="s">
        <v>667</v>
      </c>
      <c r="U138" s="2" t="s">
        <v>445</v>
      </c>
      <c r="V138" s="2" t="s">
        <v>519</v>
      </c>
      <c r="W138" s="2" t="s">
        <v>593</v>
      </c>
      <c r="X138" s="2" t="s">
        <v>668</v>
      </c>
      <c r="Y138" s="2" t="s">
        <v>433</v>
      </c>
      <c r="Z138" s="2" t="s">
        <v>431</v>
      </c>
    </row>
    <row r="139" spans="1:26" ht="11.25" hidden="1" customHeight="1">
      <c r="B139" s="1" t="s">
        <v>418</v>
      </c>
      <c r="C139" s="2" t="s">
        <v>431</v>
      </c>
      <c r="D139" s="2" t="s">
        <v>432</v>
      </c>
      <c r="E139" s="2" t="s">
        <v>745</v>
      </c>
      <c r="F139" s="2" t="s">
        <v>436</v>
      </c>
      <c r="G139" s="2" t="s">
        <v>440</v>
      </c>
      <c r="H139" s="2" t="s">
        <v>1</v>
      </c>
      <c r="I139" s="2" t="s">
        <v>819</v>
      </c>
      <c r="J139" s="2" t="s">
        <v>516</v>
      </c>
      <c r="K139" s="2" t="s">
        <v>749</v>
      </c>
      <c r="L139" s="2" t="s">
        <v>665</v>
      </c>
      <c r="M139" s="2" t="s">
        <v>443</v>
      </c>
      <c r="N139" s="2" t="s">
        <v>517</v>
      </c>
      <c r="O139" s="2" t="s">
        <v>591</v>
      </c>
      <c r="P139" s="2" t="s">
        <v>666</v>
      </c>
      <c r="Q139" s="2" t="s">
        <v>444</v>
      </c>
      <c r="R139" s="2" t="s">
        <v>518</v>
      </c>
      <c r="S139" s="2" t="s">
        <v>592</v>
      </c>
      <c r="T139" s="2" t="s">
        <v>667</v>
      </c>
      <c r="U139" s="2" t="s">
        <v>445</v>
      </c>
      <c r="V139" s="2" t="s">
        <v>519</v>
      </c>
      <c r="W139" s="2" t="s">
        <v>593</v>
      </c>
      <c r="X139" s="2" t="s">
        <v>668</v>
      </c>
      <c r="Y139" s="2" t="s">
        <v>433</v>
      </c>
      <c r="Z139" s="2" t="s">
        <v>431</v>
      </c>
    </row>
    <row r="140" spans="1:26" ht="11.25" hidden="1" customHeight="1">
      <c r="B140" s="1" t="s">
        <v>419</v>
      </c>
      <c r="C140" s="2" t="s">
        <v>431</v>
      </c>
      <c r="D140" s="2" t="s">
        <v>432</v>
      </c>
      <c r="E140" s="2" t="s">
        <v>746</v>
      </c>
      <c r="F140" s="2" t="s">
        <v>437</v>
      </c>
      <c r="G140" s="2" t="s">
        <v>2</v>
      </c>
      <c r="H140" s="2" t="s">
        <v>3</v>
      </c>
      <c r="I140" s="2" t="s">
        <v>820</v>
      </c>
      <c r="J140" s="2" t="s">
        <v>535</v>
      </c>
      <c r="K140" s="2" t="s">
        <v>609</v>
      </c>
      <c r="L140" s="2" t="s">
        <v>684</v>
      </c>
      <c r="M140" s="2" t="s">
        <v>460</v>
      </c>
      <c r="N140" s="2" t="s">
        <v>536</v>
      </c>
      <c r="O140" s="2" t="s">
        <v>610</v>
      </c>
      <c r="P140" s="2" t="s">
        <v>685</v>
      </c>
      <c r="Q140" s="2" t="s">
        <v>461</v>
      </c>
      <c r="R140" s="2" t="s">
        <v>537</v>
      </c>
      <c r="S140" s="2" t="s">
        <v>611</v>
      </c>
      <c r="T140" s="2" t="s">
        <v>686</v>
      </c>
      <c r="U140" s="2" t="s">
        <v>462</v>
      </c>
      <c r="V140" s="2" t="s">
        <v>538</v>
      </c>
      <c r="W140" s="2" t="s">
        <v>612</v>
      </c>
      <c r="X140" s="2" t="s">
        <v>687</v>
      </c>
      <c r="Y140" s="2" t="s">
        <v>433</v>
      </c>
      <c r="Z140" s="2" t="s">
        <v>431</v>
      </c>
    </row>
    <row r="141" spans="1:26" ht="11.25" hidden="1" customHeight="1">
      <c r="B141" s="1" t="s">
        <v>420</v>
      </c>
      <c r="C141" s="2" t="s">
        <v>431</v>
      </c>
      <c r="D141" s="2" t="s">
        <v>432</v>
      </c>
      <c r="E141" s="2" t="s">
        <v>746</v>
      </c>
      <c r="F141" s="2" t="s">
        <v>437</v>
      </c>
      <c r="G141" s="2" t="s">
        <v>2</v>
      </c>
      <c r="H141" s="2" t="s">
        <v>3</v>
      </c>
      <c r="I141" s="2" t="s">
        <v>820</v>
      </c>
      <c r="J141" s="2" t="s">
        <v>535</v>
      </c>
      <c r="K141" s="2" t="s">
        <v>609</v>
      </c>
      <c r="L141" s="2" t="s">
        <v>684</v>
      </c>
      <c r="M141" s="2" t="s">
        <v>460</v>
      </c>
      <c r="N141" s="2" t="s">
        <v>536</v>
      </c>
      <c r="O141" s="2" t="s">
        <v>610</v>
      </c>
      <c r="P141" s="2" t="s">
        <v>685</v>
      </c>
      <c r="Q141" s="2" t="s">
        <v>461</v>
      </c>
      <c r="R141" s="2" t="s">
        <v>537</v>
      </c>
      <c r="S141" s="2" t="s">
        <v>611</v>
      </c>
      <c r="T141" s="2" t="s">
        <v>686</v>
      </c>
      <c r="U141" s="2" t="s">
        <v>462</v>
      </c>
      <c r="V141" s="2" t="s">
        <v>538</v>
      </c>
      <c r="W141" s="2" t="s">
        <v>612</v>
      </c>
      <c r="X141" s="2" t="s">
        <v>687</v>
      </c>
      <c r="Y141" s="2" t="s">
        <v>433</v>
      </c>
      <c r="Z141" s="2" t="s">
        <v>431</v>
      </c>
    </row>
    <row r="142" spans="1:26" ht="11.25" hidden="1" customHeight="1">
      <c r="B142" s="1" t="s">
        <v>421</v>
      </c>
      <c r="C142" s="2" t="s">
        <v>431</v>
      </c>
      <c r="D142" s="2" t="s">
        <v>432</v>
      </c>
      <c r="E142" s="2" t="s">
        <v>746</v>
      </c>
      <c r="F142" s="2" t="s">
        <v>437</v>
      </c>
      <c r="G142" s="2" t="s">
        <v>2</v>
      </c>
      <c r="H142" s="2" t="s">
        <v>3</v>
      </c>
      <c r="I142" s="2" t="s">
        <v>820</v>
      </c>
      <c r="J142" s="2" t="s">
        <v>535</v>
      </c>
      <c r="K142" s="2" t="s">
        <v>609</v>
      </c>
      <c r="L142" s="2" t="s">
        <v>684</v>
      </c>
      <c r="M142" s="2" t="s">
        <v>460</v>
      </c>
      <c r="N142" s="2" t="s">
        <v>536</v>
      </c>
      <c r="O142" s="2" t="s">
        <v>610</v>
      </c>
      <c r="P142" s="2" t="s">
        <v>685</v>
      </c>
      <c r="Q142" s="2" t="s">
        <v>461</v>
      </c>
      <c r="R142" s="2" t="s">
        <v>537</v>
      </c>
      <c r="S142" s="2" t="s">
        <v>611</v>
      </c>
      <c r="T142" s="2" t="s">
        <v>686</v>
      </c>
      <c r="U142" s="2" t="s">
        <v>462</v>
      </c>
      <c r="V142" s="2" t="s">
        <v>538</v>
      </c>
      <c r="W142" s="2" t="s">
        <v>612</v>
      </c>
      <c r="X142" s="2" t="s">
        <v>687</v>
      </c>
      <c r="Y142" s="2" t="s">
        <v>433</v>
      </c>
      <c r="Z142" s="2" t="s">
        <v>431</v>
      </c>
    </row>
    <row r="143" spans="1:26" ht="11.25" hidden="1" customHeight="1">
      <c r="B143" s="1" t="s">
        <v>422</v>
      </c>
      <c r="C143" s="2" t="s">
        <v>431</v>
      </c>
      <c r="D143" s="2" t="s">
        <v>432</v>
      </c>
      <c r="E143" s="2" t="s">
        <v>746</v>
      </c>
      <c r="F143" s="2" t="s">
        <v>437</v>
      </c>
      <c r="G143" s="2" t="s">
        <v>2</v>
      </c>
      <c r="H143" s="2" t="s">
        <v>3</v>
      </c>
      <c r="I143" s="2" t="s">
        <v>820</v>
      </c>
      <c r="J143" s="2" t="s">
        <v>535</v>
      </c>
      <c r="K143" s="2" t="s">
        <v>609</v>
      </c>
      <c r="L143" s="2" t="s">
        <v>684</v>
      </c>
      <c r="M143" s="2" t="s">
        <v>460</v>
      </c>
      <c r="N143" s="2" t="s">
        <v>536</v>
      </c>
      <c r="O143" s="2" t="s">
        <v>610</v>
      </c>
      <c r="P143" s="2" t="s">
        <v>685</v>
      </c>
      <c r="Q143" s="2" t="s">
        <v>461</v>
      </c>
      <c r="R143" s="2" t="s">
        <v>537</v>
      </c>
      <c r="S143" s="2" t="s">
        <v>611</v>
      </c>
      <c r="T143" s="2" t="s">
        <v>686</v>
      </c>
      <c r="U143" s="2" t="s">
        <v>462</v>
      </c>
      <c r="V143" s="2" t="s">
        <v>538</v>
      </c>
      <c r="W143" s="2" t="s">
        <v>612</v>
      </c>
      <c r="X143" s="2" t="s">
        <v>687</v>
      </c>
      <c r="Y143" s="2" t="s">
        <v>433</v>
      </c>
      <c r="Z143" s="2" t="s">
        <v>431</v>
      </c>
    </row>
    <row r="144" spans="1:26" ht="11.25" hidden="1" customHeight="1">
      <c r="B144" s="1" t="s">
        <v>423</v>
      </c>
      <c r="C144" s="2" t="s">
        <v>431</v>
      </c>
      <c r="D144" s="2" t="s">
        <v>432</v>
      </c>
      <c r="E144" s="2" t="s">
        <v>434</v>
      </c>
      <c r="F144" s="2" t="s">
        <v>438</v>
      </c>
      <c r="G144" s="2" t="s">
        <v>4</v>
      </c>
      <c r="H144" s="2" t="s">
        <v>5</v>
      </c>
      <c r="I144" s="2" t="s">
        <v>478</v>
      </c>
      <c r="J144" s="2" t="s">
        <v>554</v>
      </c>
      <c r="K144" s="2" t="s">
        <v>628</v>
      </c>
      <c r="L144" s="2" t="s">
        <v>703</v>
      </c>
      <c r="M144" s="2" t="s">
        <v>479</v>
      </c>
      <c r="N144" s="2" t="s">
        <v>555</v>
      </c>
      <c r="O144" s="2" t="s">
        <v>629</v>
      </c>
      <c r="P144" s="2" t="s">
        <v>704</v>
      </c>
      <c r="Q144" s="2" t="s">
        <v>480</v>
      </c>
      <c r="R144" s="2" t="s">
        <v>556</v>
      </c>
      <c r="S144" s="2" t="s">
        <v>630</v>
      </c>
      <c r="T144" s="2" t="s">
        <v>705</v>
      </c>
      <c r="U144" s="2" t="s">
        <v>481</v>
      </c>
      <c r="V144" s="2" t="s">
        <v>557</v>
      </c>
      <c r="W144" s="2" t="s">
        <v>631</v>
      </c>
      <c r="X144" s="2" t="s">
        <v>706</v>
      </c>
      <c r="Y144" s="2" t="s">
        <v>433</v>
      </c>
      <c r="Z144" s="2" t="s">
        <v>431</v>
      </c>
    </row>
    <row r="145" spans="1:26" ht="11.25" hidden="1" customHeight="1">
      <c r="B145" s="1" t="s">
        <v>424</v>
      </c>
      <c r="C145" s="2" t="s">
        <v>431</v>
      </c>
      <c r="D145" s="2" t="s">
        <v>432</v>
      </c>
      <c r="E145" s="2" t="s">
        <v>434</v>
      </c>
      <c r="F145" s="2" t="s">
        <v>438</v>
      </c>
      <c r="G145" s="2" t="s">
        <v>4</v>
      </c>
      <c r="H145" s="2" t="s">
        <v>5</v>
      </c>
      <c r="I145" s="2" t="s">
        <v>478</v>
      </c>
      <c r="J145" s="2" t="s">
        <v>554</v>
      </c>
      <c r="K145" s="2" t="s">
        <v>628</v>
      </c>
      <c r="L145" s="2" t="s">
        <v>703</v>
      </c>
      <c r="M145" s="2" t="s">
        <v>479</v>
      </c>
      <c r="N145" s="2" t="s">
        <v>555</v>
      </c>
      <c r="O145" s="2" t="s">
        <v>629</v>
      </c>
      <c r="P145" s="2" t="s">
        <v>704</v>
      </c>
      <c r="Q145" s="2" t="s">
        <v>480</v>
      </c>
      <c r="R145" s="2" t="s">
        <v>556</v>
      </c>
      <c r="S145" s="2" t="s">
        <v>630</v>
      </c>
      <c r="T145" s="2" t="s">
        <v>705</v>
      </c>
      <c r="U145" s="2" t="s">
        <v>481</v>
      </c>
      <c r="V145" s="2" t="s">
        <v>557</v>
      </c>
      <c r="W145" s="2" t="s">
        <v>631</v>
      </c>
      <c r="X145" s="2" t="s">
        <v>706</v>
      </c>
      <c r="Y145" s="2" t="s">
        <v>433</v>
      </c>
      <c r="Z145" s="2" t="s">
        <v>431</v>
      </c>
    </row>
    <row r="146" spans="1:26" ht="11.25" hidden="1" customHeight="1">
      <c r="B146" s="1" t="s">
        <v>425</v>
      </c>
      <c r="C146" s="2" t="s">
        <v>431</v>
      </c>
      <c r="D146" s="2" t="s">
        <v>432</v>
      </c>
      <c r="E146" s="2" t="s">
        <v>434</v>
      </c>
      <c r="F146" s="2" t="s">
        <v>438</v>
      </c>
      <c r="G146" s="2" t="s">
        <v>4</v>
      </c>
      <c r="H146" s="2" t="s">
        <v>5</v>
      </c>
      <c r="I146" s="2" t="s">
        <v>478</v>
      </c>
      <c r="J146" s="2" t="s">
        <v>554</v>
      </c>
      <c r="K146" s="2" t="s">
        <v>628</v>
      </c>
      <c r="L146" s="2" t="s">
        <v>703</v>
      </c>
      <c r="M146" s="2" t="s">
        <v>479</v>
      </c>
      <c r="N146" s="2" t="s">
        <v>555</v>
      </c>
      <c r="O146" s="2" t="s">
        <v>629</v>
      </c>
      <c r="P146" s="2" t="s">
        <v>704</v>
      </c>
      <c r="Q146" s="2" t="s">
        <v>480</v>
      </c>
      <c r="R146" s="2" t="s">
        <v>556</v>
      </c>
      <c r="S146" s="2" t="s">
        <v>630</v>
      </c>
      <c r="T146" s="2" t="s">
        <v>705</v>
      </c>
      <c r="U146" s="2" t="s">
        <v>481</v>
      </c>
      <c r="V146" s="2" t="s">
        <v>557</v>
      </c>
      <c r="W146" s="2" t="s">
        <v>631</v>
      </c>
      <c r="X146" s="2" t="s">
        <v>706</v>
      </c>
      <c r="Y146" s="2" t="s">
        <v>433</v>
      </c>
      <c r="Z146" s="2" t="s">
        <v>431</v>
      </c>
    </row>
    <row r="147" spans="1:26" ht="11.25" hidden="1" customHeight="1">
      <c r="B147" s="1" t="s">
        <v>426</v>
      </c>
      <c r="C147" s="2" t="s">
        <v>431</v>
      </c>
      <c r="D147" s="2" t="s">
        <v>432</v>
      </c>
      <c r="E147" s="2" t="s">
        <v>434</v>
      </c>
      <c r="F147" s="2" t="s">
        <v>438</v>
      </c>
      <c r="G147" s="2" t="s">
        <v>4</v>
      </c>
      <c r="H147" s="2" t="s">
        <v>5</v>
      </c>
      <c r="I147" s="2" t="s">
        <v>478</v>
      </c>
      <c r="J147" s="2" t="s">
        <v>554</v>
      </c>
      <c r="K147" s="2" t="s">
        <v>628</v>
      </c>
      <c r="L147" s="2" t="s">
        <v>703</v>
      </c>
      <c r="M147" s="2" t="s">
        <v>479</v>
      </c>
      <c r="N147" s="2" t="s">
        <v>555</v>
      </c>
      <c r="O147" s="2" t="s">
        <v>629</v>
      </c>
      <c r="P147" s="2" t="s">
        <v>704</v>
      </c>
      <c r="Q147" s="2" t="s">
        <v>480</v>
      </c>
      <c r="R147" s="2" t="s">
        <v>556</v>
      </c>
      <c r="S147" s="2" t="s">
        <v>630</v>
      </c>
      <c r="T147" s="2" t="s">
        <v>705</v>
      </c>
      <c r="U147" s="2" t="s">
        <v>481</v>
      </c>
      <c r="V147" s="2" t="s">
        <v>557</v>
      </c>
      <c r="W147" s="2" t="s">
        <v>631</v>
      </c>
      <c r="X147" s="2" t="s">
        <v>706</v>
      </c>
      <c r="Y147" s="2" t="s">
        <v>433</v>
      </c>
      <c r="Z147" s="2" t="s">
        <v>431</v>
      </c>
    </row>
    <row r="148" spans="1:26" ht="11.25" hidden="1" customHeight="1">
      <c r="B148" s="1" t="s">
        <v>427</v>
      </c>
      <c r="C148" s="2" t="s">
        <v>431</v>
      </c>
      <c r="D148" s="2" t="s">
        <v>432</v>
      </c>
      <c r="E148" s="2" t="s">
        <v>435</v>
      </c>
      <c r="F148" s="2" t="s">
        <v>439</v>
      </c>
      <c r="G148" s="2" t="s">
        <v>6</v>
      </c>
      <c r="H148" s="2" t="s">
        <v>7</v>
      </c>
      <c r="I148" s="2" t="s">
        <v>497</v>
      </c>
      <c r="J148" s="2" t="s">
        <v>573</v>
      </c>
      <c r="K148" s="2" t="s">
        <v>647</v>
      </c>
      <c r="L148" s="2" t="s">
        <v>722</v>
      </c>
      <c r="M148" s="2" t="s">
        <v>498</v>
      </c>
      <c r="N148" s="2" t="s">
        <v>574</v>
      </c>
      <c r="O148" s="2" t="s">
        <v>648</v>
      </c>
      <c r="P148" s="2" t="s">
        <v>723</v>
      </c>
      <c r="Q148" s="2" t="s">
        <v>499</v>
      </c>
      <c r="R148" s="2" t="s">
        <v>575</v>
      </c>
      <c r="S148" s="2" t="s">
        <v>649</v>
      </c>
      <c r="T148" s="2" t="s">
        <v>724</v>
      </c>
      <c r="U148" s="2" t="s">
        <v>500</v>
      </c>
      <c r="V148" s="2" t="s">
        <v>576</v>
      </c>
      <c r="W148" s="2" t="s">
        <v>650</v>
      </c>
      <c r="X148" s="2" t="s">
        <v>725</v>
      </c>
      <c r="Y148" s="2" t="s">
        <v>433</v>
      </c>
      <c r="Z148" s="2" t="s">
        <v>431</v>
      </c>
    </row>
    <row r="149" spans="1:26" ht="11.25" hidden="1" customHeight="1">
      <c r="B149" s="1" t="s">
        <v>428</v>
      </c>
      <c r="C149" s="2" t="s">
        <v>431</v>
      </c>
      <c r="D149" s="2" t="s">
        <v>432</v>
      </c>
      <c r="E149" s="2" t="s">
        <v>435</v>
      </c>
      <c r="F149" s="2" t="s">
        <v>439</v>
      </c>
      <c r="G149" s="2" t="s">
        <v>6</v>
      </c>
      <c r="H149" s="2" t="s">
        <v>7</v>
      </c>
      <c r="I149" s="2" t="s">
        <v>497</v>
      </c>
      <c r="J149" s="2" t="s">
        <v>573</v>
      </c>
      <c r="K149" s="2" t="s">
        <v>647</v>
      </c>
      <c r="L149" s="2" t="s">
        <v>722</v>
      </c>
      <c r="M149" s="2" t="s">
        <v>498</v>
      </c>
      <c r="N149" s="2" t="s">
        <v>574</v>
      </c>
      <c r="O149" s="2" t="s">
        <v>648</v>
      </c>
      <c r="P149" s="2" t="s">
        <v>723</v>
      </c>
      <c r="Q149" s="2" t="s">
        <v>499</v>
      </c>
      <c r="R149" s="2" t="s">
        <v>575</v>
      </c>
      <c r="S149" s="2" t="s">
        <v>649</v>
      </c>
      <c r="T149" s="2" t="s">
        <v>724</v>
      </c>
      <c r="U149" s="2" t="s">
        <v>500</v>
      </c>
      <c r="V149" s="2" t="s">
        <v>576</v>
      </c>
      <c r="W149" s="2" t="s">
        <v>650</v>
      </c>
      <c r="X149" s="2" t="s">
        <v>725</v>
      </c>
      <c r="Y149" s="2" t="s">
        <v>433</v>
      </c>
      <c r="Z149" s="2" t="s">
        <v>431</v>
      </c>
    </row>
    <row r="150" spans="1:26" ht="11.25" hidden="1" customHeight="1">
      <c r="B150" s="1" t="s">
        <v>429</v>
      </c>
      <c r="C150" s="2" t="s">
        <v>431</v>
      </c>
      <c r="D150" s="2" t="s">
        <v>432</v>
      </c>
      <c r="E150" s="2" t="s">
        <v>435</v>
      </c>
      <c r="F150" s="2" t="s">
        <v>439</v>
      </c>
      <c r="G150" s="2" t="s">
        <v>6</v>
      </c>
      <c r="H150" s="2" t="s">
        <v>7</v>
      </c>
      <c r="I150" s="2" t="s">
        <v>497</v>
      </c>
      <c r="J150" s="2" t="s">
        <v>573</v>
      </c>
      <c r="K150" s="2" t="s">
        <v>647</v>
      </c>
      <c r="L150" s="2" t="s">
        <v>722</v>
      </c>
      <c r="M150" s="2" t="s">
        <v>498</v>
      </c>
      <c r="N150" s="2" t="s">
        <v>574</v>
      </c>
      <c r="O150" s="2" t="s">
        <v>648</v>
      </c>
      <c r="P150" s="2" t="s">
        <v>723</v>
      </c>
      <c r="Q150" s="2" t="s">
        <v>499</v>
      </c>
      <c r="R150" s="2" t="s">
        <v>575</v>
      </c>
      <c r="S150" s="2" t="s">
        <v>649</v>
      </c>
      <c r="T150" s="2" t="s">
        <v>724</v>
      </c>
      <c r="U150" s="2" t="s">
        <v>500</v>
      </c>
      <c r="V150" s="2" t="s">
        <v>576</v>
      </c>
      <c r="W150" s="2" t="s">
        <v>650</v>
      </c>
      <c r="X150" s="2" t="s">
        <v>725</v>
      </c>
      <c r="Y150" s="2" t="s">
        <v>433</v>
      </c>
      <c r="Z150" s="2" t="s">
        <v>431</v>
      </c>
    </row>
    <row r="151" spans="1:26" ht="11.25" hidden="1" customHeight="1">
      <c r="B151" s="1" t="s">
        <v>430</v>
      </c>
      <c r="C151" s="2" t="s">
        <v>431</v>
      </c>
      <c r="D151" s="2" t="s">
        <v>432</v>
      </c>
      <c r="E151" s="2" t="s">
        <v>435</v>
      </c>
      <c r="F151" s="2" t="s">
        <v>439</v>
      </c>
      <c r="G151" s="2" t="s">
        <v>6</v>
      </c>
      <c r="H151" s="2" t="s">
        <v>7</v>
      </c>
      <c r="I151" s="2" t="s">
        <v>497</v>
      </c>
      <c r="J151" s="2" t="s">
        <v>573</v>
      </c>
      <c r="K151" s="2" t="s">
        <v>647</v>
      </c>
      <c r="L151" s="2" t="s">
        <v>722</v>
      </c>
      <c r="M151" s="2" t="s">
        <v>498</v>
      </c>
      <c r="N151" s="2" t="s">
        <v>574</v>
      </c>
      <c r="O151" s="2" t="s">
        <v>648</v>
      </c>
      <c r="P151" s="2" t="s">
        <v>723</v>
      </c>
      <c r="Q151" s="2" t="s">
        <v>499</v>
      </c>
      <c r="R151" s="2" t="s">
        <v>575</v>
      </c>
      <c r="S151" s="2" t="s">
        <v>649</v>
      </c>
      <c r="T151" s="2" t="s">
        <v>724</v>
      </c>
      <c r="U151" s="2" t="s">
        <v>500</v>
      </c>
      <c r="V151" s="2" t="s">
        <v>576</v>
      </c>
      <c r="W151" s="2" t="s">
        <v>650</v>
      </c>
      <c r="X151" s="2" t="s">
        <v>725</v>
      </c>
      <c r="Y151" s="2" t="s">
        <v>433</v>
      </c>
      <c r="Z151" s="2" t="s">
        <v>431</v>
      </c>
    </row>
    <row r="153" spans="1:26" s="61" customFormat="1" ht="11.25" customHeight="1">
      <c r="A153" s="61" t="s">
        <v>2008</v>
      </c>
      <c r="H153" s="62"/>
    </row>
    <row r="154" spans="1:26" s="35" customFormat="1" ht="11.25" hidden="1" customHeight="1">
      <c r="A154" s="26"/>
      <c r="B154" s="26"/>
      <c r="H154" s="34"/>
      <c r="O154" s="25"/>
    </row>
    <row r="155" spans="1:26" ht="11.25" hidden="1" customHeight="1">
      <c r="B155" s="1"/>
      <c r="C155" s="1">
        <v>1</v>
      </c>
      <c r="D155" s="1">
        <v>2</v>
      </c>
      <c r="E155" s="1">
        <v>3</v>
      </c>
      <c r="F155" s="1">
        <v>4</v>
      </c>
      <c r="G155" s="1">
        <v>5</v>
      </c>
      <c r="H155" s="1">
        <v>6</v>
      </c>
      <c r="I155" s="1">
        <v>7</v>
      </c>
      <c r="J155" s="1">
        <v>8</v>
      </c>
      <c r="K155" s="1">
        <v>9</v>
      </c>
      <c r="L155" s="1">
        <v>10</v>
      </c>
      <c r="M155" s="1">
        <v>11</v>
      </c>
      <c r="N155" s="1">
        <v>12</v>
      </c>
      <c r="O155" s="1">
        <v>13</v>
      </c>
      <c r="P155" s="1">
        <v>14</v>
      </c>
      <c r="Q155" s="1">
        <v>15</v>
      </c>
      <c r="R155" s="1">
        <v>16</v>
      </c>
      <c r="S155" s="1">
        <v>17</v>
      </c>
      <c r="T155" s="1">
        <v>18</v>
      </c>
      <c r="U155" s="1">
        <v>19</v>
      </c>
      <c r="V155" s="1">
        <v>20</v>
      </c>
      <c r="W155" s="1">
        <v>21</v>
      </c>
      <c r="X155" s="1">
        <v>22</v>
      </c>
      <c r="Y155" s="1">
        <v>23</v>
      </c>
      <c r="Z155" s="1">
        <v>24</v>
      </c>
    </row>
    <row r="156" spans="1:26" ht="11.25" hidden="1" customHeight="1">
      <c r="B156" s="1" t="s">
        <v>415</v>
      </c>
      <c r="C156" s="2" t="s">
        <v>431</v>
      </c>
      <c r="D156" s="2" t="s">
        <v>432</v>
      </c>
      <c r="E156" s="2" t="s">
        <v>745</v>
      </c>
      <c r="F156" s="2" t="s">
        <v>745</v>
      </c>
      <c r="G156" s="2" t="s">
        <v>745</v>
      </c>
      <c r="H156" s="2" t="s">
        <v>745</v>
      </c>
      <c r="I156" s="2" t="s">
        <v>745</v>
      </c>
      <c r="J156" s="2" t="s">
        <v>436</v>
      </c>
      <c r="K156" s="2" t="s">
        <v>436</v>
      </c>
      <c r="L156" s="2" t="s">
        <v>436</v>
      </c>
      <c r="M156" s="2" t="s">
        <v>436</v>
      </c>
      <c r="N156" s="2" t="s">
        <v>436</v>
      </c>
      <c r="O156" s="2" t="s">
        <v>2039</v>
      </c>
      <c r="P156" s="2" t="s">
        <v>2039</v>
      </c>
      <c r="Q156" s="2" t="s">
        <v>2039</v>
      </c>
      <c r="R156" s="2" t="s">
        <v>2039</v>
      </c>
      <c r="S156" s="2" t="s">
        <v>2039</v>
      </c>
      <c r="T156" s="2" t="s">
        <v>1</v>
      </c>
      <c r="U156" s="2" t="s">
        <v>1</v>
      </c>
      <c r="V156" s="2" t="s">
        <v>1</v>
      </c>
      <c r="W156" s="2" t="s">
        <v>1</v>
      </c>
      <c r="X156" s="2" t="s">
        <v>1</v>
      </c>
      <c r="Y156" s="2" t="s">
        <v>433</v>
      </c>
      <c r="Z156" s="2" t="s">
        <v>431</v>
      </c>
    </row>
    <row r="157" spans="1:26" ht="11.25" hidden="1" customHeight="1">
      <c r="B157" s="1" t="s">
        <v>416</v>
      </c>
      <c r="C157" s="2" t="s">
        <v>431</v>
      </c>
      <c r="D157" s="2" t="s">
        <v>432</v>
      </c>
      <c r="E157" s="2" t="s">
        <v>745</v>
      </c>
      <c r="F157" s="2" t="s">
        <v>745</v>
      </c>
      <c r="G157" s="2" t="s">
        <v>745</v>
      </c>
      <c r="H157" s="2" t="s">
        <v>745</v>
      </c>
      <c r="I157" s="2" t="s">
        <v>745</v>
      </c>
      <c r="J157" s="2" t="s">
        <v>436</v>
      </c>
      <c r="K157" s="2" t="s">
        <v>436</v>
      </c>
      <c r="L157" s="2" t="s">
        <v>436</v>
      </c>
      <c r="M157" s="2" t="s">
        <v>436</v>
      </c>
      <c r="N157" s="2" t="s">
        <v>436</v>
      </c>
      <c r="O157" s="2" t="s">
        <v>2039</v>
      </c>
      <c r="P157" s="2" t="s">
        <v>2039</v>
      </c>
      <c r="Q157" s="2" t="s">
        <v>2039</v>
      </c>
      <c r="R157" s="2" t="s">
        <v>2039</v>
      </c>
      <c r="S157" s="2" t="s">
        <v>2039</v>
      </c>
      <c r="T157" s="2" t="s">
        <v>1</v>
      </c>
      <c r="U157" s="2" t="s">
        <v>1</v>
      </c>
      <c r="V157" s="2" t="s">
        <v>1</v>
      </c>
      <c r="W157" s="2" t="s">
        <v>1</v>
      </c>
      <c r="X157" s="2" t="s">
        <v>1</v>
      </c>
      <c r="Y157" s="2" t="s">
        <v>433</v>
      </c>
      <c r="Z157" s="2" t="s">
        <v>431</v>
      </c>
    </row>
    <row r="158" spans="1:26" ht="11.25" hidden="1" customHeight="1">
      <c r="B158" s="1" t="s">
        <v>417</v>
      </c>
      <c r="C158" s="2" t="s">
        <v>431</v>
      </c>
      <c r="D158" s="2" t="s">
        <v>432</v>
      </c>
      <c r="E158" s="2" t="s">
        <v>745</v>
      </c>
      <c r="F158" s="2" t="s">
        <v>745</v>
      </c>
      <c r="G158" s="2" t="s">
        <v>745</v>
      </c>
      <c r="H158" s="2" t="s">
        <v>745</v>
      </c>
      <c r="I158" s="2" t="s">
        <v>745</v>
      </c>
      <c r="J158" s="2" t="s">
        <v>436</v>
      </c>
      <c r="K158" s="2" t="s">
        <v>436</v>
      </c>
      <c r="L158" s="2" t="s">
        <v>436</v>
      </c>
      <c r="M158" s="2" t="s">
        <v>436</v>
      </c>
      <c r="N158" s="2" t="s">
        <v>436</v>
      </c>
      <c r="O158" s="2" t="s">
        <v>2039</v>
      </c>
      <c r="P158" s="2" t="s">
        <v>2039</v>
      </c>
      <c r="Q158" s="2" t="s">
        <v>2039</v>
      </c>
      <c r="R158" s="2" t="s">
        <v>2039</v>
      </c>
      <c r="S158" s="2" t="s">
        <v>2039</v>
      </c>
      <c r="T158" s="2" t="s">
        <v>1</v>
      </c>
      <c r="U158" s="2" t="s">
        <v>1</v>
      </c>
      <c r="V158" s="2" t="s">
        <v>1</v>
      </c>
      <c r="W158" s="2" t="s">
        <v>1</v>
      </c>
      <c r="X158" s="2" t="s">
        <v>1</v>
      </c>
      <c r="Y158" s="2" t="s">
        <v>433</v>
      </c>
      <c r="Z158" s="2" t="s">
        <v>431</v>
      </c>
    </row>
    <row r="159" spans="1:26" ht="11.25" hidden="1" customHeight="1">
      <c r="B159" s="1" t="s">
        <v>418</v>
      </c>
      <c r="C159" s="2" t="s">
        <v>431</v>
      </c>
      <c r="D159" s="2" t="s">
        <v>432</v>
      </c>
      <c r="E159" s="2" t="s">
        <v>745</v>
      </c>
      <c r="F159" s="2" t="s">
        <v>745</v>
      </c>
      <c r="G159" s="2" t="s">
        <v>745</v>
      </c>
      <c r="H159" s="2" t="s">
        <v>745</v>
      </c>
      <c r="I159" s="2" t="s">
        <v>745</v>
      </c>
      <c r="J159" s="2" t="s">
        <v>436</v>
      </c>
      <c r="K159" s="2" t="s">
        <v>436</v>
      </c>
      <c r="L159" s="2" t="s">
        <v>436</v>
      </c>
      <c r="M159" s="2" t="s">
        <v>436</v>
      </c>
      <c r="N159" s="2" t="s">
        <v>436</v>
      </c>
      <c r="O159" s="2" t="s">
        <v>2039</v>
      </c>
      <c r="P159" s="2" t="s">
        <v>2039</v>
      </c>
      <c r="Q159" s="2" t="s">
        <v>2039</v>
      </c>
      <c r="R159" s="2" t="s">
        <v>2039</v>
      </c>
      <c r="S159" s="2" t="s">
        <v>2039</v>
      </c>
      <c r="T159" s="2" t="s">
        <v>1</v>
      </c>
      <c r="U159" s="2" t="s">
        <v>1</v>
      </c>
      <c r="V159" s="2" t="s">
        <v>1</v>
      </c>
      <c r="W159" s="2" t="s">
        <v>1</v>
      </c>
      <c r="X159" s="2" t="s">
        <v>1</v>
      </c>
      <c r="Y159" s="2" t="s">
        <v>433</v>
      </c>
      <c r="Z159" s="2" t="s">
        <v>431</v>
      </c>
    </row>
    <row r="160" spans="1:26" ht="11.25" hidden="1" customHeight="1">
      <c r="B160" s="1" t="s">
        <v>419</v>
      </c>
      <c r="C160" s="2" t="s">
        <v>431</v>
      </c>
      <c r="D160" s="2" t="s">
        <v>432</v>
      </c>
      <c r="E160" s="2" t="s">
        <v>746</v>
      </c>
      <c r="F160" s="2" t="s">
        <v>746</v>
      </c>
      <c r="G160" s="2" t="s">
        <v>746</v>
      </c>
      <c r="H160" s="2" t="s">
        <v>746</v>
      </c>
      <c r="I160" s="2" t="s">
        <v>746</v>
      </c>
      <c r="J160" s="2" t="s">
        <v>437</v>
      </c>
      <c r="K160" s="2" t="s">
        <v>437</v>
      </c>
      <c r="L160" s="2" t="s">
        <v>437</v>
      </c>
      <c r="M160" s="2" t="s">
        <v>437</v>
      </c>
      <c r="N160" s="2" t="s">
        <v>437</v>
      </c>
      <c r="O160" s="2" t="s">
        <v>2040</v>
      </c>
      <c r="P160" s="2" t="s">
        <v>2040</v>
      </c>
      <c r="Q160" s="2" t="s">
        <v>2040</v>
      </c>
      <c r="R160" s="2" t="s">
        <v>2040</v>
      </c>
      <c r="S160" s="2" t="s">
        <v>2040</v>
      </c>
      <c r="T160" s="2" t="s">
        <v>3</v>
      </c>
      <c r="U160" s="2" t="s">
        <v>3</v>
      </c>
      <c r="V160" s="2" t="s">
        <v>3</v>
      </c>
      <c r="W160" s="2" t="s">
        <v>3</v>
      </c>
      <c r="X160" s="2" t="s">
        <v>3</v>
      </c>
      <c r="Y160" s="2" t="s">
        <v>433</v>
      </c>
      <c r="Z160" s="2" t="s">
        <v>431</v>
      </c>
    </row>
    <row r="161" spans="1:53" ht="11.25" hidden="1" customHeight="1">
      <c r="B161" s="1" t="s">
        <v>420</v>
      </c>
      <c r="C161" s="2" t="s">
        <v>431</v>
      </c>
      <c r="D161" s="2" t="s">
        <v>432</v>
      </c>
      <c r="E161" s="2" t="s">
        <v>746</v>
      </c>
      <c r="F161" s="2" t="s">
        <v>746</v>
      </c>
      <c r="G161" s="2" t="s">
        <v>746</v>
      </c>
      <c r="H161" s="2" t="s">
        <v>746</v>
      </c>
      <c r="I161" s="2" t="s">
        <v>746</v>
      </c>
      <c r="J161" s="2" t="s">
        <v>437</v>
      </c>
      <c r="K161" s="2" t="s">
        <v>437</v>
      </c>
      <c r="L161" s="2" t="s">
        <v>437</v>
      </c>
      <c r="M161" s="2" t="s">
        <v>437</v>
      </c>
      <c r="N161" s="2" t="s">
        <v>437</v>
      </c>
      <c r="O161" s="2" t="s">
        <v>2040</v>
      </c>
      <c r="P161" s="2" t="s">
        <v>2040</v>
      </c>
      <c r="Q161" s="2" t="s">
        <v>2040</v>
      </c>
      <c r="R161" s="2" t="s">
        <v>2040</v>
      </c>
      <c r="S161" s="2" t="s">
        <v>2040</v>
      </c>
      <c r="T161" s="2" t="s">
        <v>3</v>
      </c>
      <c r="U161" s="2" t="s">
        <v>3</v>
      </c>
      <c r="V161" s="2" t="s">
        <v>3</v>
      </c>
      <c r="W161" s="2" t="s">
        <v>3</v>
      </c>
      <c r="X161" s="2" t="s">
        <v>3</v>
      </c>
      <c r="Y161" s="2" t="s">
        <v>433</v>
      </c>
      <c r="Z161" s="2" t="s">
        <v>431</v>
      </c>
    </row>
    <row r="162" spans="1:53" ht="11.25" hidden="1" customHeight="1">
      <c r="B162" s="1" t="s">
        <v>421</v>
      </c>
      <c r="C162" s="2" t="s">
        <v>431</v>
      </c>
      <c r="D162" s="2" t="s">
        <v>432</v>
      </c>
      <c r="E162" s="2" t="s">
        <v>746</v>
      </c>
      <c r="F162" s="2" t="s">
        <v>746</v>
      </c>
      <c r="G162" s="2" t="s">
        <v>746</v>
      </c>
      <c r="H162" s="2" t="s">
        <v>746</v>
      </c>
      <c r="I162" s="2" t="s">
        <v>746</v>
      </c>
      <c r="J162" s="2" t="s">
        <v>437</v>
      </c>
      <c r="K162" s="2" t="s">
        <v>437</v>
      </c>
      <c r="L162" s="2" t="s">
        <v>437</v>
      </c>
      <c r="M162" s="2" t="s">
        <v>437</v>
      </c>
      <c r="N162" s="2" t="s">
        <v>437</v>
      </c>
      <c r="O162" s="2" t="s">
        <v>2040</v>
      </c>
      <c r="P162" s="2" t="s">
        <v>2040</v>
      </c>
      <c r="Q162" s="2" t="s">
        <v>2040</v>
      </c>
      <c r="R162" s="2" t="s">
        <v>2040</v>
      </c>
      <c r="S162" s="2" t="s">
        <v>2040</v>
      </c>
      <c r="T162" s="2" t="s">
        <v>3</v>
      </c>
      <c r="U162" s="2" t="s">
        <v>3</v>
      </c>
      <c r="V162" s="2" t="s">
        <v>3</v>
      </c>
      <c r="W162" s="2" t="s">
        <v>3</v>
      </c>
      <c r="X162" s="2" t="s">
        <v>3</v>
      </c>
      <c r="Y162" s="2" t="s">
        <v>433</v>
      </c>
      <c r="Z162" s="2" t="s">
        <v>431</v>
      </c>
    </row>
    <row r="163" spans="1:53" ht="11.25" hidden="1" customHeight="1">
      <c r="B163" s="1" t="s">
        <v>422</v>
      </c>
      <c r="C163" s="2" t="s">
        <v>431</v>
      </c>
      <c r="D163" s="2" t="s">
        <v>432</v>
      </c>
      <c r="E163" s="2" t="s">
        <v>746</v>
      </c>
      <c r="F163" s="2" t="s">
        <v>746</v>
      </c>
      <c r="G163" s="2" t="s">
        <v>746</v>
      </c>
      <c r="H163" s="2" t="s">
        <v>746</v>
      </c>
      <c r="I163" s="2" t="s">
        <v>746</v>
      </c>
      <c r="J163" s="2" t="s">
        <v>437</v>
      </c>
      <c r="K163" s="2" t="s">
        <v>437</v>
      </c>
      <c r="L163" s="2" t="s">
        <v>437</v>
      </c>
      <c r="M163" s="2" t="s">
        <v>437</v>
      </c>
      <c r="N163" s="2" t="s">
        <v>437</v>
      </c>
      <c r="O163" s="2" t="s">
        <v>2040</v>
      </c>
      <c r="P163" s="2" t="s">
        <v>2040</v>
      </c>
      <c r="Q163" s="2" t="s">
        <v>2040</v>
      </c>
      <c r="R163" s="2" t="s">
        <v>2040</v>
      </c>
      <c r="S163" s="2" t="s">
        <v>2040</v>
      </c>
      <c r="T163" s="2" t="s">
        <v>3</v>
      </c>
      <c r="U163" s="2" t="s">
        <v>3</v>
      </c>
      <c r="V163" s="2" t="s">
        <v>3</v>
      </c>
      <c r="W163" s="2" t="s">
        <v>3</v>
      </c>
      <c r="X163" s="2" t="s">
        <v>3</v>
      </c>
      <c r="Y163" s="2" t="s">
        <v>433</v>
      </c>
      <c r="Z163" s="2" t="s">
        <v>431</v>
      </c>
    </row>
    <row r="164" spans="1:53" ht="11.25" hidden="1" customHeight="1">
      <c r="B164" s="1" t="s">
        <v>423</v>
      </c>
      <c r="C164" s="2" t="s">
        <v>431</v>
      </c>
      <c r="D164" s="2" t="s">
        <v>432</v>
      </c>
      <c r="E164" s="2" t="s">
        <v>434</v>
      </c>
      <c r="F164" s="2" t="s">
        <v>434</v>
      </c>
      <c r="G164" s="2" t="s">
        <v>434</v>
      </c>
      <c r="H164" s="2" t="s">
        <v>434</v>
      </c>
      <c r="I164" s="2" t="s">
        <v>434</v>
      </c>
      <c r="J164" s="2" t="s">
        <v>438</v>
      </c>
      <c r="K164" s="2" t="s">
        <v>438</v>
      </c>
      <c r="L164" s="2" t="s">
        <v>438</v>
      </c>
      <c r="M164" s="2" t="s">
        <v>438</v>
      </c>
      <c r="N164" s="2" t="s">
        <v>438</v>
      </c>
      <c r="O164" s="2" t="s">
        <v>4</v>
      </c>
      <c r="P164" s="2" t="s">
        <v>4</v>
      </c>
      <c r="Q164" s="2" t="s">
        <v>4</v>
      </c>
      <c r="R164" s="2" t="s">
        <v>4</v>
      </c>
      <c r="S164" s="2" t="s">
        <v>4</v>
      </c>
      <c r="T164" s="2" t="s">
        <v>5</v>
      </c>
      <c r="U164" s="2" t="s">
        <v>5</v>
      </c>
      <c r="V164" s="2" t="s">
        <v>5</v>
      </c>
      <c r="W164" s="2" t="s">
        <v>5</v>
      </c>
      <c r="X164" s="2" t="s">
        <v>5</v>
      </c>
      <c r="Y164" s="2" t="s">
        <v>433</v>
      </c>
      <c r="Z164" s="2" t="s">
        <v>431</v>
      </c>
    </row>
    <row r="165" spans="1:53" ht="11.25" hidden="1" customHeight="1">
      <c r="B165" s="1" t="s">
        <v>424</v>
      </c>
      <c r="C165" s="2" t="s">
        <v>431</v>
      </c>
      <c r="D165" s="2" t="s">
        <v>432</v>
      </c>
      <c r="E165" s="2" t="s">
        <v>434</v>
      </c>
      <c r="F165" s="2" t="s">
        <v>434</v>
      </c>
      <c r="G165" s="2" t="s">
        <v>434</v>
      </c>
      <c r="H165" s="2" t="s">
        <v>434</v>
      </c>
      <c r="I165" s="2" t="s">
        <v>434</v>
      </c>
      <c r="J165" s="2" t="s">
        <v>438</v>
      </c>
      <c r="K165" s="2" t="s">
        <v>438</v>
      </c>
      <c r="L165" s="2" t="s">
        <v>438</v>
      </c>
      <c r="M165" s="2" t="s">
        <v>438</v>
      </c>
      <c r="N165" s="2" t="s">
        <v>438</v>
      </c>
      <c r="O165" s="2" t="s">
        <v>4</v>
      </c>
      <c r="P165" s="2" t="s">
        <v>4</v>
      </c>
      <c r="Q165" s="2" t="s">
        <v>4</v>
      </c>
      <c r="R165" s="2" t="s">
        <v>4</v>
      </c>
      <c r="S165" s="2" t="s">
        <v>4</v>
      </c>
      <c r="T165" s="2" t="s">
        <v>5</v>
      </c>
      <c r="U165" s="2" t="s">
        <v>5</v>
      </c>
      <c r="V165" s="2" t="s">
        <v>5</v>
      </c>
      <c r="W165" s="2" t="s">
        <v>5</v>
      </c>
      <c r="X165" s="2" t="s">
        <v>5</v>
      </c>
      <c r="Y165" s="2" t="s">
        <v>433</v>
      </c>
      <c r="Z165" s="2" t="s">
        <v>431</v>
      </c>
    </row>
    <row r="166" spans="1:53" ht="11.25" hidden="1" customHeight="1">
      <c r="B166" s="1" t="s">
        <v>425</v>
      </c>
      <c r="C166" s="2" t="s">
        <v>431</v>
      </c>
      <c r="D166" s="2" t="s">
        <v>432</v>
      </c>
      <c r="E166" s="2" t="s">
        <v>434</v>
      </c>
      <c r="F166" s="2" t="s">
        <v>434</v>
      </c>
      <c r="G166" s="2" t="s">
        <v>434</v>
      </c>
      <c r="H166" s="2" t="s">
        <v>434</v>
      </c>
      <c r="I166" s="2" t="s">
        <v>434</v>
      </c>
      <c r="J166" s="2" t="s">
        <v>438</v>
      </c>
      <c r="K166" s="2" t="s">
        <v>438</v>
      </c>
      <c r="L166" s="2" t="s">
        <v>438</v>
      </c>
      <c r="M166" s="2" t="s">
        <v>438</v>
      </c>
      <c r="N166" s="2" t="s">
        <v>438</v>
      </c>
      <c r="O166" s="2" t="s">
        <v>4</v>
      </c>
      <c r="P166" s="2" t="s">
        <v>4</v>
      </c>
      <c r="Q166" s="2" t="s">
        <v>4</v>
      </c>
      <c r="R166" s="2" t="s">
        <v>4</v>
      </c>
      <c r="S166" s="2" t="s">
        <v>4</v>
      </c>
      <c r="T166" s="2" t="s">
        <v>5</v>
      </c>
      <c r="U166" s="2" t="s">
        <v>5</v>
      </c>
      <c r="V166" s="2" t="s">
        <v>5</v>
      </c>
      <c r="W166" s="2" t="s">
        <v>5</v>
      </c>
      <c r="X166" s="2" t="s">
        <v>5</v>
      </c>
      <c r="Y166" s="2" t="s">
        <v>433</v>
      </c>
      <c r="Z166" s="2" t="s">
        <v>431</v>
      </c>
    </row>
    <row r="167" spans="1:53" ht="11.25" hidden="1" customHeight="1">
      <c r="B167" s="1" t="s">
        <v>426</v>
      </c>
      <c r="C167" s="2" t="s">
        <v>431</v>
      </c>
      <c r="D167" s="2" t="s">
        <v>432</v>
      </c>
      <c r="E167" s="2" t="s">
        <v>434</v>
      </c>
      <c r="F167" s="2" t="s">
        <v>434</v>
      </c>
      <c r="G167" s="2" t="s">
        <v>434</v>
      </c>
      <c r="H167" s="2" t="s">
        <v>434</v>
      </c>
      <c r="I167" s="2" t="s">
        <v>434</v>
      </c>
      <c r="J167" s="2" t="s">
        <v>438</v>
      </c>
      <c r="K167" s="2" t="s">
        <v>438</v>
      </c>
      <c r="L167" s="2" t="s">
        <v>438</v>
      </c>
      <c r="M167" s="2" t="s">
        <v>438</v>
      </c>
      <c r="N167" s="2" t="s">
        <v>438</v>
      </c>
      <c r="O167" s="2" t="s">
        <v>4</v>
      </c>
      <c r="P167" s="2" t="s">
        <v>4</v>
      </c>
      <c r="Q167" s="2" t="s">
        <v>4</v>
      </c>
      <c r="R167" s="2" t="s">
        <v>4</v>
      </c>
      <c r="S167" s="2" t="s">
        <v>4</v>
      </c>
      <c r="T167" s="2" t="s">
        <v>5</v>
      </c>
      <c r="U167" s="2" t="s">
        <v>5</v>
      </c>
      <c r="V167" s="2" t="s">
        <v>5</v>
      </c>
      <c r="W167" s="2" t="s">
        <v>5</v>
      </c>
      <c r="X167" s="2" t="s">
        <v>5</v>
      </c>
      <c r="Y167" s="2" t="s">
        <v>433</v>
      </c>
      <c r="Z167" s="2" t="s">
        <v>431</v>
      </c>
    </row>
    <row r="168" spans="1:53" ht="11.25" hidden="1" customHeight="1">
      <c r="B168" s="1" t="s">
        <v>427</v>
      </c>
      <c r="C168" s="2" t="s">
        <v>431</v>
      </c>
      <c r="D168" s="2" t="s">
        <v>432</v>
      </c>
      <c r="E168" s="2" t="s">
        <v>435</v>
      </c>
      <c r="F168" s="2" t="s">
        <v>435</v>
      </c>
      <c r="G168" s="2" t="s">
        <v>435</v>
      </c>
      <c r="H168" s="2" t="s">
        <v>435</v>
      </c>
      <c r="I168" s="2" t="s">
        <v>435</v>
      </c>
      <c r="J168" s="2" t="s">
        <v>439</v>
      </c>
      <c r="K168" s="2" t="s">
        <v>439</v>
      </c>
      <c r="L168" s="2" t="s">
        <v>439</v>
      </c>
      <c r="M168" s="2" t="s">
        <v>439</v>
      </c>
      <c r="N168" s="2" t="s">
        <v>439</v>
      </c>
      <c r="O168" s="2" t="s">
        <v>6</v>
      </c>
      <c r="P168" s="2" t="s">
        <v>6</v>
      </c>
      <c r="Q168" s="2" t="s">
        <v>6</v>
      </c>
      <c r="R168" s="2" t="s">
        <v>6</v>
      </c>
      <c r="S168" s="2" t="s">
        <v>6</v>
      </c>
      <c r="T168" s="2" t="s">
        <v>7</v>
      </c>
      <c r="U168" s="2" t="s">
        <v>7</v>
      </c>
      <c r="V168" s="2" t="s">
        <v>7</v>
      </c>
      <c r="W168" s="2" t="s">
        <v>7</v>
      </c>
      <c r="X168" s="2" t="s">
        <v>7</v>
      </c>
      <c r="Y168" s="2" t="s">
        <v>433</v>
      </c>
      <c r="Z168" s="2" t="s">
        <v>431</v>
      </c>
    </row>
    <row r="169" spans="1:53" ht="11.25" hidden="1" customHeight="1">
      <c r="B169" s="1" t="s">
        <v>428</v>
      </c>
      <c r="C169" s="2" t="s">
        <v>431</v>
      </c>
      <c r="D169" s="2" t="s">
        <v>432</v>
      </c>
      <c r="E169" s="2" t="s">
        <v>435</v>
      </c>
      <c r="F169" s="2" t="s">
        <v>435</v>
      </c>
      <c r="G169" s="2" t="s">
        <v>435</v>
      </c>
      <c r="H169" s="2" t="s">
        <v>435</v>
      </c>
      <c r="I169" s="2" t="s">
        <v>435</v>
      </c>
      <c r="J169" s="2" t="s">
        <v>439</v>
      </c>
      <c r="K169" s="2" t="s">
        <v>439</v>
      </c>
      <c r="L169" s="2" t="s">
        <v>439</v>
      </c>
      <c r="M169" s="2" t="s">
        <v>439</v>
      </c>
      <c r="N169" s="2" t="s">
        <v>439</v>
      </c>
      <c r="O169" s="2" t="s">
        <v>6</v>
      </c>
      <c r="P169" s="2" t="s">
        <v>6</v>
      </c>
      <c r="Q169" s="2" t="s">
        <v>6</v>
      </c>
      <c r="R169" s="2" t="s">
        <v>6</v>
      </c>
      <c r="S169" s="2" t="s">
        <v>6</v>
      </c>
      <c r="T169" s="2" t="s">
        <v>7</v>
      </c>
      <c r="U169" s="2" t="s">
        <v>7</v>
      </c>
      <c r="V169" s="2" t="s">
        <v>7</v>
      </c>
      <c r="W169" s="2" t="s">
        <v>7</v>
      </c>
      <c r="X169" s="2" t="s">
        <v>7</v>
      </c>
      <c r="Y169" s="2" t="s">
        <v>433</v>
      </c>
      <c r="Z169" s="2" t="s">
        <v>431</v>
      </c>
    </row>
    <row r="170" spans="1:53" ht="11.25" hidden="1" customHeight="1">
      <c r="B170" s="1" t="s">
        <v>429</v>
      </c>
      <c r="C170" s="2" t="s">
        <v>431</v>
      </c>
      <c r="D170" s="2" t="s">
        <v>432</v>
      </c>
      <c r="E170" s="2" t="s">
        <v>435</v>
      </c>
      <c r="F170" s="2" t="s">
        <v>435</v>
      </c>
      <c r="G170" s="2" t="s">
        <v>435</v>
      </c>
      <c r="H170" s="2" t="s">
        <v>435</v>
      </c>
      <c r="I170" s="2" t="s">
        <v>435</v>
      </c>
      <c r="J170" s="2" t="s">
        <v>439</v>
      </c>
      <c r="K170" s="2" t="s">
        <v>439</v>
      </c>
      <c r="L170" s="2" t="s">
        <v>439</v>
      </c>
      <c r="M170" s="2" t="s">
        <v>439</v>
      </c>
      <c r="N170" s="2" t="s">
        <v>439</v>
      </c>
      <c r="O170" s="2" t="s">
        <v>6</v>
      </c>
      <c r="P170" s="2" t="s">
        <v>6</v>
      </c>
      <c r="Q170" s="2" t="s">
        <v>6</v>
      </c>
      <c r="R170" s="2" t="s">
        <v>6</v>
      </c>
      <c r="S170" s="2" t="s">
        <v>6</v>
      </c>
      <c r="T170" s="2" t="s">
        <v>7</v>
      </c>
      <c r="U170" s="2" t="s">
        <v>7</v>
      </c>
      <c r="V170" s="2" t="s">
        <v>7</v>
      </c>
      <c r="W170" s="2" t="s">
        <v>7</v>
      </c>
      <c r="X170" s="2" t="s">
        <v>7</v>
      </c>
      <c r="Y170" s="2" t="s">
        <v>433</v>
      </c>
      <c r="Z170" s="2" t="s">
        <v>431</v>
      </c>
    </row>
    <row r="171" spans="1:53" ht="11.25" hidden="1" customHeight="1">
      <c r="B171" s="1" t="s">
        <v>430</v>
      </c>
      <c r="C171" s="2" t="s">
        <v>431</v>
      </c>
      <c r="D171" s="2" t="s">
        <v>432</v>
      </c>
      <c r="E171" s="2" t="s">
        <v>435</v>
      </c>
      <c r="F171" s="2" t="s">
        <v>435</v>
      </c>
      <c r="G171" s="2" t="s">
        <v>435</v>
      </c>
      <c r="H171" s="2" t="s">
        <v>435</v>
      </c>
      <c r="I171" s="2" t="s">
        <v>435</v>
      </c>
      <c r="J171" s="2" t="s">
        <v>439</v>
      </c>
      <c r="K171" s="2" t="s">
        <v>439</v>
      </c>
      <c r="L171" s="2" t="s">
        <v>439</v>
      </c>
      <c r="M171" s="2" t="s">
        <v>439</v>
      </c>
      <c r="N171" s="2" t="s">
        <v>439</v>
      </c>
      <c r="O171" s="2" t="s">
        <v>6</v>
      </c>
      <c r="P171" s="2" t="s">
        <v>6</v>
      </c>
      <c r="Q171" s="2" t="s">
        <v>6</v>
      </c>
      <c r="R171" s="2" t="s">
        <v>6</v>
      </c>
      <c r="S171" s="2" t="s">
        <v>6</v>
      </c>
      <c r="T171" s="2" t="s">
        <v>7</v>
      </c>
      <c r="U171" s="2" t="s">
        <v>7</v>
      </c>
      <c r="V171" s="2" t="s">
        <v>7</v>
      </c>
      <c r="W171" s="2" t="s">
        <v>7</v>
      </c>
      <c r="X171" s="2" t="s">
        <v>7</v>
      </c>
      <c r="Y171" s="2" t="s">
        <v>433</v>
      </c>
      <c r="Z171" s="2" t="s">
        <v>431</v>
      </c>
    </row>
    <row r="173" spans="1:53" s="61" customFormat="1" ht="11.25" customHeight="1">
      <c r="A173" s="61" t="s">
        <v>2051</v>
      </c>
      <c r="D173" s="62"/>
      <c r="H173" s="62"/>
    </row>
    <row r="174" spans="1:53" s="35" customFormat="1" ht="11.25" hidden="1" customHeight="1">
      <c r="A174" s="26"/>
      <c r="B174" s="26"/>
      <c r="C174" s="34"/>
      <c r="D174" s="34"/>
      <c r="H174" s="34"/>
    </row>
    <row r="175" spans="1:53" ht="11.25" hidden="1" customHeight="1">
      <c r="B175" s="36" t="s">
        <v>392</v>
      </c>
      <c r="C175" s="37">
        <v>1</v>
      </c>
      <c r="D175" s="37">
        <v>2</v>
      </c>
      <c r="E175" s="37">
        <v>3</v>
      </c>
      <c r="F175" s="37">
        <v>4</v>
      </c>
      <c r="G175" s="37">
        <v>5</v>
      </c>
      <c r="H175" s="37">
        <v>6</v>
      </c>
      <c r="I175" s="37">
        <v>7</v>
      </c>
      <c r="J175" s="37">
        <v>8</v>
      </c>
      <c r="K175" s="37">
        <v>9</v>
      </c>
      <c r="L175" s="37">
        <v>10</v>
      </c>
      <c r="M175" s="37">
        <v>11</v>
      </c>
      <c r="N175" s="37">
        <v>12</v>
      </c>
      <c r="O175" s="37">
        <v>13</v>
      </c>
      <c r="P175" s="37">
        <v>14</v>
      </c>
      <c r="Q175" s="37">
        <v>15</v>
      </c>
      <c r="R175" s="37">
        <v>16</v>
      </c>
      <c r="S175" s="37">
        <v>17</v>
      </c>
      <c r="T175" s="37">
        <v>18</v>
      </c>
      <c r="U175" s="37">
        <v>19</v>
      </c>
      <c r="V175" s="37">
        <v>20</v>
      </c>
      <c r="W175" s="37">
        <v>21</v>
      </c>
      <c r="X175" s="37">
        <v>22</v>
      </c>
      <c r="Y175" s="37">
        <v>23</v>
      </c>
      <c r="Z175" s="37">
        <v>24</v>
      </c>
      <c r="AA175" s="37">
        <v>25</v>
      </c>
      <c r="AB175" s="37">
        <v>26</v>
      </c>
      <c r="AC175" s="37">
        <v>27</v>
      </c>
      <c r="AD175" s="37">
        <v>28</v>
      </c>
      <c r="AE175" s="37">
        <v>29</v>
      </c>
      <c r="AF175" s="37">
        <v>30</v>
      </c>
      <c r="AG175" s="37">
        <v>31</v>
      </c>
      <c r="AH175" s="37">
        <v>32</v>
      </c>
      <c r="AI175" s="37">
        <v>33</v>
      </c>
      <c r="AJ175" s="37">
        <v>34</v>
      </c>
      <c r="AK175" s="37">
        <v>35</v>
      </c>
      <c r="AL175" s="37">
        <v>36</v>
      </c>
      <c r="AM175" s="37">
        <v>37</v>
      </c>
      <c r="AN175" s="37">
        <v>38</v>
      </c>
      <c r="AO175" s="37">
        <v>39</v>
      </c>
      <c r="AP175" s="37">
        <v>40</v>
      </c>
      <c r="AQ175" s="37">
        <v>41</v>
      </c>
      <c r="AR175" s="37">
        <v>42</v>
      </c>
      <c r="AS175" s="37">
        <v>43</v>
      </c>
      <c r="AT175" s="37">
        <v>44</v>
      </c>
      <c r="AU175" s="37">
        <v>45</v>
      </c>
      <c r="AV175" s="37">
        <v>46</v>
      </c>
      <c r="AW175" s="37">
        <v>47</v>
      </c>
      <c r="AX175" s="37">
        <v>48</v>
      </c>
      <c r="AY175" s="49"/>
      <c r="AZ175" s="49"/>
      <c r="BA175" s="49"/>
    </row>
    <row r="176" spans="1:53" ht="11.25" hidden="1" customHeight="1">
      <c r="B176" s="36" t="s">
        <v>399</v>
      </c>
      <c r="C176" s="42" t="s">
        <v>2023</v>
      </c>
      <c r="D176" s="52" t="s">
        <v>2023</v>
      </c>
      <c r="E176" s="52" t="s">
        <v>1998</v>
      </c>
      <c r="F176" s="42" t="s">
        <v>2052</v>
      </c>
      <c r="G176" s="42" t="s">
        <v>2056</v>
      </c>
      <c r="H176" s="42" t="s">
        <v>2066</v>
      </c>
      <c r="I176" s="52" t="s">
        <v>445</v>
      </c>
      <c r="J176" s="52" t="s">
        <v>447</v>
      </c>
      <c r="K176" s="52" t="s">
        <v>449</v>
      </c>
      <c r="L176" s="52" t="s">
        <v>451</v>
      </c>
      <c r="M176" s="52" t="s">
        <v>453</v>
      </c>
      <c r="N176" s="52" t="s">
        <v>454</v>
      </c>
      <c r="O176" s="52" t="s">
        <v>456</v>
      </c>
      <c r="P176" s="52" t="s">
        <v>458</v>
      </c>
      <c r="Q176" s="52" t="s">
        <v>2068</v>
      </c>
      <c r="R176" s="52" t="s">
        <v>2069</v>
      </c>
      <c r="S176" s="52" t="s">
        <v>2070</v>
      </c>
      <c r="T176" s="52" t="s">
        <v>2071</v>
      </c>
      <c r="U176" s="52" t="s">
        <v>2072</v>
      </c>
      <c r="V176" s="52" t="s">
        <v>2073</v>
      </c>
      <c r="W176" s="52" t="s">
        <v>2074</v>
      </c>
      <c r="X176" s="52" t="s">
        <v>2075</v>
      </c>
      <c r="Y176" s="52" t="s">
        <v>2076</v>
      </c>
      <c r="Z176" s="52" t="s">
        <v>2077</v>
      </c>
      <c r="AA176" s="52" t="s">
        <v>2078</v>
      </c>
      <c r="AB176" s="52" t="s">
        <v>2079</v>
      </c>
      <c r="AC176" s="52" t="s">
        <v>2080</v>
      </c>
      <c r="AD176" s="52" t="s">
        <v>2081</v>
      </c>
      <c r="AE176" s="52" t="s">
        <v>2082</v>
      </c>
      <c r="AF176" s="52" t="s">
        <v>2083</v>
      </c>
      <c r="AG176" s="52" t="s">
        <v>2084</v>
      </c>
      <c r="AH176" s="52" t="s">
        <v>2085</v>
      </c>
      <c r="AI176" s="52" t="s">
        <v>2086</v>
      </c>
      <c r="AJ176" s="52" t="s">
        <v>2087</v>
      </c>
      <c r="AK176" s="52" t="s">
        <v>2088</v>
      </c>
      <c r="AL176" s="52" t="s">
        <v>2089</v>
      </c>
      <c r="AM176" s="52" t="s">
        <v>2090</v>
      </c>
      <c r="AN176" s="52" t="s">
        <v>2091</v>
      </c>
      <c r="AO176" s="52" t="s">
        <v>2092</v>
      </c>
      <c r="AP176" s="52" t="s">
        <v>2093</v>
      </c>
      <c r="AQ176" s="52" t="s">
        <v>2094</v>
      </c>
      <c r="AR176" s="52" t="s">
        <v>2095</v>
      </c>
      <c r="AS176" s="52" t="s">
        <v>2096</v>
      </c>
      <c r="AT176" s="52" t="s">
        <v>2097</v>
      </c>
      <c r="AU176" s="52" t="s">
        <v>1998</v>
      </c>
      <c r="AV176" s="52" t="s">
        <v>2052</v>
      </c>
      <c r="AW176" s="52" t="s">
        <v>2053</v>
      </c>
      <c r="AX176" s="52" t="s">
        <v>2053</v>
      </c>
      <c r="AY176" s="49"/>
      <c r="AZ176" s="49"/>
      <c r="BA176" s="49"/>
    </row>
    <row r="177" spans="2:53" ht="11.25" hidden="1" customHeight="1">
      <c r="B177" s="36" t="s">
        <v>400</v>
      </c>
      <c r="C177" s="52" t="s">
        <v>2023</v>
      </c>
      <c r="D177" s="52" t="s">
        <v>2023</v>
      </c>
      <c r="E177" s="52" t="s">
        <v>1998</v>
      </c>
      <c r="F177" s="52" t="s">
        <v>2052</v>
      </c>
      <c r="G177" s="42" t="s">
        <v>2065</v>
      </c>
      <c r="H177" s="42" t="s">
        <v>2067</v>
      </c>
      <c r="I177" s="52" t="s">
        <v>462</v>
      </c>
      <c r="J177" s="52" t="s">
        <v>464</v>
      </c>
      <c r="K177" s="52" t="s">
        <v>466</v>
      </c>
      <c r="L177" s="52" t="s">
        <v>468</v>
      </c>
      <c r="M177" s="52" t="s">
        <v>470</v>
      </c>
      <c r="N177" s="52" t="s">
        <v>472</v>
      </c>
      <c r="O177" s="52" t="s">
        <v>474</v>
      </c>
      <c r="P177" s="52" t="s">
        <v>476</v>
      </c>
      <c r="Q177" s="52" t="s">
        <v>2098</v>
      </c>
      <c r="R177" s="52" t="s">
        <v>2099</v>
      </c>
      <c r="S177" s="52" t="s">
        <v>2100</v>
      </c>
      <c r="T177" s="52" t="s">
        <v>2101</v>
      </c>
      <c r="U177" s="52" t="s">
        <v>2102</v>
      </c>
      <c r="V177" s="52" t="s">
        <v>2103</v>
      </c>
      <c r="W177" s="52" t="s">
        <v>2104</v>
      </c>
      <c r="X177" s="52" t="s">
        <v>2105</v>
      </c>
      <c r="Y177" s="52" t="s">
        <v>2106</v>
      </c>
      <c r="Z177" s="52" t="s">
        <v>2107</v>
      </c>
      <c r="AA177" s="52" t="s">
        <v>2108</v>
      </c>
      <c r="AB177" s="52" t="s">
        <v>2109</v>
      </c>
      <c r="AC177" s="52" t="s">
        <v>2110</v>
      </c>
      <c r="AD177" s="52" t="s">
        <v>2111</v>
      </c>
      <c r="AE177" s="52" t="s">
        <v>2112</v>
      </c>
      <c r="AF177" s="52" t="s">
        <v>2113</v>
      </c>
      <c r="AG177" s="52" t="s">
        <v>2114</v>
      </c>
      <c r="AH177" s="52" t="s">
        <v>2115</v>
      </c>
      <c r="AI177" s="52" t="s">
        <v>2116</v>
      </c>
      <c r="AJ177" s="52" t="s">
        <v>2117</v>
      </c>
      <c r="AK177" s="52" t="s">
        <v>2118</v>
      </c>
      <c r="AL177" s="52" t="s">
        <v>2119</v>
      </c>
      <c r="AM177" s="52" t="s">
        <v>2120</v>
      </c>
      <c r="AN177" s="52" t="s">
        <v>2121</v>
      </c>
      <c r="AO177" s="52" t="s">
        <v>2122</v>
      </c>
      <c r="AP177" s="52" t="s">
        <v>2123</v>
      </c>
      <c r="AQ177" s="52" t="s">
        <v>2124</v>
      </c>
      <c r="AR177" s="52" t="s">
        <v>2125</v>
      </c>
      <c r="AS177" s="52" t="s">
        <v>2126</v>
      </c>
      <c r="AT177" s="52" t="s">
        <v>2127</v>
      </c>
      <c r="AU177" s="52" t="s">
        <v>1998</v>
      </c>
      <c r="AV177" s="52" t="s">
        <v>2052</v>
      </c>
      <c r="AW177" s="52" t="s">
        <v>2053</v>
      </c>
      <c r="AX177" s="52" t="s">
        <v>2053</v>
      </c>
      <c r="AY177" s="49"/>
      <c r="AZ177" s="49"/>
      <c r="BA177" s="49"/>
    </row>
    <row r="178" spans="2:53" ht="11.25" hidden="1" customHeight="1">
      <c r="B178" s="36" t="s">
        <v>401</v>
      </c>
      <c r="C178" s="52" t="s">
        <v>2023</v>
      </c>
      <c r="D178" s="52" t="s">
        <v>2023</v>
      </c>
      <c r="E178" s="52" t="s">
        <v>1998</v>
      </c>
      <c r="F178" s="52" t="s">
        <v>2052</v>
      </c>
      <c r="G178" s="52" t="s">
        <v>434</v>
      </c>
      <c r="H178" s="52" t="s">
        <v>479</v>
      </c>
      <c r="I178" s="52" t="s">
        <v>481</v>
      </c>
      <c r="J178" s="52" t="s">
        <v>483</v>
      </c>
      <c r="K178" s="52" t="s">
        <v>485</v>
      </c>
      <c r="L178" s="52" t="s">
        <v>487</v>
      </c>
      <c r="M178" s="52" t="s">
        <v>489</v>
      </c>
      <c r="N178" s="52" t="s">
        <v>491</v>
      </c>
      <c r="O178" s="52" t="s">
        <v>493</v>
      </c>
      <c r="P178" s="52" t="s">
        <v>495</v>
      </c>
      <c r="Q178" s="52" t="s">
        <v>2128</v>
      </c>
      <c r="R178" s="52" t="s">
        <v>2129</v>
      </c>
      <c r="S178" s="52" t="s">
        <v>2130</v>
      </c>
      <c r="T178" s="52" t="s">
        <v>2131</v>
      </c>
      <c r="U178" s="52" t="s">
        <v>2132</v>
      </c>
      <c r="V178" s="52" t="s">
        <v>2133</v>
      </c>
      <c r="W178" s="52" t="s">
        <v>2134</v>
      </c>
      <c r="X178" s="52" t="s">
        <v>2135</v>
      </c>
      <c r="Y178" s="52" t="s">
        <v>2136</v>
      </c>
      <c r="Z178" s="52" t="s">
        <v>2137</v>
      </c>
      <c r="AA178" s="52" t="s">
        <v>2138</v>
      </c>
      <c r="AB178" s="52" t="s">
        <v>2139</v>
      </c>
      <c r="AC178" s="52" t="s">
        <v>2140</v>
      </c>
      <c r="AD178" s="52" t="s">
        <v>2141</v>
      </c>
      <c r="AE178" s="52" t="s">
        <v>2142</v>
      </c>
      <c r="AF178" s="52" t="s">
        <v>2143</v>
      </c>
      <c r="AG178" s="52" t="s">
        <v>2144</v>
      </c>
      <c r="AH178" s="52" t="s">
        <v>2145</v>
      </c>
      <c r="AI178" s="52" t="s">
        <v>2146</v>
      </c>
      <c r="AJ178" s="52" t="s">
        <v>2147</v>
      </c>
      <c r="AK178" s="52" t="s">
        <v>2148</v>
      </c>
      <c r="AL178" s="52" t="s">
        <v>2149</v>
      </c>
      <c r="AM178" s="52" t="s">
        <v>2150</v>
      </c>
      <c r="AN178" s="52" t="s">
        <v>2151</v>
      </c>
      <c r="AO178" s="52" t="s">
        <v>2152</v>
      </c>
      <c r="AP178" s="52" t="s">
        <v>2153</v>
      </c>
      <c r="AQ178" s="52" t="s">
        <v>2154</v>
      </c>
      <c r="AR178" s="52" t="s">
        <v>2155</v>
      </c>
      <c r="AS178" s="52" t="s">
        <v>2156</v>
      </c>
      <c r="AT178" s="52" t="s">
        <v>2157</v>
      </c>
      <c r="AU178" s="52" t="s">
        <v>1998</v>
      </c>
      <c r="AV178" s="52" t="s">
        <v>2052</v>
      </c>
      <c r="AW178" s="52" t="s">
        <v>2053</v>
      </c>
      <c r="AX178" s="52" t="s">
        <v>2053</v>
      </c>
      <c r="AY178" s="49"/>
      <c r="AZ178" s="49"/>
      <c r="BA178" s="49"/>
    </row>
    <row r="179" spans="2:53" ht="11.25" hidden="1" customHeight="1">
      <c r="B179" s="36" t="s">
        <v>402</v>
      </c>
      <c r="C179" s="52" t="s">
        <v>2023</v>
      </c>
      <c r="D179" s="52" t="s">
        <v>2023</v>
      </c>
      <c r="E179" s="52" t="s">
        <v>1998</v>
      </c>
      <c r="F179" s="52" t="s">
        <v>2052</v>
      </c>
      <c r="G179" s="52" t="s">
        <v>435</v>
      </c>
      <c r="H179" s="52" t="s">
        <v>498</v>
      </c>
      <c r="I179" s="52" t="s">
        <v>500</v>
      </c>
      <c r="J179" s="52" t="s">
        <v>502</v>
      </c>
      <c r="K179" s="52" t="s">
        <v>504</v>
      </c>
      <c r="L179" s="52" t="s">
        <v>506</v>
      </c>
      <c r="M179" s="52" t="s">
        <v>508</v>
      </c>
      <c r="N179" s="52" t="s">
        <v>510</v>
      </c>
      <c r="O179" s="52" t="s">
        <v>512</v>
      </c>
      <c r="P179" s="52" t="s">
        <v>514</v>
      </c>
      <c r="Q179" s="52" t="s">
        <v>2158</v>
      </c>
      <c r="R179" s="52" t="s">
        <v>2159</v>
      </c>
      <c r="S179" s="52" t="s">
        <v>2160</v>
      </c>
      <c r="T179" s="52" t="s">
        <v>2161</v>
      </c>
      <c r="U179" s="52" t="s">
        <v>2162</v>
      </c>
      <c r="V179" s="52" t="s">
        <v>2163</v>
      </c>
      <c r="W179" s="52" t="s">
        <v>2164</v>
      </c>
      <c r="X179" s="52" t="s">
        <v>2165</v>
      </c>
      <c r="Y179" s="52" t="s">
        <v>2166</v>
      </c>
      <c r="Z179" s="52" t="s">
        <v>2167</v>
      </c>
      <c r="AA179" s="52" t="s">
        <v>2168</v>
      </c>
      <c r="AB179" s="52" t="s">
        <v>2169</v>
      </c>
      <c r="AC179" s="52" t="s">
        <v>2170</v>
      </c>
      <c r="AD179" s="52" t="s">
        <v>2171</v>
      </c>
      <c r="AE179" s="52" t="s">
        <v>2172</v>
      </c>
      <c r="AF179" s="52" t="s">
        <v>2173</v>
      </c>
      <c r="AG179" s="52" t="s">
        <v>2174</v>
      </c>
      <c r="AH179" s="52" t="s">
        <v>2175</v>
      </c>
      <c r="AI179" s="52" t="s">
        <v>2176</v>
      </c>
      <c r="AJ179" s="52" t="s">
        <v>2177</v>
      </c>
      <c r="AK179" s="52" t="s">
        <v>2178</v>
      </c>
      <c r="AL179" s="52" t="s">
        <v>2179</v>
      </c>
      <c r="AM179" s="52" t="s">
        <v>2180</v>
      </c>
      <c r="AN179" s="52" t="s">
        <v>2181</v>
      </c>
      <c r="AO179" s="52" t="s">
        <v>2182</v>
      </c>
      <c r="AP179" s="52" t="s">
        <v>2183</v>
      </c>
      <c r="AQ179" s="52" t="s">
        <v>2184</v>
      </c>
      <c r="AR179" s="52" t="s">
        <v>2185</v>
      </c>
      <c r="AS179" s="52" t="s">
        <v>2186</v>
      </c>
      <c r="AT179" s="52" t="s">
        <v>2187</v>
      </c>
      <c r="AU179" s="52" t="s">
        <v>1998</v>
      </c>
      <c r="AV179" s="52" t="s">
        <v>2052</v>
      </c>
      <c r="AW179" s="52" t="s">
        <v>2053</v>
      </c>
      <c r="AX179" s="52" t="s">
        <v>2053</v>
      </c>
      <c r="AY179" s="49"/>
      <c r="AZ179" s="49"/>
      <c r="BA179" s="49"/>
    </row>
    <row r="180" spans="2:53" ht="11.25" hidden="1" customHeight="1">
      <c r="B180" s="36" t="s">
        <v>403</v>
      </c>
      <c r="C180" s="52" t="s">
        <v>2023</v>
      </c>
      <c r="D180" s="52" t="s">
        <v>2023</v>
      </c>
      <c r="E180" s="52" t="s">
        <v>1998</v>
      </c>
      <c r="F180" s="52" t="s">
        <v>2052</v>
      </c>
      <c r="G180" s="52" t="s">
        <v>436</v>
      </c>
      <c r="H180" s="52" t="s">
        <v>517</v>
      </c>
      <c r="I180" s="52" t="s">
        <v>519</v>
      </c>
      <c r="J180" s="52" t="s">
        <v>521</v>
      </c>
      <c r="K180" s="52" t="s">
        <v>523</v>
      </c>
      <c r="L180" s="52" t="s">
        <v>525</v>
      </c>
      <c r="M180" s="52" t="s">
        <v>527</v>
      </c>
      <c r="N180" s="52" t="s">
        <v>529</v>
      </c>
      <c r="O180" s="52" t="s">
        <v>531</v>
      </c>
      <c r="P180" s="52" t="s">
        <v>533</v>
      </c>
      <c r="Q180" s="52" t="s">
        <v>2188</v>
      </c>
      <c r="R180" s="52" t="s">
        <v>2189</v>
      </c>
      <c r="S180" s="52" t="s">
        <v>2190</v>
      </c>
      <c r="T180" s="52" t="s">
        <v>2191</v>
      </c>
      <c r="U180" s="52" t="s">
        <v>2192</v>
      </c>
      <c r="V180" s="52" t="s">
        <v>2193</v>
      </c>
      <c r="W180" s="52" t="s">
        <v>2194</v>
      </c>
      <c r="X180" s="52" t="s">
        <v>2195</v>
      </c>
      <c r="Y180" s="52" t="s">
        <v>2196</v>
      </c>
      <c r="Z180" s="52" t="s">
        <v>2197</v>
      </c>
      <c r="AA180" s="52" t="s">
        <v>2198</v>
      </c>
      <c r="AB180" s="52" t="s">
        <v>2199</v>
      </c>
      <c r="AC180" s="52" t="s">
        <v>2200</v>
      </c>
      <c r="AD180" s="52" t="s">
        <v>2201</v>
      </c>
      <c r="AE180" s="52" t="s">
        <v>2202</v>
      </c>
      <c r="AF180" s="52" t="s">
        <v>2203</v>
      </c>
      <c r="AG180" s="52" t="s">
        <v>2204</v>
      </c>
      <c r="AH180" s="52" t="s">
        <v>2205</v>
      </c>
      <c r="AI180" s="52" t="s">
        <v>2206</v>
      </c>
      <c r="AJ180" s="52" t="s">
        <v>2207</v>
      </c>
      <c r="AK180" s="52" t="s">
        <v>2208</v>
      </c>
      <c r="AL180" s="52" t="s">
        <v>2209</v>
      </c>
      <c r="AM180" s="52" t="s">
        <v>2210</v>
      </c>
      <c r="AN180" s="52" t="s">
        <v>2211</v>
      </c>
      <c r="AO180" s="52" t="s">
        <v>2212</v>
      </c>
      <c r="AP180" s="52" t="s">
        <v>2213</v>
      </c>
      <c r="AQ180" s="52" t="s">
        <v>2214</v>
      </c>
      <c r="AR180" s="52" t="s">
        <v>2215</v>
      </c>
      <c r="AS180" s="52" t="s">
        <v>2216</v>
      </c>
      <c r="AT180" s="52" t="s">
        <v>2217</v>
      </c>
      <c r="AU180" s="52" t="s">
        <v>1998</v>
      </c>
      <c r="AV180" s="52" t="s">
        <v>2052</v>
      </c>
      <c r="AW180" s="52" t="s">
        <v>2053</v>
      </c>
      <c r="AX180" s="52" t="s">
        <v>2053</v>
      </c>
      <c r="AY180" s="49"/>
      <c r="AZ180" s="49"/>
      <c r="BA180" s="49"/>
    </row>
    <row r="181" spans="2:53" ht="11.25" hidden="1" customHeight="1">
      <c r="B181" s="36" t="s">
        <v>404</v>
      </c>
      <c r="C181" s="52" t="s">
        <v>2023</v>
      </c>
      <c r="D181" s="52" t="s">
        <v>2023</v>
      </c>
      <c r="E181" s="52" t="s">
        <v>1998</v>
      </c>
      <c r="F181" s="52" t="s">
        <v>2052</v>
      </c>
      <c r="G181" s="52" t="s">
        <v>437</v>
      </c>
      <c r="H181" s="52" t="s">
        <v>536</v>
      </c>
      <c r="I181" s="52" t="s">
        <v>538</v>
      </c>
      <c r="J181" s="52" t="s">
        <v>540</v>
      </c>
      <c r="K181" s="52" t="s">
        <v>542</v>
      </c>
      <c r="L181" s="52" t="s">
        <v>544</v>
      </c>
      <c r="M181" s="52" t="s">
        <v>546</v>
      </c>
      <c r="N181" s="52" t="s">
        <v>548</v>
      </c>
      <c r="O181" s="52" t="s">
        <v>550</v>
      </c>
      <c r="P181" s="52" t="s">
        <v>552</v>
      </c>
      <c r="Q181" s="52" t="s">
        <v>2218</v>
      </c>
      <c r="R181" s="52" t="s">
        <v>2219</v>
      </c>
      <c r="S181" s="52" t="s">
        <v>2220</v>
      </c>
      <c r="T181" s="52" t="s">
        <v>2221</v>
      </c>
      <c r="U181" s="52" t="s">
        <v>2222</v>
      </c>
      <c r="V181" s="52" t="s">
        <v>2223</v>
      </c>
      <c r="W181" s="52" t="s">
        <v>2224</v>
      </c>
      <c r="X181" s="52" t="s">
        <v>2225</v>
      </c>
      <c r="Y181" s="52" t="s">
        <v>2226</v>
      </c>
      <c r="Z181" s="52" t="s">
        <v>2227</v>
      </c>
      <c r="AA181" s="52" t="s">
        <v>2228</v>
      </c>
      <c r="AB181" s="52" t="s">
        <v>2229</v>
      </c>
      <c r="AC181" s="52" t="s">
        <v>2230</v>
      </c>
      <c r="AD181" s="52" t="s">
        <v>2231</v>
      </c>
      <c r="AE181" s="52" t="s">
        <v>2232</v>
      </c>
      <c r="AF181" s="52" t="s">
        <v>2233</v>
      </c>
      <c r="AG181" s="52" t="s">
        <v>2234</v>
      </c>
      <c r="AH181" s="52" t="s">
        <v>2235</v>
      </c>
      <c r="AI181" s="52" t="s">
        <v>2236</v>
      </c>
      <c r="AJ181" s="52" t="s">
        <v>2237</v>
      </c>
      <c r="AK181" s="52" t="s">
        <v>2238</v>
      </c>
      <c r="AL181" s="52" t="s">
        <v>2239</v>
      </c>
      <c r="AM181" s="52" t="s">
        <v>2240</v>
      </c>
      <c r="AN181" s="52" t="s">
        <v>2241</v>
      </c>
      <c r="AO181" s="52" t="s">
        <v>2242</v>
      </c>
      <c r="AP181" s="52" t="s">
        <v>2243</v>
      </c>
      <c r="AQ181" s="52" t="s">
        <v>2244</v>
      </c>
      <c r="AR181" s="52" t="s">
        <v>2245</v>
      </c>
      <c r="AS181" s="52" t="s">
        <v>2246</v>
      </c>
      <c r="AT181" s="52" t="s">
        <v>2247</v>
      </c>
      <c r="AU181" s="52" t="s">
        <v>1998</v>
      </c>
      <c r="AV181" s="52" t="s">
        <v>2052</v>
      </c>
      <c r="AW181" s="52" t="s">
        <v>2053</v>
      </c>
      <c r="AX181" s="52" t="s">
        <v>2053</v>
      </c>
      <c r="AY181" s="49"/>
      <c r="AZ181" s="49"/>
      <c r="BA181" s="49"/>
    </row>
    <row r="182" spans="2:53" ht="11.25" hidden="1" customHeight="1">
      <c r="B182" s="36" t="s">
        <v>405</v>
      </c>
      <c r="C182" s="52" t="s">
        <v>2023</v>
      </c>
      <c r="D182" s="52" t="s">
        <v>2023</v>
      </c>
      <c r="E182" s="52" t="s">
        <v>1998</v>
      </c>
      <c r="F182" s="52" t="s">
        <v>2052</v>
      </c>
      <c r="G182" s="52" t="s">
        <v>438</v>
      </c>
      <c r="H182" s="52" t="s">
        <v>555</v>
      </c>
      <c r="I182" s="52" t="s">
        <v>557</v>
      </c>
      <c r="J182" s="52" t="s">
        <v>559</v>
      </c>
      <c r="K182" s="52" t="s">
        <v>561</v>
      </c>
      <c r="L182" s="52" t="s">
        <v>563</v>
      </c>
      <c r="M182" s="52" t="s">
        <v>565</v>
      </c>
      <c r="N182" s="52" t="s">
        <v>567</v>
      </c>
      <c r="O182" s="52" t="s">
        <v>569</v>
      </c>
      <c r="P182" s="52" t="s">
        <v>571</v>
      </c>
      <c r="Q182" s="52" t="s">
        <v>2248</v>
      </c>
      <c r="R182" s="52" t="s">
        <v>2249</v>
      </c>
      <c r="S182" s="52" t="s">
        <v>2250</v>
      </c>
      <c r="T182" s="52" t="s">
        <v>2251</v>
      </c>
      <c r="U182" s="52" t="s">
        <v>2252</v>
      </c>
      <c r="V182" s="52" t="s">
        <v>2253</v>
      </c>
      <c r="W182" s="52" t="s">
        <v>2254</v>
      </c>
      <c r="X182" s="52" t="s">
        <v>2255</v>
      </c>
      <c r="Y182" s="52" t="s">
        <v>2256</v>
      </c>
      <c r="Z182" s="52" t="s">
        <v>2257</v>
      </c>
      <c r="AA182" s="52" t="s">
        <v>2258</v>
      </c>
      <c r="AB182" s="52" t="s">
        <v>2259</v>
      </c>
      <c r="AC182" s="52" t="s">
        <v>2260</v>
      </c>
      <c r="AD182" s="52" t="s">
        <v>2261</v>
      </c>
      <c r="AE182" s="52" t="s">
        <v>2262</v>
      </c>
      <c r="AF182" s="52" t="s">
        <v>2263</v>
      </c>
      <c r="AG182" s="52" t="s">
        <v>2264</v>
      </c>
      <c r="AH182" s="52" t="s">
        <v>2265</v>
      </c>
      <c r="AI182" s="52" t="s">
        <v>2266</v>
      </c>
      <c r="AJ182" s="52" t="s">
        <v>2267</v>
      </c>
      <c r="AK182" s="52" t="s">
        <v>2268</v>
      </c>
      <c r="AL182" s="52" t="s">
        <v>2269</v>
      </c>
      <c r="AM182" s="52" t="s">
        <v>2270</v>
      </c>
      <c r="AN182" s="52" t="s">
        <v>2271</v>
      </c>
      <c r="AO182" s="52" t="s">
        <v>2272</v>
      </c>
      <c r="AP182" s="52" t="s">
        <v>2273</v>
      </c>
      <c r="AQ182" s="52" t="s">
        <v>2274</v>
      </c>
      <c r="AR182" s="52" t="s">
        <v>2275</v>
      </c>
      <c r="AS182" s="52" t="s">
        <v>2276</v>
      </c>
      <c r="AT182" s="52" t="s">
        <v>2277</v>
      </c>
      <c r="AU182" s="52" t="s">
        <v>1998</v>
      </c>
      <c r="AV182" s="52" t="s">
        <v>2052</v>
      </c>
      <c r="AW182" s="52" t="s">
        <v>2053</v>
      </c>
      <c r="AX182" s="52" t="s">
        <v>2053</v>
      </c>
      <c r="AY182" s="49"/>
      <c r="AZ182" s="49"/>
      <c r="BA182" s="49"/>
    </row>
    <row r="183" spans="2:53" ht="11.25" hidden="1" customHeight="1">
      <c r="B183" s="36" t="s">
        <v>406</v>
      </c>
      <c r="C183" s="52" t="s">
        <v>2023</v>
      </c>
      <c r="D183" s="52" t="s">
        <v>2023</v>
      </c>
      <c r="E183" s="52" t="s">
        <v>1998</v>
      </c>
      <c r="F183" s="52" t="s">
        <v>2052</v>
      </c>
      <c r="G183" s="52" t="s">
        <v>439</v>
      </c>
      <c r="H183" s="52" t="s">
        <v>574</v>
      </c>
      <c r="I183" s="52" t="s">
        <v>576</v>
      </c>
      <c r="J183" s="52" t="s">
        <v>578</v>
      </c>
      <c r="K183" s="52" t="s">
        <v>580</v>
      </c>
      <c r="L183" s="52" t="s">
        <v>581</v>
      </c>
      <c r="M183" s="52" t="s">
        <v>583</v>
      </c>
      <c r="N183" s="52" t="s">
        <v>585</v>
      </c>
      <c r="O183" s="52" t="s">
        <v>587</v>
      </c>
      <c r="P183" s="52" t="s">
        <v>589</v>
      </c>
      <c r="Q183" s="52" t="s">
        <v>2278</v>
      </c>
      <c r="R183" s="52" t="s">
        <v>2279</v>
      </c>
      <c r="S183" s="52" t="s">
        <v>2280</v>
      </c>
      <c r="T183" s="52" t="s">
        <v>2281</v>
      </c>
      <c r="U183" s="52" t="s">
        <v>2282</v>
      </c>
      <c r="V183" s="52" t="s">
        <v>2283</v>
      </c>
      <c r="W183" s="52" t="s">
        <v>2284</v>
      </c>
      <c r="X183" s="52" t="s">
        <v>2285</v>
      </c>
      <c r="Y183" s="52" t="s">
        <v>2286</v>
      </c>
      <c r="Z183" s="52" t="s">
        <v>2287</v>
      </c>
      <c r="AA183" s="52" t="s">
        <v>2288</v>
      </c>
      <c r="AB183" s="52" t="s">
        <v>2289</v>
      </c>
      <c r="AC183" s="52" t="s">
        <v>2290</v>
      </c>
      <c r="AD183" s="52" t="s">
        <v>2291</v>
      </c>
      <c r="AE183" s="52" t="s">
        <v>2292</v>
      </c>
      <c r="AF183" s="52" t="s">
        <v>2293</v>
      </c>
      <c r="AG183" s="52" t="s">
        <v>2294</v>
      </c>
      <c r="AH183" s="52" t="s">
        <v>2295</v>
      </c>
      <c r="AI183" s="52" t="s">
        <v>2296</v>
      </c>
      <c r="AJ183" s="52" t="s">
        <v>2297</v>
      </c>
      <c r="AK183" s="52" t="s">
        <v>2298</v>
      </c>
      <c r="AL183" s="52" t="s">
        <v>2299</v>
      </c>
      <c r="AM183" s="52" t="s">
        <v>2300</v>
      </c>
      <c r="AN183" s="52" t="s">
        <v>2301</v>
      </c>
      <c r="AO183" s="52" t="s">
        <v>2302</v>
      </c>
      <c r="AP183" s="52" t="s">
        <v>2303</v>
      </c>
      <c r="AQ183" s="52" t="s">
        <v>2304</v>
      </c>
      <c r="AR183" s="52" t="s">
        <v>2305</v>
      </c>
      <c r="AS183" s="52" t="s">
        <v>2306</v>
      </c>
      <c r="AT183" s="52" t="s">
        <v>2307</v>
      </c>
      <c r="AU183" s="52" t="s">
        <v>1998</v>
      </c>
      <c r="AV183" s="52" t="s">
        <v>2052</v>
      </c>
      <c r="AW183" s="52" t="s">
        <v>2053</v>
      </c>
      <c r="AX183" s="52" t="s">
        <v>2053</v>
      </c>
      <c r="AY183" s="49"/>
      <c r="AZ183" s="49"/>
      <c r="BA183" s="49"/>
    </row>
    <row r="184" spans="2:53" ht="11.25" hidden="1" customHeight="1">
      <c r="B184" s="36" t="s">
        <v>407</v>
      </c>
      <c r="C184" s="52" t="s">
        <v>2023</v>
      </c>
      <c r="D184" s="52" t="s">
        <v>2023</v>
      </c>
      <c r="E184" s="52" t="s">
        <v>1998</v>
      </c>
      <c r="F184" s="52" t="s">
        <v>2052</v>
      </c>
      <c r="G184" s="52" t="s">
        <v>440</v>
      </c>
      <c r="H184" s="52" t="s">
        <v>591</v>
      </c>
      <c r="I184" s="52" t="s">
        <v>593</v>
      </c>
      <c r="J184" s="52" t="s">
        <v>595</v>
      </c>
      <c r="K184" s="52" t="s">
        <v>597</v>
      </c>
      <c r="L184" s="52" t="s">
        <v>599</v>
      </c>
      <c r="M184" s="52" t="s">
        <v>601</v>
      </c>
      <c r="N184" s="52" t="s">
        <v>603</v>
      </c>
      <c r="O184" s="52" t="s">
        <v>605</v>
      </c>
      <c r="P184" s="52" t="s">
        <v>607</v>
      </c>
      <c r="Q184" s="52" t="s">
        <v>2308</v>
      </c>
      <c r="R184" s="52" t="s">
        <v>2309</v>
      </c>
      <c r="S184" s="52" t="s">
        <v>2310</v>
      </c>
      <c r="T184" s="52" t="s">
        <v>2311</v>
      </c>
      <c r="U184" s="52" t="s">
        <v>2312</v>
      </c>
      <c r="V184" s="52" t="s">
        <v>2313</v>
      </c>
      <c r="W184" s="52" t="s">
        <v>2314</v>
      </c>
      <c r="X184" s="52" t="s">
        <v>2315</v>
      </c>
      <c r="Y184" s="52" t="s">
        <v>2316</v>
      </c>
      <c r="Z184" s="52" t="s">
        <v>2317</v>
      </c>
      <c r="AA184" s="52" t="s">
        <v>2318</v>
      </c>
      <c r="AB184" s="52" t="s">
        <v>2319</v>
      </c>
      <c r="AC184" s="52" t="s">
        <v>2320</v>
      </c>
      <c r="AD184" s="52" t="s">
        <v>2321</v>
      </c>
      <c r="AE184" s="52" t="s">
        <v>2322</v>
      </c>
      <c r="AF184" s="52" t="s">
        <v>2323</v>
      </c>
      <c r="AG184" s="52" t="s">
        <v>2324</v>
      </c>
      <c r="AH184" s="52" t="s">
        <v>2325</v>
      </c>
      <c r="AI184" s="52" t="s">
        <v>2326</v>
      </c>
      <c r="AJ184" s="52" t="s">
        <v>2327</v>
      </c>
      <c r="AK184" s="52" t="s">
        <v>2328</v>
      </c>
      <c r="AL184" s="52" t="s">
        <v>2329</v>
      </c>
      <c r="AM184" s="52" t="s">
        <v>2330</v>
      </c>
      <c r="AN184" s="52" t="s">
        <v>2331</v>
      </c>
      <c r="AO184" s="52" t="s">
        <v>2332</v>
      </c>
      <c r="AP184" s="52" t="s">
        <v>2333</v>
      </c>
      <c r="AQ184" s="52" t="s">
        <v>2334</v>
      </c>
      <c r="AR184" s="52" t="s">
        <v>2335</v>
      </c>
      <c r="AS184" s="52" t="s">
        <v>2336</v>
      </c>
      <c r="AT184" s="52" t="s">
        <v>2337</v>
      </c>
      <c r="AU184" s="52" t="s">
        <v>1998</v>
      </c>
      <c r="AV184" s="52" t="s">
        <v>2052</v>
      </c>
      <c r="AW184" s="52" t="s">
        <v>2053</v>
      </c>
      <c r="AX184" s="52" t="s">
        <v>2053</v>
      </c>
      <c r="AY184" s="49"/>
      <c r="AZ184" s="49"/>
      <c r="BA184" s="49"/>
    </row>
    <row r="185" spans="2:53" ht="11.25" hidden="1" customHeight="1">
      <c r="B185" s="36" t="s">
        <v>408</v>
      </c>
      <c r="C185" s="52" t="s">
        <v>2023</v>
      </c>
      <c r="D185" s="52" t="s">
        <v>2023</v>
      </c>
      <c r="E185" s="52" t="s">
        <v>1998</v>
      </c>
      <c r="F185" s="52" t="s">
        <v>2052</v>
      </c>
      <c r="G185" s="52" t="s">
        <v>2</v>
      </c>
      <c r="H185" s="52" t="s">
        <v>610</v>
      </c>
      <c r="I185" s="52" t="s">
        <v>612</v>
      </c>
      <c r="J185" s="52" t="s">
        <v>614</v>
      </c>
      <c r="K185" s="52" t="s">
        <v>616</v>
      </c>
      <c r="L185" s="52" t="s">
        <v>618</v>
      </c>
      <c r="M185" s="52" t="s">
        <v>620</v>
      </c>
      <c r="N185" s="52" t="s">
        <v>622</v>
      </c>
      <c r="O185" s="52" t="s">
        <v>624</v>
      </c>
      <c r="P185" s="52" t="s">
        <v>626</v>
      </c>
      <c r="Q185" s="52" t="s">
        <v>2338</v>
      </c>
      <c r="R185" s="52" t="s">
        <v>2339</v>
      </c>
      <c r="S185" s="52" t="s">
        <v>2340</v>
      </c>
      <c r="T185" s="52" t="s">
        <v>2341</v>
      </c>
      <c r="U185" s="52" t="s">
        <v>2342</v>
      </c>
      <c r="V185" s="52" t="s">
        <v>2343</v>
      </c>
      <c r="W185" s="52" t="s">
        <v>2344</v>
      </c>
      <c r="X185" s="52" t="s">
        <v>2345</v>
      </c>
      <c r="Y185" s="52" t="s">
        <v>2346</v>
      </c>
      <c r="Z185" s="52" t="s">
        <v>2347</v>
      </c>
      <c r="AA185" s="52" t="s">
        <v>2348</v>
      </c>
      <c r="AB185" s="52" t="s">
        <v>2349</v>
      </c>
      <c r="AC185" s="52" t="s">
        <v>2350</v>
      </c>
      <c r="AD185" s="52" t="s">
        <v>2351</v>
      </c>
      <c r="AE185" s="52" t="s">
        <v>2352</v>
      </c>
      <c r="AF185" s="52" t="s">
        <v>2353</v>
      </c>
      <c r="AG185" s="52" t="s">
        <v>2354</v>
      </c>
      <c r="AH185" s="52" t="s">
        <v>2355</v>
      </c>
      <c r="AI185" s="52" t="s">
        <v>2356</v>
      </c>
      <c r="AJ185" s="52" t="s">
        <v>2357</v>
      </c>
      <c r="AK185" s="52" t="s">
        <v>2358</v>
      </c>
      <c r="AL185" s="52" t="s">
        <v>2359</v>
      </c>
      <c r="AM185" s="52" t="s">
        <v>2360</v>
      </c>
      <c r="AN185" s="52" t="s">
        <v>2361</v>
      </c>
      <c r="AO185" s="52" t="s">
        <v>2362</v>
      </c>
      <c r="AP185" s="52" t="s">
        <v>2363</v>
      </c>
      <c r="AQ185" s="52" t="s">
        <v>2364</v>
      </c>
      <c r="AR185" s="52" t="s">
        <v>2365</v>
      </c>
      <c r="AS185" s="52" t="s">
        <v>2366</v>
      </c>
      <c r="AT185" s="52" t="s">
        <v>2367</v>
      </c>
      <c r="AU185" s="52" t="s">
        <v>1998</v>
      </c>
      <c r="AV185" s="52" t="s">
        <v>2052</v>
      </c>
      <c r="AW185" s="52" t="s">
        <v>2053</v>
      </c>
      <c r="AX185" s="52" t="s">
        <v>2053</v>
      </c>
      <c r="AY185" s="49"/>
      <c r="AZ185" s="49"/>
      <c r="BA185" s="49"/>
    </row>
    <row r="186" spans="2:53" ht="11.25" hidden="1" customHeight="1">
      <c r="B186" s="36" t="s">
        <v>409</v>
      </c>
      <c r="C186" s="52" t="s">
        <v>2023</v>
      </c>
      <c r="D186" s="52" t="s">
        <v>2023</v>
      </c>
      <c r="E186" s="52" t="s">
        <v>1998</v>
      </c>
      <c r="F186" s="52" t="s">
        <v>2052</v>
      </c>
      <c r="G186" s="52" t="s">
        <v>4</v>
      </c>
      <c r="H186" s="52" t="s">
        <v>629</v>
      </c>
      <c r="I186" s="52" t="s">
        <v>631</v>
      </c>
      <c r="J186" s="52" t="s">
        <v>633</v>
      </c>
      <c r="K186" s="52" t="s">
        <v>635</v>
      </c>
      <c r="L186" s="52" t="s">
        <v>637</v>
      </c>
      <c r="M186" s="52" t="s">
        <v>639</v>
      </c>
      <c r="N186" s="52" t="s">
        <v>641</v>
      </c>
      <c r="O186" s="52" t="s">
        <v>643</v>
      </c>
      <c r="P186" s="52" t="s">
        <v>645</v>
      </c>
      <c r="Q186" s="52" t="s">
        <v>2368</v>
      </c>
      <c r="R186" s="52" t="s">
        <v>2369</v>
      </c>
      <c r="S186" s="52" t="s">
        <v>2370</v>
      </c>
      <c r="T186" s="52" t="s">
        <v>2371</v>
      </c>
      <c r="U186" s="52" t="s">
        <v>2372</v>
      </c>
      <c r="V186" s="52" t="s">
        <v>2373</v>
      </c>
      <c r="W186" s="52" t="s">
        <v>2374</v>
      </c>
      <c r="X186" s="52" t="s">
        <v>2375</v>
      </c>
      <c r="Y186" s="52" t="s">
        <v>2376</v>
      </c>
      <c r="Z186" s="52" t="s">
        <v>2377</v>
      </c>
      <c r="AA186" s="52" t="s">
        <v>2378</v>
      </c>
      <c r="AB186" s="52" t="s">
        <v>2379</v>
      </c>
      <c r="AC186" s="52" t="s">
        <v>2380</v>
      </c>
      <c r="AD186" s="52" t="s">
        <v>2381</v>
      </c>
      <c r="AE186" s="52" t="s">
        <v>2382</v>
      </c>
      <c r="AF186" s="52" t="s">
        <v>2383</v>
      </c>
      <c r="AG186" s="52" t="s">
        <v>2384</v>
      </c>
      <c r="AH186" s="52" t="s">
        <v>2385</v>
      </c>
      <c r="AI186" s="52" t="s">
        <v>2386</v>
      </c>
      <c r="AJ186" s="52" t="s">
        <v>2387</v>
      </c>
      <c r="AK186" s="52" t="s">
        <v>2388</v>
      </c>
      <c r="AL186" s="52" t="s">
        <v>2389</v>
      </c>
      <c r="AM186" s="52" t="s">
        <v>2390</v>
      </c>
      <c r="AN186" s="52" t="s">
        <v>2391</v>
      </c>
      <c r="AO186" s="52" t="s">
        <v>2392</v>
      </c>
      <c r="AP186" s="52" t="s">
        <v>2393</v>
      </c>
      <c r="AQ186" s="52" t="s">
        <v>2394</v>
      </c>
      <c r="AR186" s="52" t="s">
        <v>2395</v>
      </c>
      <c r="AS186" s="52" t="s">
        <v>2396</v>
      </c>
      <c r="AT186" s="52" t="s">
        <v>2397</v>
      </c>
      <c r="AU186" s="52" t="s">
        <v>1998</v>
      </c>
      <c r="AV186" s="52" t="s">
        <v>2052</v>
      </c>
      <c r="AW186" s="52" t="s">
        <v>2053</v>
      </c>
      <c r="AX186" s="52" t="s">
        <v>2053</v>
      </c>
      <c r="AY186" s="49"/>
      <c r="AZ186" s="49"/>
      <c r="BA186" s="49"/>
    </row>
    <row r="187" spans="2:53" ht="11.25" hidden="1" customHeight="1">
      <c r="B187" s="36" t="s">
        <v>410</v>
      </c>
      <c r="C187" s="52" t="s">
        <v>2023</v>
      </c>
      <c r="D187" s="52" t="s">
        <v>2023</v>
      </c>
      <c r="E187" s="52" t="s">
        <v>1998</v>
      </c>
      <c r="F187" s="52" t="s">
        <v>2052</v>
      </c>
      <c r="G187" s="52" t="s">
        <v>6</v>
      </c>
      <c r="H187" s="52" t="s">
        <v>648</v>
      </c>
      <c r="I187" s="52" t="s">
        <v>650</v>
      </c>
      <c r="J187" s="52" t="s">
        <v>652</v>
      </c>
      <c r="K187" s="52" t="s">
        <v>653</v>
      </c>
      <c r="L187" s="52" t="s">
        <v>655</v>
      </c>
      <c r="M187" s="52" t="s">
        <v>657</v>
      </c>
      <c r="N187" s="52" t="s">
        <v>659</v>
      </c>
      <c r="O187" s="52" t="s">
        <v>661</v>
      </c>
      <c r="P187" s="52" t="s">
        <v>663</v>
      </c>
      <c r="Q187" s="52" t="s">
        <v>2398</v>
      </c>
      <c r="R187" s="52" t="s">
        <v>2399</v>
      </c>
      <c r="S187" s="52" t="s">
        <v>2400</v>
      </c>
      <c r="T187" s="52" t="s">
        <v>2401</v>
      </c>
      <c r="U187" s="52" t="s">
        <v>2402</v>
      </c>
      <c r="V187" s="52" t="s">
        <v>2403</v>
      </c>
      <c r="W187" s="52" t="s">
        <v>2404</v>
      </c>
      <c r="X187" s="52" t="s">
        <v>2405</v>
      </c>
      <c r="Y187" s="52" t="s">
        <v>2406</v>
      </c>
      <c r="Z187" s="52" t="s">
        <v>2407</v>
      </c>
      <c r="AA187" s="52" t="s">
        <v>2408</v>
      </c>
      <c r="AB187" s="52" t="s">
        <v>2409</v>
      </c>
      <c r="AC187" s="52" t="s">
        <v>2410</v>
      </c>
      <c r="AD187" s="52" t="s">
        <v>2411</v>
      </c>
      <c r="AE187" s="52" t="s">
        <v>2412</v>
      </c>
      <c r="AF187" s="52" t="s">
        <v>2413</v>
      </c>
      <c r="AG187" s="52" t="s">
        <v>2414</v>
      </c>
      <c r="AH187" s="52" t="s">
        <v>2415</v>
      </c>
      <c r="AI187" s="52" t="s">
        <v>2416</v>
      </c>
      <c r="AJ187" s="52" t="s">
        <v>2417</v>
      </c>
      <c r="AK187" s="52" t="s">
        <v>2418</v>
      </c>
      <c r="AL187" s="52" t="s">
        <v>2419</v>
      </c>
      <c r="AM187" s="52" t="s">
        <v>2420</v>
      </c>
      <c r="AN187" s="52" t="s">
        <v>2421</v>
      </c>
      <c r="AO187" s="52" t="s">
        <v>2422</v>
      </c>
      <c r="AP187" s="52" t="s">
        <v>2423</v>
      </c>
      <c r="AQ187" s="52" t="s">
        <v>2424</v>
      </c>
      <c r="AR187" s="52" t="s">
        <v>2425</v>
      </c>
      <c r="AS187" s="52" t="s">
        <v>2426</v>
      </c>
      <c r="AT187" s="52" t="s">
        <v>2427</v>
      </c>
      <c r="AU187" s="52" t="s">
        <v>1998</v>
      </c>
      <c r="AV187" s="52" t="s">
        <v>2052</v>
      </c>
      <c r="AW187" s="52" t="s">
        <v>2053</v>
      </c>
      <c r="AX187" s="52" t="s">
        <v>2053</v>
      </c>
      <c r="AY187" s="49"/>
      <c r="AZ187" s="49"/>
      <c r="BA187" s="49"/>
    </row>
    <row r="188" spans="2:53" ht="11.25" hidden="1" customHeight="1">
      <c r="B188" s="36" t="s">
        <v>411</v>
      </c>
      <c r="C188" s="52" t="s">
        <v>2023</v>
      </c>
      <c r="D188" s="52" t="s">
        <v>2023</v>
      </c>
      <c r="E188" s="52" t="s">
        <v>1998</v>
      </c>
      <c r="F188" s="52" t="s">
        <v>2052</v>
      </c>
      <c r="G188" s="52" t="s">
        <v>1</v>
      </c>
      <c r="H188" s="52" t="s">
        <v>666</v>
      </c>
      <c r="I188" s="52" t="s">
        <v>668</v>
      </c>
      <c r="J188" s="52" t="s">
        <v>670</v>
      </c>
      <c r="K188" s="52" t="s">
        <v>672</v>
      </c>
      <c r="L188" s="52" t="s">
        <v>674</v>
      </c>
      <c r="M188" s="52" t="s">
        <v>676</v>
      </c>
      <c r="N188" s="52" t="s">
        <v>678</v>
      </c>
      <c r="O188" s="52" t="s">
        <v>680</v>
      </c>
      <c r="P188" s="52" t="s">
        <v>682</v>
      </c>
      <c r="Q188" s="52" t="s">
        <v>2428</v>
      </c>
      <c r="R188" s="52" t="s">
        <v>2429</v>
      </c>
      <c r="S188" s="52" t="s">
        <v>2430</v>
      </c>
      <c r="T188" s="52" t="s">
        <v>2431</v>
      </c>
      <c r="U188" s="52" t="s">
        <v>2432</v>
      </c>
      <c r="V188" s="52" t="s">
        <v>2433</v>
      </c>
      <c r="W188" s="52" t="s">
        <v>2434</v>
      </c>
      <c r="X188" s="52" t="s">
        <v>2435</v>
      </c>
      <c r="Y188" s="52" t="s">
        <v>2436</v>
      </c>
      <c r="Z188" s="52" t="s">
        <v>2437</v>
      </c>
      <c r="AA188" s="52" t="s">
        <v>2438</v>
      </c>
      <c r="AB188" s="52" t="s">
        <v>2439</v>
      </c>
      <c r="AC188" s="52" t="s">
        <v>2440</v>
      </c>
      <c r="AD188" s="52" t="s">
        <v>2441</v>
      </c>
      <c r="AE188" s="52" t="s">
        <v>2442</v>
      </c>
      <c r="AF188" s="52" t="s">
        <v>2443</v>
      </c>
      <c r="AG188" s="52" t="s">
        <v>2444</v>
      </c>
      <c r="AH188" s="52" t="s">
        <v>2445</v>
      </c>
      <c r="AI188" s="52" t="s">
        <v>2446</v>
      </c>
      <c r="AJ188" s="52" t="s">
        <v>2447</v>
      </c>
      <c r="AK188" s="52" t="s">
        <v>2448</v>
      </c>
      <c r="AL188" s="52" t="s">
        <v>2449</v>
      </c>
      <c r="AM188" s="52" t="s">
        <v>2450</v>
      </c>
      <c r="AN188" s="52" t="s">
        <v>2451</v>
      </c>
      <c r="AO188" s="52" t="s">
        <v>2452</v>
      </c>
      <c r="AP188" s="52" t="s">
        <v>2453</v>
      </c>
      <c r="AQ188" s="52" t="s">
        <v>2454</v>
      </c>
      <c r="AR188" s="52" t="s">
        <v>2455</v>
      </c>
      <c r="AS188" s="52" t="s">
        <v>2456</v>
      </c>
      <c r="AT188" s="52" t="s">
        <v>2457</v>
      </c>
      <c r="AU188" s="52" t="s">
        <v>1998</v>
      </c>
      <c r="AV188" s="52" t="s">
        <v>2052</v>
      </c>
      <c r="AW188" s="52" t="s">
        <v>2053</v>
      </c>
      <c r="AX188" s="52" t="s">
        <v>2053</v>
      </c>
      <c r="AY188" s="49"/>
      <c r="AZ188" s="49"/>
      <c r="BA188" s="49"/>
    </row>
    <row r="189" spans="2:53" ht="11.25" hidden="1" customHeight="1">
      <c r="B189" s="36" t="s">
        <v>412</v>
      </c>
      <c r="C189" s="52" t="s">
        <v>2023</v>
      </c>
      <c r="D189" s="52" t="s">
        <v>2023</v>
      </c>
      <c r="E189" s="52" t="s">
        <v>1998</v>
      </c>
      <c r="F189" s="52" t="s">
        <v>2052</v>
      </c>
      <c r="G189" s="52" t="s">
        <v>3</v>
      </c>
      <c r="H189" s="52" t="s">
        <v>685</v>
      </c>
      <c r="I189" s="52" t="s">
        <v>687</v>
      </c>
      <c r="J189" s="52" t="s">
        <v>689</v>
      </c>
      <c r="K189" s="52" t="s">
        <v>691</v>
      </c>
      <c r="L189" s="52" t="s">
        <v>693</v>
      </c>
      <c r="M189" s="52" t="s">
        <v>695</v>
      </c>
      <c r="N189" s="52" t="s">
        <v>697</v>
      </c>
      <c r="O189" s="52" t="s">
        <v>699</v>
      </c>
      <c r="P189" s="52" t="s">
        <v>701</v>
      </c>
      <c r="Q189" s="52" t="s">
        <v>2458</v>
      </c>
      <c r="R189" s="52" t="s">
        <v>2459</v>
      </c>
      <c r="S189" s="52" t="s">
        <v>2460</v>
      </c>
      <c r="T189" s="52" t="s">
        <v>2461</v>
      </c>
      <c r="U189" s="52" t="s">
        <v>2462</v>
      </c>
      <c r="V189" s="52" t="s">
        <v>2463</v>
      </c>
      <c r="W189" s="52" t="s">
        <v>2464</v>
      </c>
      <c r="X189" s="52" t="s">
        <v>2465</v>
      </c>
      <c r="Y189" s="52" t="s">
        <v>2466</v>
      </c>
      <c r="Z189" s="52" t="s">
        <v>2467</v>
      </c>
      <c r="AA189" s="52" t="s">
        <v>2468</v>
      </c>
      <c r="AB189" s="52" t="s">
        <v>2469</v>
      </c>
      <c r="AC189" s="52" t="s">
        <v>2470</v>
      </c>
      <c r="AD189" s="52" t="s">
        <v>2471</v>
      </c>
      <c r="AE189" s="52" t="s">
        <v>2472</v>
      </c>
      <c r="AF189" s="52" t="s">
        <v>2473</v>
      </c>
      <c r="AG189" s="52" t="s">
        <v>2474</v>
      </c>
      <c r="AH189" s="52" t="s">
        <v>2475</v>
      </c>
      <c r="AI189" s="52" t="s">
        <v>2476</v>
      </c>
      <c r="AJ189" s="52" t="s">
        <v>2477</v>
      </c>
      <c r="AK189" s="52" t="s">
        <v>2478</v>
      </c>
      <c r="AL189" s="52" t="s">
        <v>2479</v>
      </c>
      <c r="AM189" s="52" t="s">
        <v>2480</v>
      </c>
      <c r="AN189" s="52" t="s">
        <v>2481</v>
      </c>
      <c r="AO189" s="52" t="s">
        <v>2482</v>
      </c>
      <c r="AP189" s="52" t="s">
        <v>2483</v>
      </c>
      <c r="AQ189" s="52" t="s">
        <v>2484</v>
      </c>
      <c r="AR189" s="52" t="s">
        <v>2485</v>
      </c>
      <c r="AS189" s="52" t="s">
        <v>2486</v>
      </c>
      <c r="AT189" s="52" t="s">
        <v>2487</v>
      </c>
      <c r="AU189" s="52" t="s">
        <v>1998</v>
      </c>
      <c r="AV189" s="52" t="s">
        <v>2052</v>
      </c>
      <c r="AW189" s="52" t="s">
        <v>2053</v>
      </c>
      <c r="AX189" s="52" t="s">
        <v>2053</v>
      </c>
      <c r="AY189" s="49"/>
      <c r="AZ189" s="49"/>
      <c r="BA189" s="49"/>
    </row>
    <row r="190" spans="2:53" ht="11.25" hidden="1" customHeight="1">
      <c r="B190" s="36" t="s">
        <v>413</v>
      </c>
      <c r="C190" s="52" t="s">
        <v>2023</v>
      </c>
      <c r="D190" s="52" t="s">
        <v>2023</v>
      </c>
      <c r="E190" s="52" t="s">
        <v>1998</v>
      </c>
      <c r="F190" s="52" t="s">
        <v>2052</v>
      </c>
      <c r="G190" s="52" t="s">
        <v>5</v>
      </c>
      <c r="H190" s="52" t="s">
        <v>704</v>
      </c>
      <c r="I190" s="52" t="s">
        <v>706</v>
      </c>
      <c r="J190" s="52" t="s">
        <v>708</v>
      </c>
      <c r="K190" s="52" t="s">
        <v>710</v>
      </c>
      <c r="L190" s="52" t="s">
        <v>712</v>
      </c>
      <c r="M190" s="52" t="s">
        <v>714</v>
      </c>
      <c r="N190" s="52" t="s">
        <v>716</v>
      </c>
      <c r="O190" s="52" t="s">
        <v>718</v>
      </c>
      <c r="P190" s="52" t="s">
        <v>720</v>
      </c>
      <c r="Q190" s="52" t="s">
        <v>2488</v>
      </c>
      <c r="R190" s="52" t="s">
        <v>2489</v>
      </c>
      <c r="S190" s="52" t="s">
        <v>2490</v>
      </c>
      <c r="T190" s="52" t="s">
        <v>2491</v>
      </c>
      <c r="U190" s="52" t="s">
        <v>2492</v>
      </c>
      <c r="V190" s="52" t="s">
        <v>2493</v>
      </c>
      <c r="W190" s="52" t="s">
        <v>2494</v>
      </c>
      <c r="X190" s="52" t="s">
        <v>2495</v>
      </c>
      <c r="Y190" s="52" t="s">
        <v>2496</v>
      </c>
      <c r="Z190" s="52" t="s">
        <v>2497</v>
      </c>
      <c r="AA190" s="52" t="s">
        <v>2498</v>
      </c>
      <c r="AB190" s="52" t="s">
        <v>2499</v>
      </c>
      <c r="AC190" s="52" t="s">
        <v>2500</v>
      </c>
      <c r="AD190" s="52" t="s">
        <v>2501</v>
      </c>
      <c r="AE190" s="52" t="s">
        <v>2502</v>
      </c>
      <c r="AF190" s="52" t="s">
        <v>2503</v>
      </c>
      <c r="AG190" s="52" t="s">
        <v>2504</v>
      </c>
      <c r="AH190" s="52" t="s">
        <v>2505</v>
      </c>
      <c r="AI190" s="52" t="s">
        <v>2506</v>
      </c>
      <c r="AJ190" s="52" t="s">
        <v>2507</v>
      </c>
      <c r="AK190" s="52" t="s">
        <v>2508</v>
      </c>
      <c r="AL190" s="52" t="s">
        <v>2509</v>
      </c>
      <c r="AM190" s="52" t="s">
        <v>2510</v>
      </c>
      <c r="AN190" s="52" t="s">
        <v>2511</v>
      </c>
      <c r="AO190" s="52" t="s">
        <v>2512</v>
      </c>
      <c r="AP190" s="52" t="s">
        <v>2513</v>
      </c>
      <c r="AQ190" s="52" t="s">
        <v>2514</v>
      </c>
      <c r="AR190" s="52" t="s">
        <v>2515</v>
      </c>
      <c r="AS190" s="52" t="s">
        <v>2516</v>
      </c>
      <c r="AT190" s="52" t="s">
        <v>2517</v>
      </c>
      <c r="AU190" s="52" t="s">
        <v>1998</v>
      </c>
      <c r="AV190" s="52" t="s">
        <v>2052</v>
      </c>
      <c r="AW190" s="52" t="s">
        <v>2053</v>
      </c>
      <c r="AX190" s="52" t="s">
        <v>2053</v>
      </c>
      <c r="AY190" s="49"/>
      <c r="AZ190" s="49"/>
      <c r="BA190" s="49"/>
    </row>
    <row r="191" spans="2:53" ht="11.25" hidden="1" customHeight="1">
      <c r="B191" s="36" t="s">
        <v>414</v>
      </c>
      <c r="C191" s="52" t="s">
        <v>2023</v>
      </c>
      <c r="D191" s="52" t="s">
        <v>2023</v>
      </c>
      <c r="E191" s="52" t="s">
        <v>1998</v>
      </c>
      <c r="F191" s="52" t="s">
        <v>2052</v>
      </c>
      <c r="G191" s="52" t="s">
        <v>7</v>
      </c>
      <c r="H191" s="52" t="s">
        <v>723</v>
      </c>
      <c r="I191" s="52" t="s">
        <v>725</v>
      </c>
      <c r="J191" s="52" t="s">
        <v>727</v>
      </c>
      <c r="K191" s="52" t="s">
        <v>729</v>
      </c>
      <c r="L191" s="52" t="s">
        <v>731</v>
      </c>
      <c r="M191" s="52" t="s">
        <v>733</v>
      </c>
      <c r="N191" s="52" t="s">
        <v>735</v>
      </c>
      <c r="O191" s="52" t="s">
        <v>737</v>
      </c>
      <c r="P191" s="52" t="s">
        <v>739</v>
      </c>
      <c r="Q191" s="52" t="s">
        <v>2518</v>
      </c>
      <c r="R191" s="52" t="s">
        <v>2519</v>
      </c>
      <c r="S191" s="52" t="s">
        <v>2520</v>
      </c>
      <c r="T191" s="52" t="s">
        <v>2521</v>
      </c>
      <c r="U191" s="52" t="s">
        <v>2522</v>
      </c>
      <c r="V191" s="52" t="s">
        <v>2523</v>
      </c>
      <c r="W191" s="52" t="s">
        <v>2524</v>
      </c>
      <c r="X191" s="52" t="s">
        <v>2525</v>
      </c>
      <c r="Y191" s="52" t="s">
        <v>2526</v>
      </c>
      <c r="Z191" s="52" t="s">
        <v>2527</v>
      </c>
      <c r="AA191" s="52" t="s">
        <v>2528</v>
      </c>
      <c r="AB191" s="52" t="s">
        <v>2529</v>
      </c>
      <c r="AC191" s="52" t="s">
        <v>2530</v>
      </c>
      <c r="AD191" s="52" t="s">
        <v>2531</v>
      </c>
      <c r="AE191" s="52" t="s">
        <v>2532</v>
      </c>
      <c r="AF191" s="52" t="s">
        <v>2533</v>
      </c>
      <c r="AG191" s="52" t="s">
        <v>2534</v>
      </c>
      <c r="AH191" s="52" t="s">
        <v>2535</v>
      </c>
      <c r="AI191" s="52" t="s">
        <v>2536</v>
      </c>
      <c r="AJ191" s="52" t="s">
        <v>2537</v>
      </c>
      <c r="AK191" s="52" t="s">
        <v>2538</v>
      </c>
      <c r="AL191" s="52" t="s">
        <v>2539</v>
      </c>
      <c r="AM191" s="52" t="s">
        <v>2540</v>
      </c>
      <c r="AN191" s="52" t="s">
        <v>2541</v>
      </c>
      <c r="AO191" s="52" t="s">
        <v>2542</v>
      </c>
      <c r="AP191" s="52" t="s">
        <v>2543</v>
      </c>
      <c r="AQ191" s="52" t="s">
        <v>2544</v>
      </c>
      <c r="AR191" s="52" t="s">
        <v>2545</v>
      </c>
      <c r="AS191" s="52" t="s">
        <v>2546</v>
      </c>
      <c r="AT191" s="52" t="s">
        <v>2547</v>
      </c>
      <c r="AU191" s="52" t="s">
        <v>1998</v>
      </c>
      <c r="AV191" s="52" t="s">
        <v>2052</v>
      </c>
      <c r="AW191" s="52" t="s">
        <v>2053</v>
      </c>
      <c r="AX191" s="52" t="s">
        <v>2053</v>
      </c>
      <c r="AY191" s="49"/>
      <c r="AZ191" s="49"/>
      <c r="BA191" s="49"/>
    </row>
    <row r="192" spans="2:53" ht="11.25" hidden="1" customHeight="1">
      <c r="B192" s="36" t="s">
        <v>1214</v>
      </c>
      <c r="C192" s="52" t="s">
        <v>2023</v>
      </c>
      <c r="D192" s="52" t="s">
        <v>2023</v>
      </c>
      <c r="E192" s="52" t="s">
        <v>1998</v>
      </c>
      <c r="F192" s="52" t="s">
        <v>2052</v>
      </c>
      <c r="G192" s="52" t="s">
        <v>819</v>
      </c>
      <c r="H192" s="52" t="s">
        <v>444</v>
      </c>
      <c r="I192" s="52" t="s">
        <v>446</v>
      </c>
      <c r="J192" s="52" t="s">
        <v>448</v>
      </c>
      <c r="K192" s="52" t="s">
        <v>450</v>
      </c>
      <c r="L192" s="52" t="s">
        <v>452</v>
      </c>
      <c r="M192" s="52" t="s">
        <v>747</v>
      </c>
      <c r="N192" s="52" t="s">
        <v>455</v>
      </c>
      <c r="O192" s="52" t="s">
        <v>457</v>
      </c>
      <c r="P192" s="52" t="s">
        <v>459</v>
      </c>
      <c r="Q192" s="52" t="s">
        <v>2548</v>
      </c>
      <c r="R192" s="52" t="s">
        <v>2549</v>
      </c>
      <c r="S192" s="52" t="s">
        <v>2550</v>
      </c>
      <c r="T192" s="52" t="s">
        <v>2551</v>
      </c>
      <c r="U192" s="52" t="s">
        <v>2552</v>
      </c>
      <c r="V192" s="52" t="s">
        <v>2553</v>
      </c>
      <c r="W192" s="52" t="s">
        <v>2554</v>
      </c>
      <c r="X192" s="52" t="s">
        <v>2555</v>
      </c>
      <c r="Y192" s="52" t="s">
        <v>2556</v>
      </c>
      <c r="Z192" s="52" t="s">
        <v>2557</v>
      </c>
      <c r="AA192" s="52" t="s">
        <v>2558</v>
      </c>
      <c r="AB192" s="52" t="s">
        <v>2559</v>
      </c>
      <c r="AC192" s="52" t="s">
        <v>2560</v>
      </c>
      <c r="AD192" s="52" t="s">
        <v>2561</v>
      </c>
      <c r="AE192" s="52" t="s">
        <v>2562</v>
      </c>
      <c r="AF192" s="52" t="s">
        <v>2563</v>
      </c>
      <c r="AG192" s="52" t="s">
        <v>2564</v>
      </c>
      <c r="AH192" s="52" t="s">
        <v>2565</v>
      </c>
      <c r="AI192" s="52" t="s">
        <v>2566</v>
      </c>
      <c r="AJ192" s="52" t="s">
        <v>2567</v>
      </c>
      <c r="AK192" s="52" t="s">
        <v>2568</v>
      </c>
      <c r="AL192" s="52" t="s">
        <v>2569</v>
      </c>
      <c r="AM192" s="52" t="s">
        <v>2570</v>
      </c>
      <c r="AN192" s="52" t="s">
        <v>2571</v>
      </c>
      <c r="AO192" s="52" t="s">
        <v>2572</v>
      </c>
      <c r="AP192" s="52" t="s">
        <v>2573</v>
      </c>
      <c r="AQ192" s="52" t="s">
        <v>2574</v>
      </c>
      <c r="AR192" s="52" t="s">
        <v>2575</v>
      </c>
      <c r="AS192" s="52" t="s">
        <v>2576</v>
      </c>
      <c r="AT192" s="52" t="s">
        <v>2577</v>
      </c>
      <c r="AU192" s="52" t="s">
        <v>1998</v>
      </c>
      <c r="AV192" s="52" t="s">
        <v>2052</v>
      </c>
      <c r="AW192" s="52" t="s">
        <v>2053</v>
      </c>
      <c r="AX192" s="52" t="s">
        <v>2053</v>
      </c>
      <c r="AY192" s="49"/>
      <c r="AZ192" s="49"/>
      <c r="BA192" s="49"/>
    </row>
    <row r="193" spans="2:53" ht="11.25" hidden="1" customHeight="1">
      <c r="B193" s="36" t="s">
        <v>1263</v>
      </c>
      <c r="C193" s="52" t="s">
        <v>2023</v>
      </c>
      <c r="D193" s="52" t="s">
        <v>2023</v>
      </c>
      <c r="E193" s="52" t="s">
        <v>1998</v>
      </c>
      <c r="F193" s="52" t="s">
        <v>2052</v>
      </c>
      <c r="G193" s="52" t="s">
        <v>820</v>
      </c>
      <c r="H193" s="52" t="s">
        <v>461</v>
      </c>
      <c r="I193" s="52" t="s">
        <v>463</v>
      </c>
      <c r="J193" s="52" t="s">
        <v>465</v>
      </c>
      <c r="K193" s="52" t="s">
        <v>467</v>
      </c>
      <c r="L193" s="52" t="s">
        <v>469</v>
      </c>
      <c r="M193" s="52" t="s">
        <v>471</v>
      </c>
      <c r="N193" s="52" t="s">
        <v>473</v>
      </c>
      <c r="O193" s="52" t="s">
        <v>475</v>
      </c>
      <c r="P193" s="52" t="s">
        <v>477</v>
      </c>
      <c r="Q193" s="52" t="s">
        <v>2578</v>
      </c>
      <c r="R193" s="52" t="s">
        <v>2579</v>
      </c>
      <c r="S193" s="52" t="s">
        <v>2580</v>
      </c>
      <c r="T193" s="52" t="s">
        <v>2581</v>
      </c>
      <c r="U193" s="52" t="s">
        <v>2582</v>
      </c>
      <c r="V193" s="52" t="s">
        <v>2583</v>
      </c>
      <c r="W193" s="52" t="s">
        <v>2584</v>
      </c>
      <c r="X193" s="52" t="s">
        <v>2585</v>
      </c>
      <c r="Y193" s="52" t="s">
        <v>2586</v>
      </c>
      <c r="Z193" s="52" t="s">
        <v>2587</v>
      </c>
      <c r="AA193" s="52" t="s">
        <v>2588</v>
      </c>
      <c r="AB193" s="52" t="s">
        <v>2589</v>
      </c>
      <c r="AC193" s="52" t="s">
        <v>2590</v>
      </c>
      <c r="AD193" s="52" t="s">
        <v>2591</v>
      </c>
      <c r="AE193" s="52" t="s">
        <v>2592</v>
      </c>
      <c r="AF193" s="52" t="s">
        <v>2593</v>
      </c>
      <c r="AG193" s="52" t="s">
        <v>2594</v>
      </c>
      <c r="AH193" s="52" t="s">
        <v>2595</v>
      </c>
      <c r="AI193" s="52" t="s">
        <v>2596</v>
      </c>
      <c r="AJ193" s="52" t="s">
        <v>2597</v>
      </c>
      <c r="AK193" s="52" t="s">
        <v>2598</v>
      </c>
      <c r="AL193" s="52" t="s">
        <v>2599</v>
      </c>
      <c r="AM193" s="52" t="s">
        <v>2600</v>
      </c>
      <c r="AN193" s="52" t="s">
        <v>2601</v>
      </c>
      <c r="AO193" s="52" t="s">
        <v>2602</v>
      </c>
      <c r="AP193" s="52" t="s">
        <v>2603</v>
      </c>
      <c r="AQ193" s="52" t="s">
        <v>2604</v>
      </c>
      <c r="AR193" s="52" t="s">
        <v>2605</v>
      </c>
      <c r="AS193" s="52" t="s">
        <v>2606</v>
      </c>
      <c r="AT193" s="52" t="s">
        <v>2607</v>
      </c>
      <c r="AU193" s="52" t="s">
        <v>1998</v>
      </c>
      <c r="AV193" s="52" t="s">
        <v>2052</v>
      </c>
      <c r="AW193" s="52" t="s">
        <v>2053</v>
      </c>
      <c r="AX193" s="52" t="s">
        <v>2053</v>
      </c>
      <c r="AY193" s="49"/>
      <c r="AZ193" s="49"/>
      <c r="BA193" s="49"/>
    </row>
    <row r="194" spans="2:53" ht="11.25" hidden="1" customHeight="1">
      <c r="B194" s="36" t="s">
        <v>1312</v>
      </c>
      <c r="C194" s="52" t="s">
        <v>2023</v>
      </c>
      <c r="D194" s="52" t="s">
        <v>2023</v>
      </c>
      <c r="E194" s="52" t="s">
        <v>1998</v>
      </c>
      <c r="F194" s="52" t="s">
        <v>2052</v>
      </c>
      <c r="G194" s="52" t="s">
        <v>478</v>
      </c>
      <c r="H194" s="52" t="s">
        <v>480</v>
      </c>
      <c r="I194" s="52" t="s">
        <v>482</v>
      </c>
      <c r="J194" s="52" t="s">
        <v>484</v>
      </c>
      <c r="K194" s="52" t="s">
        <v>486</v>
      </c>
      <c r="L194" s="52" t="s">
        <v>488</v>
      </c>
      <c r="M194" s="52" t="s">
        <v>490</v>
      </c>
      <c r="N194" s="52" t="s">
        <v>492</v>
      </c>
      <c r="O194" s="52" t="s">
        <v>494</v>
      </c>
      <c r="P194" s="52" t="s">
        <v>496</v>
      </c>
      <c r="Q194" s="52" t="s">
        <v>2608</v>
      </c>
      <c r="R194" s="52" t="s">
        <v>2609</v>
      </c>
      <c r="S194" s="52" t="s">
        <v>2610</v>
      </c>
      <c r="T194" s="52" t="s">
        <v>2611</v>
      </c>
      <c r="U194" s="52" t="s">
        <v>2612</v>
      </c>
      <c r="V194" s="52" t="s">
        <v>2613</v>
      </c>
      <c r="W194" s="52" t="s">
        <v>2614</v>
      </c>
      <c r="X194" s="52" t="s">
        <v>2615</v>
      </c>
      <c r="Y194" s="52" t="s">
        <v>2616</v>
      </c>
      <c r="Z194" s="52" t="s">
        <v>2617</v>
      </c>
      <c r="AA194" s="52" t="s">
        <v>2618</v>
      </c>
      <c r="AB194" s="52" t="s">
        <v>2619</v>
      </c>
      <c r="AC194" s="52" t="s">
        <v>2620</v>
      </c>
      <c r="AD194" s="52" t="s">
        <v>2621</v>
      </c>
      <c r="AE194" s="52" t="s">
        <v>2622</v>
      </c>
      <c r="AF194" s="52" t="s">
        <v>2623</v>
      </c>
      <c r="AG194" s="52" t="s">
        <v>2624</v>
      </c>
      <c r="AH194" s="52" t="s">
        <v>2625</v>
      </c>
      <c r="AI194" s="52" t="s">
        <v>2626</v>
      </c>
      <c r="AJ194" s="52" t="s">
        <v>2627</v>
      </c>
      <c r="AK194" s="52" t="s">
        <v>2628</v>
      </c>
      <c r="AL194" s="52" t="s">
        <v>2629</v>
      </c>
      <c r="AM194" s="52" t="s">
        <v>2630</v>
      </c>
      <c r="AN194" s="52" t="s">
        <v>2631</v>
      </c>
      <c r="AO194" s="52" t="s">
        <v>2632</v>
      </c>
      <c r="AP194" s="52" t="s">
        <v>2633</v>
      </c>
      <c r="AQ194" s="52" t="s">
        <v>2634</v>
      </c>
      <c r="AR194" s="52" t="s">
        <v>2635</v>
      </c>
      <c r="AS194" s="52" t="s">
        <v>2636</v>
      </c>
      <c r="AT194" s="52" t="s">
        <v>2637</v>
      </c>
      <c r="AU194" s="52" t="s">
        <v>1998</v>
      </c>
      <c r="AV194" s="52" t="s">
        <v>2052</v>
      </c>
      <c r="AW194" s="52" t="s">
        <v>2053</v>
      </c>
      <c r="AX194" s="52" t="s">
        <v>2053</v>
      </c>
      <c r="AY194" s="49"/>
      <c r="AZ194" s="49"/>
      <c r="BA194" s="49"/>
    </row>
    <row r="195" spans="2:53" ht="11.25" hidden="1" customHeight="1">
      <c r="B195" s="36" t="s">
        <v>1361</v>
      </c>
      <c r="C195" s="52" t="s">
        <v>2023</v>
      </c>
      <c r="D195" s="52" t="s">
        <v>2023</v>
      </c>
      <c r="E195" s="52" t="s">
        <v>1998</v>
      </c>
      <c r="F195" s="52" t="s">
        <v>2052</v>
      </c>
      <c r="G195" s="52" t="s">
        <v>497</v>
      </c>
      <c r="H195" s="52" t="s">
        <v>499</v>
      </c>
      <c r="I195" s="52" t="s">
        <v>501</v>
      </c>
      <c r="J195" s="52" t="s">
        <v>503</v>
      </c>
      <c r="K195" s="52" t="s">
        <v>505</v>
      </c>
      <c r="L195" s="52" t="s">
        <v>507</v>
      </c>
      <c r="M195" s="52" t="s">
        <v>509</v>
      </c>
      <c r="N195" s="52" t="s">
        <v>511</v>
      </c>
      <c r="O195" s="52" t="s">
        <v>513</v>
      </c>
      <c r="P195" s="52" t="s">
        <v>515</v>
      </c>
      <c r="Q195" s="52" t="s">
        <v>2638</v>
      </c>
      <c r="R195" s="52" t="s">
        <v>2639</v>
      </c>
      <c r="S195" s="52" t="s">
        <v>2640</v>
      </c>
      <c r="T195" s="52" t="s">
        <v>2641</v>
      </c>
      <c r="U195" s="52" t="s">
        <v>2642</v>
      </c>
      <c r="V195" s="52" t="s">
        <v>2643</v>
      </c>
      <c r="W195" s="52" t="s">
        <v>2644</v>
      </c>
      <c r="X195" s="52" t="s">
        <v>2645</v>
      </c>
      <c r="Y195" s="52" t="s">
        <v>2646</v>
      </c>
      <c r="Z195" s="52" t="s">
        <v>2647</v>
      </c>
      <c r="AA195" s="52" t="s">
        <v>2648</v>
      </c>
      <c r="AB195" s="52" t="s">
        <v>2649</v>
      </c>
      <c r="AC195" s="52" t="s">
        <v>2650</v>
      </c>
      <c r="AD195" s="52" t="s">
        <v>2651</v>
      </c>
      <c r="AE195" s="52" t="s">
        <v>2652</v>
      </c>
      <c r="AF195" s="52" t="s">
        <v>2653</v>
      </c>
      <c r="AG195" s="52" t="s">
        <v>2654</v>
      </c>
      <c r="AH195" s="52" t="s">
        <v>2655</v>
      </c>
      <c r="AI195" s="52" t="s">
        <v>2656</v>
      </c>
      <c r="AJ195" s="52" t="s">
        <v>2657</v>
      </c>
      <c r="AK195" s="52" t="s">
        <v>2658</v>
      </c>
      <c r="AL195" s="52" t="s">
        <v>2659</v>
      </c>
      <c r="AM195" s="52" t="s">
        <v>2660</v>
      </c>
      <c r="AN195" s="52" t="s">
        <v>2661</v>
      </c>
      <c r="AO195" s="52" t="s">
        <v>2662</v>
      </c>
      <c r="AP195" s="52" t="s">
        <v>2663</v>
      </c>
      <c r="AQ195" s="52" t="s">
        <v>2664</v>
      </c>
      <c r="AR195" s="52" t="s">
        <v>2665</v>
      </c>
      <c r="AS195" s="52" t="s">
        <v>2666</v>
      </c>
      <c r="AT195" s="52" t="s">
        <v>2667</v>
      </c>
      <c r="AU195" s="52" t="s">
        <v>1998</v>
      </c>
      <c r="AV195" s="52" t="s">
        <v>2052</v>
      </c>
      <c r="AW195" s="52" t="s">
        <v>2053</v>
      </c>
      <c r="AX195" s="52" t="s">
        <v>2053</v>
      </c>
      <c r="AY195" s="49"/>
      <c r="AZ195" s="49"/>
      <c r="BA195" s="49"/>
    </row>
    <row r="196" spans="2:53" ht="11.25" hidden="1" customHeight="1">
      <c r="B196" s="36" t="s">
        <v>1410</v>
      </c>
      <c r="C196" s="52" t="s">
        <v>2023</v>
      </c>
      <c r="D196" s="52" t="s">
        <v>2023</v>
      </c>
      <c r="E196" s="52" t="s">
        <v>1998</v>
      </c>
      <c r="F196" s="52" t="s">
        <v>2052</v>
      </c>
      <c r="G196" s="52" t="s">
        <v>516</v>
      </c>
      <c r="H196" s="52" t="s">
        <v>518</v>
      </c>
      <c r="I196" s="52" t="s">
        <v>520</v>
      </c>
      <c r="J196" s="52" t="s">
        <v>522</v>
      </c>
      <c r="K196" s="52" t="s">
        <v>524</v>
      </c>
      <c r="L196" s="52" t="s">
        <v>526</v>
      </c>
      <c r="M196" s="52" t="s">
        <v>528</v>
      </c>
      <c r="N196" s="52" t="s">
        <v>530</v>
      </c>
      <c r="O196" s="52" t="s">
        <v>532</v>
      </c>
      <c r="P196" s="52" t="s">
        <v>534</v>
      </c>
      <c r="Q196" s="52" t="s">
        <v>2668</v>
      </c>
      <c r="R196" s="52" t="s">
        <v>2669</v>
      </c>
      <c r="S196" s="52" t="s">
        <v>2670</v>
      </c>
      <c r="T196" s="52" t="s">
        <v>2671</v>
      </c>
      <c r="U196" s="52" t="s">
        <v>2672</v>
      </c>
      <c r="V196" s="52" t="s">
        <v>2673</v>
      </c>
      <c r="W196" s="52" t="s">
        <v>2674</v>
      </c>
      <c r="X196" s="52" t="s">
        <v>2675</v>
      </c>
      <c r="Y196" s="52" t="s">
        <v>2676</v>
      </c>
      <c r="Z196" s="52" t="s">
        <v>2677</v>
      </c>
      <c r="AA196" s="52" t="s">
        <v>2678</v>
      </c>
      <c r="AB196" s="52" t="s">
        <v>2679</v>
      </c>
      <c r="AC196" s="52" t="s">
        <v>2680</v>
      </c>
      <c r="AD196" s="52" t="s">
        <v>2681</v>
      </c>
      <c r="AE196" s="52" t="s">
        <v>2682</v>
      </c>
      <c r="AF196" s="52" t="s">
        <v>2683</v>
      </c>
      <c r="AG196" s="52" t="s">
        <v>2684</v>
      </c>
      <c r="AH196" s="52" t="s">
        <v>2685</v>
      </c>
      <c r="AI196" s="52" t="s">
        <v>2686</v>
      </c>
      <c r="AJ196" s="52" t="s">
        <v>2687</v>
      </c>
      <c r="AK196" s="52" t="s">
        <v>2688</v>
      </c>
      <c r="AL196" s="52" t="s">
        <v>2689</v>
      </c>
      <c r="AM196" s="52" t="s">
        <v>2690</v>
      </c>
      <c r="AN196" s="52" t="s">
        <v>2691</v>
      </c>
      <c r="AO196" s="52" t="s">
        <v>2692</v>
      </c>
      <c r="AP196" s="52" t="s">
        <v>2693</v>
      </c>
      <c r="AQ196" s="52" t="s">
        <v>2694</v>
      </c>
      <c r="AR196" s="52" t="s">
        <v>2695</v>
      </c>
      <c r="AS196" s="52" t="s">
        <v>2696</v>
      </c>
      <c r="AT196" s="52" t="s">
        <v>2697</v>
      </c>
      <c r="AU196" s="52" t="s">
        <v>1998</v>
      </c>
      <c r="AV196" s="52" t="s">
        <v>2052</v>
      </c>
      <c r="AW196" s="52" t="s">
        <v>2053</v>
      </c>
      <c r="AX196" s="52" t="s">
        <v>2053</v>
      </c>
      <c r="AY196" s="49"/>
      <c r="AZ196" s="49"/>
      <c r="BA196" s="49"/>
    </row>
    <row r="197" spans="2:53" ht="11.25" hidden="1" customHeight="1">
      <c r="B197" s="36" t="s">
        <v>1459</v>
      </c>
      <c r="C197" s="52" t="s">
        <v>2023</v>
      </c>
      <c r="D197" s="52" t="s">
        <v>2023</v>
      </c>
      <c r="E197" s="52" t="s">
        <v>1998</v>
      </c>
      <c r="F197" s="52" t="s">
        <v>2052</v>
      </c>
      <c r="G197" s="52" t="s">
        <v>535</v>
      </c>
      <c r="H197" s="52" t="s">
        <v>537</v>
      </c>
      <c r="I197" s="52" t="s">
        <v>539</v>
      </c>
      <c r="J197" s="52" t="s">
        <v>541</v>
      </c>
      <c r="K197" s="52" t="s">
        <v>543</v>
      </c>
      <c r="L197" s="52" t="s">
        <v>545</v>
      </c>
      <c r="M197" s="52" t="s">
        <v>547</v>
      </c>
      <c r="N197" s="52" t="s">
        <v>549</v>
      </c>
      <c r="O197" s="52" t="s">
        <v>551</v>
      </c>
      <c r="P197" s="52" t="s">
        <v>553</v>
      </c>
      <c r="Q197" s="52" t="s">
        <v>2698</v>
      </c>
      <c r="R197" s="52" t="s">
        <v>2699</v>
      </c>
      <c r="S197" s="52" t="s">
        <v>2700</v>
      </c>
      <c r="T197" s="52" t="s">
        <v>2701</v>
      </c>
      <c r="U197" s="52" t="s">
        <v>2702</v>
      </c>
      <c r="V197" s="52" t="s">
        <v>2703</v>
      </c>
      <c r="W197" s="52" t="s">
        <v>2704</v>
      </c>
      <c r="X197" s="52" t="s">
        <v>2705</v>
      </c>
      <c r="Y197" s="52" t="s">
        <v>2706</v>
      </c>
      <c r="Z197" s="52" t="s">
        <v>2707</v>
      </c>
      <c r="AA197" s="52" t="s">
        <v>2708</v>
      </c>
      <c r="AB197" s="52" t="s">
        <v>2709</v>
      </c>
      <c r="AC197" s="52" t="s">
        <v>2710</v>
      </c>
      <c r="AD197" s="52" t="s">
        <v>2711</v>
      </c>
      <c r="AE197" s="52" t="s">
        <v>2712</v>
      </c>
      <c r="AF197" s="52" t="s">
        <v>2713</v>
      </c>
      <c r="AG197" s="52" t="s">
        <v>2714</v>
      </c>
      <c r="AH197" s="52" t="s">
        <v>2715</v>
      </c>
      <c r="AI197" s="52" t="s">
        <v>2716</v>
      </c>
      <c r="AJ197" s="52" t="s">
        <v>2717</v>
      </c>
      <c r="AK197" s="52" t="s">
        <v>2718</v>
      </c>
      <c r="AL197" s="52" t="s">
        <v>2719</v>
      </c>
      <c r="AM197" s="52" t="s">
        <v>2720</v>
      </c>
      <c r="AN197" s="52" t="s">
        <v>2721</v>
      </c>
      <c r="AO197" s="52" t="s">
        <v>2722</v>
      </c>
      <c r="AP197" s="52" t="s">
        <v>2723</v>
      </c>
      <c r="AQ197" s="52" t="s">
        <v>2724</v>
      </c>
      <c r="AR197" s="52" t="s">
        <v>2725</v>
      </c>
      <c r="AS197" s="52" t="s">
        <v>2726</v>
      </c>
      <c r="AT197" s="52" t="s">
        <v>2727</v>
      </c>
      <c r="AU197" s="52" t="s">
        <v>1998</v>
      </c>
      <c r="AV197" s="52" t="s">
        <v>2052</v>
      </c>
      <c r="AW197" s="52" t="s">
        <v>2053</v>
      </c>
      <c r="AX197" s="52" t="s">
        <v>2053</v>
      </c>
      <c r="AY197" s="49"/>
      <c r="AZ197" s="49"/>
      <c r="BA197" s="49"/>
    </row>
    <row r="198" spans="2:53" ht="11.25" hidden="1" customHeight="1">
      <c r="B198" s="36" t="s">
        <v>1508</v>
      </c>
      <c r="C198" s="52" t="s">
        <v>2023</v>
      </c>
      <c r="D198" s="52" t="s">
        <v>2023</v>
      </c>
      <c r="E198" s="52" t="s">
        <v>1998</v>
      </c>
      <c r="F198" s="52" t="s">
        <v>2052</v>
      </c>
      <c r="G198" s="52" t="s">
        <v>554</v>
      </c>
      <c r="H198" s="52" t="s">
        <v>556</v>
      </c>
      <c r="I198" s="52" t="s">
        <v>558</v>
      </c>
      <c r="J198" s="52" t="s">
        <v>560</v>
      </c>
      <c r="K198" s="52" t="s">
        <v>562</v>
      </c>
      <c r="L198" s="52" t="s">
        <v>564</v>
      </c>
      <c r="M198" s="52" t="s">
        <v>566</v>
      </c>
      <c r="N198" s="52" t="s">
        <v>568</v>
      </c>
      <c r="O198" s="52" t="s">
        <v>570</v>
      </c>
      <c r="P198" s="52" t="s">
        <v>572</v>
      </c>
      <c r="Q198" s="52" t="s">
        <v>2728</v>
      </c>
      <c r="R198" s="52" t="s">
        <v>2729</v>
      </c>
      <c r="S198" s="52" t="s">
        <v>2730</v>
      </c>
      <c r="T198" s="52" t="s">
        <v>2731</v>
      </c>
      <c r="U198" s="52" t="s">
        <v>2732</v>
      </c>
      <c r="V198" s="52" t="s">
        <v>2733</v>
      </c>
      <c r="W198" s="52" t="s">
        <v>2734</v>
      </c>
      <c r="X198" s="52" t="s">
        <v>2735</v>
      </c>
      <c r="Y198" s="52" t="s">
        <v>2736</v>
      </c>
      <c r="Z198" s="52" t="s">
        <v>2737</v>
      </c>
      <c r="AA198" s="52" t="s">
        <v>2738</v>
      </c>
      <c r="AB198" s="52" t="s">
        <v>2739</v>
      </c>
      <c r="AC198" s="52" t="s">
        <v>2740</v>
      </c>
      <c r="AD198" s="52" t="s">
        <v>2741</v>
      </c>
      <c r="AE198" s="52" t="s">
        <v>2742</v>
      </c>
      <c r="AF198" s="52" t="s">
        <v>2743</v>
      </c>
      <c r="AG198" s="52" t="s">
        <v>2744</v>
      </c>
      <c r="AH198" s="52" t="s">
        <v>2745</v>
      </c>
      <c r="AI198" s="52" t="s">
        <v>2746</v>
      </c>
      <c r="AJ198" s="52" t="s">
        <v>2747</v>
      </c>
      <c r="AK198" s="52" t="s">
        <v>2748</v>
      </c>
      <c r="AL198" s="52" t="s">
        <v>2749</v>
      </c>
      <c r="AM198" s="52" t="s">
        <v>2750</v>
      </c>
      <c r="AN198" s="52" t="s">
        <v>2751</v>
      </c>
      <c r="AO198" s="52" t="s">
        <v>2752</v>
      </c>
      <c r="AP198" s="52" t="s">
        <v>2753</v>
      </c>
      <c r="AQ198" s="52" t="s">
        <v>2754</v>
      </c>
      <c r="AR198" s="52" t="s">
        <v>2755</v>
      </c>
      <c r="AS198" s="52" t="s">
        <v>2756</v>
      </c>
      <c r="AT198" s="52" t="s">
        <v>2757</v>
      </c>
      <c r="AU198" s="52" t="s">
        <v>1998</v>
      </c>
      <c r="AV198" s="52" t="s">
        <v>2052</v>
      </c>
      <c r="AW198" s="52" t="s">
        <v>2053</v>
      </c>
      <c r="AX198" s="52" t="s">
        <v>2053</v>
      </c>
      <c r="AY198" s="49"/>
      <c r="AZ198" s="49"/>
      <c r="BA198" s="49"/>
    </row>
    <row r="199" spans="2:53" ht="11.25" hidden="1" customHeight="1">
      <c r="B199" s="36" t="s">
        <v>1557</v>
      </c>
      <c r="C199" s="52" t="s">
        <v>2023</v>
      </c>
      <c r="D199" s="52" t="s">
        <v>2023</v>
      </c>
      <c r="E199" s="52" t="s">
        <v>1998</v>
      </c>
      <c r="F199" s="52" t="s">
        <v>2052</v>
      </c>
      <c r="G199" s="52" t="s">
        <v>573</v>
      </c>
      <c r="H199" s="52" t="s">
        <v>575</v>
      </c>
      <c r="I199" s="52" t="s">
        <v>577</v>
      </c>
      <c r="J199" s="52" t="s">
        <v>579</v>
      </c>
      <c r="K199" s="52" t="s">
        <v>748</v>
      </c>
      <c r="L199" s="52" t="s">
        <v>582</v>
      </c>
      <c r="M199" s="52" t="s">
        <v>584</v>
      </c>
      <c r="N199" s="52" t="s">
        <v>586</v>
      </c>
      <c r="O199" s="52" t="s">
        <v>588</v>
      </c>
      <c r="P199" s="52" t="s">
        <v>590</v>
      </c>
      <c r="Q199" s="52" t="s">
        <v>2758</v>
      </c>
      <c r="R199" s="52" t="s">
        <v>2759</v>
      </c>
      <c r="S199" s="52" t="s">
        <v>2760</v>
      </c>
      <c r="T199" s="52" t="s">
        <v>2761</v>
      </c>
      <c r="U199" s="52" t="s">
        <v>2762</v>
      </c>
      <c r="V199" s="52" t="s">
        <v>2763</v>
      </c>
      <c r="W199" s="52" t="s">
        <v>2764</v>
      </c>
      <c r="X199" s="52" t="s">
        <v>2765</v>
      </c>
      <c r="Y199" s="52" t="s">
        <v>2766</v>
      </c>
      <c r="Z199" s="52" t="s">
        <v>2767</v>
      </c>
      <c r="AA199" s="52" t="s">
        <v>2768</v>
      </c>
      <c r="AB199" s="52" t="s">
        <v>2769</v>
      </c>
      <c r="AC199" s="52" t="s">
        <v>2770</v>
      </c>
      <c r="AD199" s="52" t="s">
        <v>2771</v>
      </c>
      <c r="AE199" s="52" t="s">
        <v>2772</v>
      </c>
      <c r="AF199" s="52" t="s">
        <v>2773</v>
      </c>
      <c r="AG199" s="52" t="s">
        <v>2774</v>
      </c>
      <c r="AH199" s="52" t="s">
        <v>2775</v>
      </c>
      <c r="AI199" s="52" t="s">
        <v>2776</v>
      </c>
      <c r="AJ199" s="52" t="s">
        <v>2777</v>
      </c>
      <c r="AK199" s="52" t="s">
        <v>2778</v>
      </c>
      <c r="AL199" s="52" t="s">
        <v>2779</v>
      </c>
      <c r="AM199" s="52" t="s">
        <v>2780</v>
      </c>
      <c r="AN199" s="52" t="s">
        <v>2781</v>
      </c>
      <c r="AO199" s="52" t="s">
        <v>2782</v>
      </c>
      <c r="AP199" s="52" t="s">
        <v>2783</v>
      </c>
      <c r="AQ199" s="52" t="s">
        <v>2784</v>
      </c>
      <c r="AR199" s="52" t="s">
        <v>2785</v>
      </c>
      <c r="AS199" s="52" t="s">
        <v>2786</v>
      </c>
      <c r="AT199" s="52" t="s">
        <v>2787</v>
      </c>
      <c r="AU199" s="52" t="s">
        <v>1998</v>
      </c>
      <c r="AV199" s="52" t="s">
        <v>2052</v>
      </c>
      <c r="AW199" s="52" t="s">
        <v>2053</v>
      </c>
      <c r="AX199" s="52" t="s">
        <v>2053</v>
      </c>
      <c r="AY199" s="49"/>
      <c r="AZ199" s="49"/>
      <c r="BA199" s="49"/>
    </row>
    <row r="200" spans="2:53" ht="11.25" hidden="1" customHeight="1">
      <c r="B200" s="36" t="s">
        <v>1606</v>
      </c>
      <c r="C200" s="52" t="s">
        <v>2023</v>
      </c>
      <c r="D200" s="52" t="s">
        <v>2023</v>
      </c>
      <c r="E200" s="52" t="s">
        <v>1998</v>
      </c>
      <c r="F200" s="52" t="s">
        <v>2052</v>
      </c>
      <c r="G200" s="52" t="s">
        <v>749</v>
      </c>
      <c r="H200" s="52" t="s">
        <v>592</v>
      </c>
      <c r="I200" s="52" t="s">
        <v>594</v>
      </c>
      <c r="J200" s="52" t="s">
        <v>596</v>
      </c>
      <c r="K200" s="52" t="s">
        <v>598</v>
      </c>
      <c r="L200" s="52" t="s">
        <v>600</v>
      </c>
      <c r="M200" s="52" t="s">
        <v>602</v>
      </c>
      <c r="N200" s="52" t="s">
        <v>604</v>
      </c>
      <c r="O200" s="52" t="s">
        <v>606</v>
      </c>
      <c r="P200" s="52" t="s">
        <v>608</v>
      </c>
      <c r="Q200" s="52" t="s">
        <v>2788</v>
      </c>
      <c r="R200" s="52" t="s">
        <v>2789</v>
      </c>
      <c r="S200" s="52" t="s">
        <v>2790</v>
      </c>
      <c r="T200" s="52" t="s">
        <v>2791</v>
      </c>
      <c r="U200" s="52" t="s">
        <v>2792</v>
      </c>
      <c r="V200" s="52" t="s">
        <v>2793</v>
      </c>
      <c r="W200" s="52" t="s">
        <v>2794</v>
      </c>
      <c r="X200" s="52" t="s">
        <v>2795</v>
      </c>
      <c r="Y200" s="52" t="s">
        <v>2796</v>
      </c>
      <c r="Z200" s="52" t="s">
        <v>2797</v>
      </c>
      <c r="AA200" s="52" t="s">
        <v>2798</v>
      </c>
      <c r="AB200" s="52" t="s">
        <v>2799</v>
      </c>
      <c r="AC200" s="52" t="s">
        <v>2800</v>
      </c>
      <c r="AD200" s="52" t="s">
        <v>2801</v>
      </c>
      <c r="AE200" s="52" t="s">
        <v>2802</v>
      </c>
      <c r="AF200" s="52" t="s">
        <v>2803</v>
      </c>
      <c r="AG200" s="52" t="s">
        <v>2804</v>
      </c>
      <c r="AH200" s="52" t="s">
        <v>2805</v>
      </c>
      <c r="AI200" s="52" t="s">
        <v>2806</v>
      </c>
      <c r="AJ200" s="52" t="s">
        <v>2807</v>
      </c>
      <c r="AK200" s="52" t="s">
        <v>2808</v>
      </c>
      <c r="AL200" s="52" t="s">
        <v>2809</v>
      </c>
      <c r="AM200" s="52" t="s">
        <v>2810</v>
      </c>
      <c r="AN200" s="52" t="s">
        <v>2811</v>
      </c>
      <c r="AO200" s="52" t="s">
        <v>2812</v>
      </c>
      <c r="AP200" s="52" t="s">
        <v>2813</v>
      </c>
      <c r="AQ200" s="52" t="s">
        <v>2814</v>
      </c>
      <c r="AR200" s="52" t="s">
        <v>2815</v>
      </c>
      <c r="AS200" s="52" t="s">
        <v>2816</v>
      </c>
      <c r="AT200" s="52" t="s">
        <v>2817</v>
      </c>
      <c r="AU200" s="52" t="s">
        <v>1998</v>
      </c>
      <c r="AV200" s="52" t="s">
        <v>2052</v>
      </c>
      <c r="AW200" s="52" t="s">
        <v>2053</v>
      </c>
      <c r="AX200" s="52" t="s">
        <v>2053</v>
      </c>
      <c r="AY200" s="49"/>
      <c r="AZ200" s="49"/>
      <c r="BA200" s="49"/>
    </row>
    <row r="201" spans="2:53" ht="11.25" hidden="1" customHeight="1">
      <c r="B201" s="36" t="s">
        <v>1655</v>
      </c>
      <c r="C201" s="52" t="s">
        <v>2023</v>
      </c>
      <c r="D201" s="52" t="s">
        <v>2023</v>
      </c>
      <c r="E201" s="52" t="s">
        <v>1998</v>
      </c>
      <c r="F201" s="52" t="s">
        <v>2052</v>
      </c>
      <c r="G201" s="52" t="s">
        <v>609</v>
      </c>
      <c r="H201" s="52" t="s">
        <v>611</v>
      </c>
      <c r="I201" s="52" t="s">
        <v>613</v>
      </c>
      <c r="J201" s="52" t="s">
        <v>615</v>
      </c>
      <c r="K201" s="52" t="s">
        <v>617</v>
      </c>
      <c r="L201" s="52" t="s">
        <v>619</v>
      </c>
      <c r="M201" s="52" t="s">
        <v>621</v>
      </c>
      <c r="N201" s="52" t="s">
        <v>623</v>
      </c>
      <c r="O201" s="52" t="s">
        <v>625</v>
      </c>
      <c r="P201" s="52" t="s">
        <v>627</v>
      </c>
      <c r="Q201" s="52" t="s">
        <v>2818</v>
      </c>
      <c r="R201" s="52" t="s">
        <v>2819</v>
      </c>
      <c r="S201" s="52" t="s">
        <v>2820</v>
      </c>
      <c r="T201" s="52" t="s">
        <v>2821</v>
      </c>
      <c r="U201" s="52" t="s">
        <v>2822</v>
      </c>
      <c r="V201" s="52" t="s">
        <v>2823</v>
      </c>
      <c r="W201" s="52" t="s">
        <v>2824</v>
      </c>
      <c r="X201" s="52" t="s">
        <v>2825</v>
      </c>
      <c r="Y201" s="52" t="s">
        <v>2826</v>
      </c>
      <c r="Z201" s="52" t="s">
        <v>2827</v>
      </c>
      <c r="AA201" s="52" t="s">
        <v>2828</v>
      </c>
      <c r="AB201" s="52" t="s">
        <v>2829</v>
      </c>
      <c r="AC201" s="52" t="s">
        <v>2830</v>
      </c>
      <c r="AD201" s="52" t="s">
        <v>2831</v>
      </c>
      <c r="AE201" s="52" t="s">
        <v>2832</v>
      </c>
      <c r="AF201" s="52" t="s">
        <v>2833</v>
      </c>
      <c r="AG201" s="52" t="s">
        <v>2834</v>
      </c>
      <c r="AH201" s="52" t="s">
        <v>2835</v>
      </c>
      <c r="AI201" s="52" t="s">
        <v>2836</v>
      </c>
      <c r="AJ201" s="52" t="s">
        <v>2837</v>
      </c>
      <c r="AK201" s="52" t="s">
        <v>2838</v>
      </c>
      <c r="AL201" s="52" t="s">
        <v>2839</v>
      </c>
      <c r="AM201" s="52" t="s">
        <v>2840</v>
      </c>
      <c r="AN201" s="52" t="s">
        <v>2841</v>
      </c>
      <c r="AO201" s="52" t="s">
        <v>2842</v>
      </c>
      <c r="AP201" s="52" t="s">
        <v>2843</v>
      </c>
      <c r="AQ201" s="52" t="s">
        <v>2844</v>
      </c>
      <c r="AR201" s="52" t="s">
        <v>2845</v>
      </c>
      <c r="AS201" s="52" t="s">
        <v>2846</v>
      </c>
      <c r="AT201" s="52" t="s">
        <v>2847</v>
      </c>
      <c r="AU201" s="52" t="s">
        <v>1998</v>
      </c>
      <c r="AV201" s="52" t="s">
        <v>2052</v>
      </c>
      <c r="AW201" s="52" t="s">
        <v>2053</v>
      </c>
      <c r="AX201" s="52" t="s">
        <v>2053</v>
      </c>
      <c r="AY201" s="49"/>
      <c r="AZ201" s="49"/>
      <c r="BA201" s="49"/>
    </row>
    <row r="202" spans="2:53" ht="11.25" hidden="1" customHeight="1">
      <c r="B202" s="36" t="s">
        <v>1704</v>
      </c>
      <c r="C202" s="52" t="s">
        <v>2023</v>
      </c>
      <c r="D202" s="52" t="s">
        <v>2023</v>
      </c>
      <c r="E202" s="52" t="s">
        <v>1998</v>
      </c>
      <c r="F202" s="52" t="s">
        <v>2052</v>
      </c>
      <c r="G202" s="52" t="s">
        <v>628</v>
      </c>
      <c r="H202" s="52" t="s">
        <v>630</v>
      </c>
      <c r="I202" s="52" t="s">
        <v>632</v>
      </c>
      <c r="J202" s="52" t="s">
        <v>634</v>
      </c>
      <c r="K202" s="52" t="s">
        <v>636</v>
      </c>
      <c r="L202" s="52" t="s">
        <v>638</v>
      </c>
      <c r="M202" s="52" t="s">
        <v>640</v>
      </c>
      <c r="N202" s="52" t="s">
        <v>642</v>
      </c>
      <c r="O202" s="52" t="s">
        <v>644</v>
      </c>
      <c r="P202" s="52" t="s">
        <v>646</v>
      </c>
      <c r="Q202" s="52" t="s">
        <v>2848</v>
      </c>
      <c r="R202" s="52" t="s">
        <v>2849</v>
      </c>
      <c r="S202" s="52" t="s">
        <v>2850</v>
      </c>
      <c r="T202" s="52" t="s">
        <v>2851</v>
      </c>
      <c r="U202" s="52" t="s">
        <v>2852</v>
      </c>
      <c r="V202" s="52" t="s">
        <v>2853</v>
      </c>
      <c r="W202" s="52" t="s">
        <v>2854</v>
      </c>
      <c r="X202" s="52" t="s">
        <v>2855</v>
      </c>
      <c r="Y202" s="52" t="s">
        <v>2856</v>
      </c>
      <c r="Z202" s="52" t="s">
        <v>2857</v>
      </c>
      <c r="AA202" s="52" t="s">
        <v>2858</v>
      </c>
      <c r="AB202" s="52" t="s">
        <v>2859</v>
      </c>
      <c r="AC202" s="52" t="s">
        <v>2860</v>
      </c>
      <c r="AD202" s="52" t="s">
        <v>2861</v>
      </c>
      <c r="AE202" s="52" t="s">
        <v>2862</v>
      </c>
      <c r="AF202" s="52" t="s">
        <v>2863</v>
      </c>
      <c r="AG202" s="52" t="s">
        <v>2864</v>
      </c>
      <c r="AH202" s="52" t="s">
        <v>2865</v>
      </c>
      <c r="AI202" s="52" t="s">
        <v>2866</v>
      </c>
      <c r="AJ202" s="52" t="s">
        <v>2867</v>
      </c>
      <c r="AK202" s="52" t="s">
        <v>2868</v>
      </c>
      <c r="AL202" s="52" t="s">
        <v>2869</v>
      </c>
      <c r="AM202" s="52" t="s">
        <v>2870</v>
      </c>
      <c r="AN202" s="52" t="s">
        <v>2871</v>
      </c>
      <c r="AO202" s="52" t="s">
        <v>2872</v>
      </c>
      <c r="AP202" s="52" t="s">
        <v>2873</v>
      </c>
      <c r="AQ202" s="52" t="s">
        <v>2874</v>
      </c>
      <c r="AR202" s="52" t="s">
        <v>2875</v>
      </c>
      <c r="AS202" s="52" t="s">
        <v>2876</v>
      </c>
      <c r="AT202" s="52" t="s">
        <v>2877</v>
      </c>
      <c r="AU202" s="52" t="s">
        <v>1998</v>
      </c>
      <c r="AV202" s="52" t="s">
        <v>2052</v>
      </c>
      <c r="AW202" s="52" t="s">
        <v>2053</v>
      </c>
      <c r="AX202" s="52" t="s">
        <v>2053</v>
      </c>
      <c r="AY202" s="49"/>
      <c r="AZ202" s="49"/>
      <c r="BA202" s="49"/>
    </row>
    <row r="203" spans="2:53" ht="11.25" hidden="1" customHeight="1">
      <c r="B203" s="36" t="s">
        <v>1753</v>
      </c>
      <c r="C203" s="52" t="s">
        <v>2023</v>
      </c>
      <c r="D203" s="52" t="s">
        <v>2023</v>
      </c>
      <c r="E203" s="52" t="s">
        <v>1998</v>
      </c>
      <c r="F203" s="52" t="s">
        <v>2052</v>
      </c>
      <c r="G203" s="52" t="s">
        <v>647</v>
      </c>
      <c r="H203" s="52" t="s">
        <v>649</v>
      </c>
      <c r="I203" s="52" t="s">
        <v>651</v>
      </c>
      <c r="J203" s="52" t="s">
        <v>750</v>
      </c>
      <c r="K203" s="52" t="s">
        <v>654</v>
      </c>
      <c r="L203" s="52" t="s">
        <v>656</v>
      </c>
      <c r="M203" s="52" t="s">
        <v>658</v>
      </c>
      <c r="N203" s="52" t="s">
        <v>660</v>
      </c>
      <c r="O203" s="52" t="s">
        <v>662</v>
      </c>
      <c r="P203" s="52" t="s">
        <v>664</v>
      </c>
      <c r="Q203" s="52" t="s">
        <v>2878</v>
      </c>
      <c r="R203" s="52" t="s">
        <v>2879</v>
      </c>
      <c r="S203" s="52" t="s">
        <v>2880</v>
      </c>
      <c r="T203" s="52" t="s">
        <v>2881</v>
      </c>
      <c r="U203" s="52" t="s">
        <v>2882</v>
      </c>
      <c r="V203" s="52" t="s">
        <v>2883</v>
      </c>
      <c r="W203" s="52" t="s">
        <v>2884</v>
      </c>
      <c r="X203" s="52" t="s">
        <v>2885</v>
      </c>
      <c r="Y203" s="52" t="s">
        <v>2886</v>
      </c>
      <c r="Z203" s="52" t="s">
        <v>2887</v>
      </c>
      <c r="AA203" s="52" t="s">
        <v>2888</v>
      </c>
      <c r="AB203" s="52" t="s">
        <v>2889</v>
      </c>
      <c r="AC203" s="52" t="s">
        <v>2890</v>
      </c>
      <c r="AD203" s="52" t="s">
        <v>2891</v>
      </c>
      <c r="AE203" s="52" t="s">
        <v>2892</v>
      </c>
      <c r="AF203" s="52" t="s">
        <v>2893</v>
      </c>
      <c r="AG203" s="52" t="s">
        <v>2894</v>
      </c>
      <c r="AH203" s="52" t="s">
        <v>2895</v>
      </c>
      <c r="AI203" s="52" t="s">
        <v>2896</v>
      </c>
      <c r="AJ203" s="52" t="s">
        <v>2897</v>
      </c>
      <c r="AK203" s="52" t="s">
        <v>2898</v>
      </c>
      <c r="AL203" s="52" t="s">
        <v>2899</v>
      </c>
      <c r="AM203" s="52" t="s">
        <v>2900</v>
      </c>
      <c r="AN203" s="52" t="s">
        <v>2901</v>
      </c>
      <c r="AO203" s="52" t="s">
        <v>2902</v>
      </c>
      <c r="AP203" s="52" t="s">
        <v>2903</v>
      </c>
      <c r="AQ203" s="52" t="s">
        <v>2904</v>
      </c>
      <c r="AR203" s="52" t="s">
        <v>2905</v>
      </c>
      <c r="AS203" s="52" t="s">
        <v>2906</v>
      </c>
      <c r="AT203" s="52" t="s">
        <v>2907</v>
      </c>
      <c r="AU203" s="52" t="s">
        <v>1998</v>
      </c>
      <c r="AV203" s="52" t="s">
        <v>2052</v>
      </c>
      <c r="AW203" s="52" t="s">
        <v>2053</v>
      </c>
      <c r="AX203" s="52" t="s">
        <v>2053</v>
      </c>
      <c r="AY203" s="49"/>
      <c r="AZ203" s="49"/>
      <c r="BA203" s="49"/>
    </row>
    <row r="204" spans="2:53" ht="11.25" hidden="1" customHeight="1">
      <c r="B204" s="36" t="s">
        <v>1802</v>
      </c>
      <c r="C204" s="52" t="s">
        <v>2023</v>
      </c>
      <c r="D204" s="52" t="s">
        <v>2023</v>
      </c>
      <c r="E204" s="52" t="s">
        <v>1998</v>
      </c>
      <c r="F204" s="52" t="s">
        <v>2052</v>
      </c>
      <c r="G204" s="52" t="s">
        <v>665</v>
      </c>
      <c r="H204" s="52" t="s">
        <v>667</v>
      </c>
      <c r="I204" s="52" t="s">
        <v>669</v>
      </c>
      <c r="J204" s="52" t="s">
        <v>671</v>
      </c>
      <c r="K204" s="52" t="s">
        <v>673</v>
      </c>
      <c r="L204" s="52" t="s">
        <v>675</v>
      </c>
      <c r="M204" s="52" t="s">
        <v>677</v>
      </c>
      <c r="N204" s="52" t="s">
        <v>679</v>
      </c>
      <c r="O204" s="52" t="s">
        <v>681</v>
      </c>
      <c r="P204" s="52" t="s">
        <v>683</v>
      </c>
      <c r="Q204" s="52" t="s">
        <v>2908</v>
      </c>
      <c r="R204" s="52" t="s">
        <v>2909</v>
      </c>
      <c r="S204" s="52" t="s">
        <v>2910</v>
      </c>
      <c r="T204" s="52" t="s">
        <v>2911</v>
      </c>
      <c r="U204" s="52" t="s">
        <v>2912</v>
      </c>
      <c r="V204" s="52" t="s">
        <v>2913</v>
      </c>
      <c r="W204" s="52" t="s">
        <v>2914</v>
      </c>
      <c r="X204" s="52" t="s">
        <v>2915</v>
      </c>
      <c r="Y204" s="52" t="s">
        <v>2916</v>
      </c>
      <c r="Z204" s="52" t="s">
        <v>2917</v>
      </c>
      <c r="AA204" s="52" t="s">
        <v>2918</v>
      </c>
      <c r="AB204" s="52" t="s">
        <v>2919</v>
      </c>
      <c r="AC204" s="52" t="s">
        <v>2920</v>
      </c>
      <c r="AD204" s="52" t="s">
        <v>2921</v>
      </c>
      <c r="AE204" s="52" t="s">
        <v>2922</v>
      </c>
      <c r="AF204" s="52" t="s">
        <v>2923</v>
      </c>
      <c r="AG204" s="52" t="s">
        <v>2924</v>
      </c>
      <c r="AH204" s="52" t="s">
        <v>2925</v>
      </c>
      <c r="AI204" s="52" t="s">
        <v>2926</v>
      </c>
      <c r="AJ204" s="52" t="s">
        <v>2927</v>
      </c>
      <c r="AK204" s="52" t="s">
        <v>2928</v>
      </c>
      <c r="AL204" s="52" t="s">
        <v>2929</v>
      </c>
      <c r="AM204" s="52" t="s">
        <v>2930</v>
      </c>
      <c r="AN204" s="52" t="s">
        <v>2931</v>
      </c>
      <c r="AO204" s="52" t="s">
        <v>2932</v>
      </c>
      <c r="AP204" s="52" t="s">
        <v>2933</v>
      </c>
      <c r="AQ204" s="52" t="s">
        <v>2934</v>
      </c>
      <c r="AR204" s="52" t="s">
        <v>2935</v>
      </c>
      <c r="AS204" s="52" t="s">
        <v>2936</v>
      </c>
      <c r="AT204" s="52" t="s">
        <v>2937</v>
      </c>
      <c r="AU204" s="52" t="s">
        <v>1998</v>
      </c>
      <c r="AV204" s="52" t="s">
        <v>2052</v>
      </c>
      <c r="AW204" s="52" t="s">
        <v>2053</v>
      </c>
      <c r="AX204" s="52" t="s">
        <v>2053</v>
      </c>
      <c r="AY204" s="49"/>
      <c r="AZ204" s="49"/>
      <c r="BA204" s="49"/>
    </row>
    <row r="205" spans="2:53" ht="11.25" hidden="1" customHeight="1">
      <c r="B205" s="36" t="s">
        <v>1851</v>
      </c>
      <c r="C205" s="52" t="s">
        <v>2023</v>
      </c>
      <c r="D205" s="52" t="s">
        <v>2023</v>
      </c>
      <c r="E205" s="52" t="s">
        <v>1998</v>
      </c>
      <c r="F205" s="52" t="s">
        <v>2052</v>
      </c>
      <c r="G205" s="52" t="s">
        <v>684</v>
      </c>
      <c r="H205" s="52" t="s">
        <v>686</v>
      </c>
      <c r="I205" s="52" t="s">
        <v>688</v>
      </c>
      <c r="J205" s="52" t="s">
        <v>690</v>
      </c>
      <c r="K205" s="52" t="s">
        <v>692</v>
      </c>
      <c r="L205" s="52" t="s">
        <v>694</v>
      </c>
      <c r="M205" s="52" t="s">
        <v>696</v>
      </c>
      <c r="N205" s="52" t="s">
        <v>698</v>
      </c>
      <c r="O205" s="52" t="s">
        <v>700</v>
      </c>
      <c r="P205" s="52" t="s">
        <v>702</v>
      </c>
      <c r="Q205" s="52" t="s">
        <v>2938</v>
      </c>
      <c r="R205" s="52" t="s">
        <v>2939</v>
      </c>
      <c r="S205" s="52" t="s">
        <v>2940</v>
      </c>
      <c r="T205" s="52" t="s">
        <v>2941</v>
      </c>
      <c r="U205" s="52" t="s">
        <v>2942</v>
      </c>
      <c r="V205" s="52" t="s">
        <v>2943</v>
      </c>
      <c r="W205" s="52" t="s">
        <v>2944</v>
      </c>
      <c r="X205" s="52" t="s">
        <v>2945</v>
      </c>
      <c r="Y205" s="52" t="s">
        <v>2946</v>
      </c>
      <c r="Z205" s="52" t="s">
        <v>2947</v>
      </c>
      <c r="AA205" s="52" t="s">
        <v>2948</v>
      </c>
      <c r="AB205" s="52" t="s">
        <v>2949</v>
      </c>
      <c r="AC205" s="52" t="s">
        <v>2950</v>
      </c>
      <c r="AD205" s="52" t="s">
        <v>2951</v>
      </c>
      <c r="AE205" s="52" t="s">
        <v>2952</v>
      </c>
      <c r="AF205" s="52" t="s">
        <v>2953</v>
      </c>
      <c r="AG205" s="52" t="s">
        <v>2954</v>
      </c>
      <c r="AH205" s="52" t="s">
        <v>2955</v>
      </c>
      <c r="AI205" s="52" t="s">
        <v>2956</v>
      </c>
      <c r="AJ205" s="52" t="s">
        <v>2957</v>
      </c>
      <c r="AK205" s="52" t="s">
        <v>2958</v>
      </c>
      <c r="AL205" s="52" t="s">
        <v>2959</v>
      </c>
      <c r="AM205" s="52" t="s">
        <v>2960</v>
      </c>
      <c r="AN205" s="52" t="s">
        <v>2961</v>
      </c>
      <c r="AO205" s="52" t="s">
        <v>2962</v>
      </c>
      <c r="AP205" s="52" t="s">
        <v>2963</v>
      </c>
      <c r="AQ205" s="52" t="s">
        <v>2964</v>
      </c>
      <c r="AR205" s="52" t="s">
        <v>2965</v>
      </c>
      <c r="AS205" s="52" t="s">
        <v>2966</v>
      </c>
      <c r="AT205" s="52" t="s">
        <v>2967</v>
      </c>
      <c r="AU205" s="52" t="s">
        <v>1998</v>
      </c>
      <c r="AV205" s="52" t="s">
        <v>2052</v>
      </c>
      <c r="AW205" s="52" t="s">
        <v>2053</v>
      </c>
      <c r="AX205" s="52" t="s">
        <v>2053</v>
      </c>
      <c r="AY205" s="49"/>
      <c r="AZ205" s="49"/>
      <c r="BA205" s="49"/>
    </row>
    <row r="206" spans="2:53" ht="11.25" hidden="1" customHeight="1">
      <c r="B206" s="36" t="s">
        <v>1900</v>
      </c>
      <c r="C206" s="52" t="s">
        <v>2023</v>
      </c>
      <c r="D206" s="52" t="s">
        <v>2023</v>
      </c>
      <c r="E206" s="52" t="s">
        <v>1998</v>
      </c>
      <c r="F206" s="52" t="s">
        <v>2052</v>
      </c>
      <c r="G206" s="52" t="s">
        <v>703</v>
      </c>
      <c r="H206" s="52" t="s">
        <v>705</v>
      </c>
      <c r="I206" s="52" t="s">
        <v>707</v>
      </c>
      <c r="J206" s="52" t="s">
        <v>709</v>
      </c>
      <c r="K206" s="52" t="s">
        <v>711</v>
      </c>
      <c r="L206" s="52" t="s">
        <v>713</v>
      </c>
      <c r="M206" s="52" t="s">
        <v>715</v>
      </c>
      <c r="N206" s="52" t="s">
        <v>717</v>
      </c>
      <c r="O206" s="52" t="s">
        <v>719</v>
      </c>
      <c r="P206" s="52" t="s">
        <v>721</v>
      </c>
      <c r="Q206" s="52" t="s">
        <v>2968</v>
      </c>
      <c r="R206" s="52" t="s">
        <v>2969</v>
      </c>
      <c r="S206" s="52" t="s">
        <v>2970</v>
      </c>
      <c r="T206" s="52" t="s">
        <v>2971</v>
      </c>
      <c r="U206" s="52" t="s">
        <v>2972</v>
      </c>
      <c r="V206" s="52" t="s">
        <v>2973</v>
      </c>
      <c r="W206" s="52" t="s">
        <v>2974</v>
      </c>
      <c r="X206" s="52" t="s">
        <v>2975</v>
      </c>
      <c r="Y206" s="52" t="s">
        <v>2976</v>
      </c>
      <c r="Z206" s="52" t="s">
        <v>2977</v>
      </c>
      <c r="AA206" s="52" t="s">
        <v>2978</v>
      </c>
      <c r="AB206" s="52" t="s">
        <v>2979</v>
      </c>
      <c r="AC206" s="52" t="s">
        <v>2980</v>
      </c>
      <c r="AD206" s="52" t="s">
        <v>2981</v>
      </c>
      <c r="AE206" s="52" t="s">
        <v>2982</v>
      </c>
      <c r="AF206" s="52" t="s">
        <v>2983</v>
      </c>
      <c r="AG206" s="52" t="s">
        <v>2984</v>
      </c>
      <c r="AH206" s="52" t="s">
        <v>2985</v>
      </c>
      <c r="AI206" s="52" t="s">
        <v>2986</v>
      </c>
      <c r="AJ206" s="52" t="s">
        <v>2987</v>
      </c>
      <c r="AK206" s="52" t="s">
        <v>2988</v>
      </c>
      <c r="AL206" s="52" t="s">
        <v>2989</v>
      </c>
      <c r="AM206" s="52" t="s">
        <v>2990</v>
      </c>
      <c r="AN206" s="52" t="s">
        <v>2991</v>
      </c>
      <c r="AO206" s="52" t="s">
        <v>2992</v>
      </c>
      <c r="AP206" s="52" t="s">
        <v>2993</v>
      </c>
      <c r="AQ206" s="52" t="s">
        <v>2994</v>
      </c>
      <c r="AR206" s="52" t="s">
        <v>2995</v>
      </c>
      <c r="AS206" s="52" t="s">
        <v>2996</v>
      </c>
      <c r="AT206" s="52" t="s">
        <v>2997</v>
      </c>
      <c r="AU206" s="52" t="s">
        <v>1998</v>
      </c>
      <c r="AV206" s="52" t="s">
        <v>2052</v>
      </c>
      <c r="AW206" s="52" t="s">
        <v>2053</v>
      </c>
      <c r="AX206" s="52" t="s">
        <v>2053</v>
      </c>
      <c r="AY206" s="49"/>
      <c r="AZ206" s="49"/>
      <c r="BA206" s="49"/>
    </row>
    <row r="207" spans="2:53" ht="11.25" hidden="1" customHeight="1">
      <c r="B207" s="36" t="s">
        <v>1949</v>
      </c>
      <c r="C207" s="52" t="s">
        <v>2023</v>
      </c>
      <c r="D207" s="52" t="s">
        <v>2023</v>
      </c>
      <c r="E207" s="52" t="s">
        <v>1998</v>
      </c>
      <c r="F207" s="52" t="s">
        <v>2052</v>
      </c>
      <c r="G207" s="52" t="s">
        <v>722</v>
      </c>
      <c r="H207" s="52" t="s">
        <v>724</v>
      </c>
      <c r="I207" s="52" t="s">
        <v>726</v>
      </c>
      <c r="J207" s="52" t="s">
        <v>728</v>
      </c>
      <c r="K207" s="52" t="s">
        <v>730</v>
      </c>
      <c r="L207" s="52" t="s">
        <v>732</v>
      </c>
      <c r="M207" s="52" t="s">
        <v>734</v>
      </c>
      <c r="N207" s="52" t="s">
        <v>736</v>
      </c>
      <c r="O207" s="52" t="s">
        <v>738</v>
      </c>
      <c r="P207" s="52" t="s">
        <v>740</v>
      </c>
      <c r="Q207" s="52" t="s">
        <v>2998</v>
      </c>
      <c r="R207" s="52" t="s">
        <v>2999</v>
      </c>
      <c r="S207" s="52" t="s">
        <v>3000</v>
      </c>
      <c r="T207" s="52" t="s">
        <v>3001</v>
      </c>
      <c r="U207" s="52" t="s">
        <v>3002</v>
      </c>
      <c r="V207" s="52" t="s">
        <v>3003</v>
      </c>
      <c r="W207" s="52" t="s">
        <v>3004</v>
      </c>
      <c r="X207" s="52" t="s">
        <v>3005</v>
      </c>
      <c r="Y207" s="52" t="s">
        <v>3006</v>
      </c>
      <c r="Z207" s="52" t="s">
        <v>3007</v>
      </c>
      <c r="AA207" s="52" t="s">
        <v>3008</v>
      </c>
      <c r="AB207" s="52" t="s">
        <v>3009</v>
      </c>
      <c r="AC207" s="52" t="s">
        <v>3010</v>
      </c>
      <c r="AD207" s="52" t="s">
        <v>3011</v>
      </c>
      <c r="AE207" s="52" t="s">
        <v>3012</v>
      </c>
      <c r="AF207" s="52" t="s">
        <v>3013</v>
      </c>
      <c r="AG207" s="52" t="s">
        <v>3014</v>
      </c>
      <c r="AH207" s="52" t="s">
        <v>3015</v>
      </c>
      <c r="AI207" s="52" t="s">
        <v>3016</v>
      </c>
      <c r="AJ207" s="52" t="s">
        <v>3017</v>
      </c>
      <c r="AK207" s="52" t="s">
        <v>3018</v>
      </c>
      <c r="AL207" s="52" t="s">
        <v>3019</v>
      </c>
      <c r="AM207" s="52" t="s">
        <v>3020</v>
      </c>
      <c r="AN207" s="52" t="s">
        <v>3021</v>
      </c>
      <c r="AO207" s="52" t="s">
        <v>3022</v>
      </c>
      <c r="AP207" s="52" t="s">
        <v>3023</v>
      </c>
      <c r="AQ207" s="52" t="s">
        <v>3024</v>
      </c>
      <c r="AR207" s="52" t="s">
        <v>3025</v>
      </c>
      <c r="AS207" s="52" t="s">
        <v>3026</v>
      </c>
      <c r="AT207" s="52" t="s">
        <v>3027</v>
      </c>
      <c r="AU207" s="52" t="s">
        <v>1998</v>
      </c>
      <c r="AV207" s="52" t="s">
        <v>2052</v>
      </c>
      <c r="AW207" s="52" t="s">
        <v>2053</v>
      </c>
      <c r="AX207" s="52" t="s">
        <v>2053</v>
      </c>
      <c r="AY207" s="49"/>
      <c r="AZ207" s="49"/>
      <c r="BA207" s="49"/>
    </row>
    <row r="208" spans="2:53" ht="11.25" customHeight="1">
      <c r="AY208" s="49"/>
      <c r="AZ208" s="49"/>
      <c r="BA208" s="49"/>
    </row>
    <row r="209" spans="1:53" s="61" customFormat="1" ht="11.25" customHeight="1">
      <c r="A209" s="61" t="s">
        <v>2054</v>
      </c>
      <c r="D209" s="62"/>
      <c r="H209" s="62"/>
    </row>
    <row r="210" spans="1:53" s="35" customFormat="1" ht="11.25" hidden="1" customHeight="1">
      <c r="A210" s="26"/>
      <c r="B210" s="26"/>
      <c r="C210" s="34"/>
      <c r="D210" s="34"/>
      <c r="H210" s="34"/>
    </row>
    <row r="211" spans="1:53" ht="11.25" hidden="1" customHeight="1">
      <c r="B211" s="36" t="s">
        <v>392</v>
      </c>
      <c r="C211" s="37">
        <v>1</v>
      </c>
      <c r="D211" s="37">
        <v>2</v>
      </c>
      <c r="E211" s="37">
        <v>3</v>
      </c>
      <c r="F211" s="37">
        <v>4</v>
      </c>
      <c r="G211" s="37">
        <v>5</v>
      </c>
      <c r="H211" s="37">
        <v>6</v>
      </c>
      <c r="I211" s="37">
        <v>7</v>
      </c>
      <c r="J211" s="37">
        <v>8</v>
      </c>
      <c r="K211" s="37">
        <v>9</v>
      </c>
      <c r="L211" s="37">
        <v>10</v>
      </c>
      <c r="M211" s="37">
        <v>11</v>
      </c>
      <c r="N211" s="37">
        <v>12</v>
      </c>
      <c r="O211" s="37">
        <v>13</v>
      </c>
      <c r="P211" s="37">
        <v>14</v>
      </c>
      <c r="Q211" s="37">
        <v>15</v>
      </c>
      <c r="R211" s="37">
        <v>16</v>
      </c>
      <c r="S211" s="37">
        <v>17</v>
      </c>
      <c r="T211" s="37">
        <v>18</v>
      </c>
      <c r="U211" s="37">
        <v>19</v>
      </c>
      <c r="V211" s="37">
        <v>20</v>
      </c>
      <c r="W211" s="37">
        <v>21</v>
      </c>
      <c r="X211" s="37">
        <v>22</v>
      </c>
      <c r="Y211" s="37">
        <v>23</v>
      </c>
      <c r="Z211" s="37">
        <v>24</v>
      </c>
      <c r="AA211" s="37">
        <v>25</v>
      </c>
      <c r="AB211" s="37">
        <v>26</v>
      </c>
      <c r="AC211" s="37">
        <v>27</v>
      </c>
      <c r="AD211" s="37">
        <v>28</v>
      </c>
      <c r="AE211" s="37">
        <v>29</v>
      </c>
      <c r="AF211" s="37">
        <v>30</v>
      </c>
      <c r="AG211" s="37">
        <v>31</v>
      </c>
      <c r="AH211" s="37">
        <v>32</v>
      </c>
      <c r="AI211" s="37">
        <v>33</v>
      </c>
      <c r="AJ211" s="37">
        <v>34</v>
      </c>
      <c r="AK211" s="37">
        <v>35</v>
      </c>
      <c r="AL211" s="37">
        <v>36</v>
      </c>
      <c r="AM211" s="37">
        <v>37</v>
      </c>
      <c r="AN211" s="37">
        <v>38</v>
      </c>
      <c r="AO211" s="37">
        <v>39</v>
      </c>
      <c r="AP211" s="37">
        <v>40</v>
      </c>
      <c r="AQ211" s="37">
        <v>41</v>
      </c>
      <c r="AR211" s="37">
        <v>42</v>
      </c>
      <c r="AS211" s="37">
        <v>43</v>
      </c>
      <c r="AT211" s="37">
        <v>44</v>
      </c>
      <c r="AU211" s="37">
        <v>45</v>
      </c>
      <c r="AV211" s="37">
        <v>46</v>
      </c>
      <c r="AW211" s="37">
        <v>47</v>
      </c>
      <c r="AX211" s="37">
        <v>48</v>
      </c>
      <c r="AY211" s="49"/>
      <c r="AZ211" s="49"/>
      <c r="BA211" s="49"/>
    </row>
    <row r="212" spans="1:53" ht="11.25" hidden="1" customHeight="1">
      <c r="B212" s="36" t="s">
        <v>399</v>
      </c>
      <c r="C212" s="52" t="s">
        <v>2023</v>
      </c>
      <c r="D212" s="52" t="s">
        <v>2023</v>
      </c>
      <c r="E212" s="52" t="s">
        <v>1998</v>
      </c>
      <c r="F212" s="52" t="s">
        <v>2052</v>
      </c>
      <c r="G212" s="52" t="s">
        <v>2056</v>
      </c>
      <c r="H212" s="52" t="s">
        <v>2057</v>
      </c>
      <c r="I212" s="52" t="s">
        <v>819</v>
      </c>
      <c r="J212" s="52" t="s">
        <v>749</v>
      </c>
      <c r="K212" s="52" t="s">
        <v>443</v>
      </c>
      <c r="L212" s="52" t="s">
        <v>591</v>
      </c>
      <c r="M212" s="52" t="s">
        <v>444</v>
      </c>
      <c r="N212" s="52" t="s">
        <v>592</v>
      </c>
      <c r="O212" s="52" t="s">
        <v>445</v>
      </c>
      <c r="P212" s="52" t="s">
        <v>593</v>
      </c>
      <c r="Q212" s="52" t="s">
        <v>446</v>
      </c>
      <c r="R212" s="52" t="s">
        <v>594</v>
      </c>
      <c r="S212" s="52" t="s">
        <v>447</v>
      </c>
      <c r="T212" s="52" t="s">
        <v>595</v>
      </c>
      <c r="U212" s="52" t="s">
        <v>448</v>
      </c>
      <c r="V212" s="52" t="s">
        <v>596</v>
      </c>
      <c r="W212" s="52" t="s">
        <v>449</v>
      </c>
      <c r="X212" s="52" t="s">
        <v>597</v>
      </c>
      <c r="Y212" s="52" t="s">
        <v>450</v>
      </c>
      <c r="Z212" s="52" t="s">
        <v>598</v>
      </c>
      <c r="AA212" s="52" t="s">
        <v>451</v>
      </c>
      <c r="AB212" s="52" t="s">
        <v>599</v>
      </c>
      <c r="AC212" s="52" t="s">
        <v>452</v>
      </c>
      <c r="AD212" s="52" t="s">
        <v>600</v>
      </c>
      <c r="AE212" s="52" t="s">
        <v>453</v>
      </c>
      <c r="AF212" s="52" t="s">
        <v>601</v>
      </c>
      <c r="AG212" s="52" t="s">
        <v>747</v>
      </c>
      <c r="AH212" s="52" t="s">
        <v>602</v>
      </c>
      <c r="AI212" s="52" t="s">
        <v>454</v>
      </c>
      <c r="AJ212" s="52" t="s">
        <v>603</v>
      </c>
      <c r="AK212" s="52" t="s">
        <v>455</v>
      </c>
      <c r="AL212" s="52" t="s">
        <v>604</v>
      </c>
      <c r="AM212" s="52" t="s">
        <v>456</v>
      </c>
      <c r="AN212" s="52" t="s">
        <v>605</v>
      </c>
      <c r="AO212" s="52" t="s">
        <v>457</v>
      </c>
      <c r="AP212" s="52" t="s">
        <v>606</v>
      </c>
      <c r="AQ212" s="52" t="s">
        <v>458</v>
      </c>
      <c r="AR212" s="52" t="s">
        <v>607</v>
      </c>
      <c r="AS212" s="52" t="s">
        <v>459</v>
      </c>
      <c r="AT212" s="52" t="s">
        <v>608</v>
      </c>
      <c r="AU212" s="52" t="s">
        <v>1998</v>
      </c>
      <c r="AV212" s="52" t="s">
        <v>2052</v>
      </c>
      <c r="AW212" s="52" t="s">
        <v>2053</v>
      </c>
      <c r="AX212" s="52" t="s">
        <v>2053</v>
      </c>
      <c r="AY212" s="49"/>
      <c r="AZ212" s="49"/>
      <c r="BA212" s="49"/>
    </row>
    <row r="213" spans="1:53" ht="11.25" hidden="1" customHeight="1">
      <c r="B213" s="36" t="s">
        <v>400</v>
      </c>
      <c r="C213" s="52" t="s">
        <v>2023</v>
      </c>
      <c r="D213" s="52" t="s">
        <v>2023</v>
      </c>
      <c r="E213" s="52" t="s">
        <v>1998</v>
      </c>
      <c r="F213" s="52" t="s">
        <v>2052</v>
      </c>
      <c r="G213" s="52" t="s">
        <v>2056</v>
      </c>
      <c r="H213" s="52" t="s">
        <v>2057</v>
      </c>
      <c r="I213" s="52" t="s">
        <v>819</v>
      </c>
      <c r="J213" s="52" t="s">
        <v>749</v>
      </c>
      <c r="K213" s="52" t="s">
        <v>443</v>
      </c>
      <c r="L213" s="52" t="s">
        <v>591</v>
      </c>
      <c r="M213" s="52" t="s">
        <v>444</v>
      </c>
      <c r="N213" s="52" t="s">
        <v>592</v>
      </c>
      <c r="O213" s="52" t="s">
        <v>445</v>
      </c>
      <c r="P213" s="52" t="s">
        <v>593</v>
      </c>
      <c r="Q213" s="52" t="s">
        <v>446</v>
      </c>
      <c r="R213" s="52" t="s">
        <v>594</v>
      </c>
      <c r="S213" s="52" t="s">
        <v>447</v>
      </c>
      <c r="T213" s="52" t="s">
        <v>595</v>
      </c>
      <c r="U213" s="52" t="s">
        <v>448</v>
      </c>
      <c r="V213" s="52" t="s">
        <v>596</v>
      </c>
      <c r="W213" s="52" t="s">
        <v>449</v>
      </c>
      <c r="X213" s="52" t="s">
        <v>597</v>
      </c>
      <c r="Y213" s="52" t="s">
        <v>450</v>
      </c>
      <c r="Z213" s="52" t="s">
        <v>598</v>
      </c>
      <c r="AA213" s="52" t="s">
        <v>451</v>
      </c>
      <c r="AB213" s="52" t="s">
        <v>599</v>
      </c>
      <c r="AC213" s="52" t="s">
        <v>452</v>
      </c>
      <c r="AD213" s="52" t="s">
        <v>600</v>
      </c>
      <c r="AE213" s="52" t="s">
        <v>453</v>
      </c>
      <c r="AF213" s="52" t="s">
        <v>601</v>
      </c>
      <c r="AG213" s="52" t="s">
        <v>747</v>
      </c>
      <c r="AH213" s="52" t="s">
        <v>602</v>
      </c>
      <c r="AI213" s="52" t="s">
        <v>454</v>
      </c>
      <c r="AJ213" s="52" t="s">
        <v>603</v>
      </c>
      <c r="AK213" s="52" t="s">
        <v>455</v>
      </c>
      <c r="AL213" s="52" t="s">
        <v>604</v>
      </c>
      <c r="AM213" s="52" t="s">
        <v>456</v>
      </c>
      <c r="AN213" s="52" t="s">
        <v>605</v>
      </c>
      <c r="AO213" s="52" t="s">
        <v>457</v>
      </c>
      <c r="AP213" s="52" t="s">
        <v>606</v>
      </c>
      <c r="AQ213" s="52" t="s">
        <v>458</v>
      </c>
      <c r="AR213" s="52" t="s">
        <v>607</v>
      </c>
      <c r="AS213" s="52" t="s">
        <v>459</v>
      </c>
      <c r="AT213" s="52" t="s">
        <v>608</v>
      </c>
      <c r="AU213" s="52" t="s">
        <v>1998</v>
      </c>
      <c r="AV213" s="52" t="s">
        <v>2052</v>
      </c>
      <c r="AW213" s="52" t="s">
        <v>2053</v>
      </c>
      <c r="AX213" s="52" t="s">
        <v>2053</v>
      </c>
      <c r="AY213" s="49"/>
      <c r="AZ213" s="49"/>
      <c r="BA213" s="49"/>
    </row>
    <row r="214" spans="1:53" ht="11.25" hidden="1" customHeight="1">
      <c r="B214" s="36" t="s">
        <v>401</v>
      </c>
      <c r="C214" s="52" t="s">
        <v>2023</v>
      </c>
      <c r="D214" s="52" t="s">
        <v>2023</v>
      </c>
      <c r="E214" s="52" t="s">
        <v>1998</v>
      </c>
      <c r="F214" s="52" t="s">
        <v>2052</v>
      </c>
      <c r="G214" s="52" t="s">
        <v>2056</v>
      </c>
      <c r="H214" s="52" t="s">
        <v>2057</v>
      </c>
      <c r="I214" s="52" t="s">
        <v>819</v>
      </c>
      <c r="J214" s="52" t="s">
        <v>749</v>
      </c>
      <c r="K214" s="52" t="s">
        <v>443</v>
      </c>
      <c r="L214" s="52" t="s">
        <v>591</v>
      </c>
      <c r="M214" s="52" t="s">
        <v>444</v>
      </c>
      <c r="N214" s="52" t="s">
        <v>592</v>
      </c>
      <c r="O214" s="52" t="s">
        <v>445</v>
      </c>
      <c r="P214" s="52" t="s">
        <v>593</v>
      </c>
      <c r="Q214" s="52" t="s">
        <v>446</v>
      </c>
      <c r="R214" s="52" t="s">
        <v>594</v>
      </c>
      <c r="S214" s="52" t="s">
        <v>447</v>
      </c>
      <c r="T214" s="52" t="s">
        <v>595</v>
      </c>
      <c r="U214" s="52" t="s">
        <v>448</v>
      </c>
      <c r="V214" s="52" t="s">
        <v>596</v>
      </c>
      <c r="W214" s="52" t="s">
        <v>449</v>
      </c>
      <c r="X214" s="52" t="s">
        <v>597</v>
      </c>
      <c r="Y214" s="52" t="s">
        <v>450</v>
      </c>
      <c r="Z214" s="52" t="s">
        <v>598</v>
      </c>
      <c r="AA214" s="52" t="s">
        <v>451</v>
      </c>
      <c r="AB214" s="52" t="s">
        <v>599</v>
      </c>
      <c r="AC214" s="52" t="s">
        <v>452</v>
      </c>
      <c r="AD214" s="52" t="s">
        <v>600</v>
      </c>
      <c r="AE214" s="52" t="s">
        <v>453</v>
      </c>
      <c r="AF214" s="52" t="s">
        <v>601</v>
      </c>
      <c r="AG214" s="52" t="s">
        <v>747</v>
      </c>
      <c r="AH214" s="52" t="s">
        <v>602</v>
      </c>
      <c r="AI214" s="52" t="s">
        <v>454</v>
      </c>
      <c r="AJ214" s="52" t="s">
        <v>603</v>
      </c>
      <c r="AK214" s="52" t="s">
        <v>455</v>
      </c>
      <c r="AL214" s="52" t="s">
        <v>604</v>
      </c>
      <c r="AM214" s="52" t="s">
        <v>456</v>
      </c>
      <c r="AN214" s="52" t="s">
        <v>605</v>
      </c>
      <c r="AO214" s="52" t="s">
        <v>457</v>
      </c>
      <c r="AP214" s="52" t="s">
        <v>606</v>
      </c>
      <c r="AQ214" s="52" t="s">
        <v>458</v>
      </c>
      <c r="AR214" s="52" t="s">
        <v>607</v>
      </c>
      <c r="AS214" s="52" t="s">
        <v>459</v>
      </c>
      <c r="AT214" s="52" t="s">
        <v>608</v>
      </c>
      <c r="AU214" s="52" t="s">
        <v>1998</v>
      </c>
      <c r="AV214" s="52" t="s">
        <v>2052</v>
      </c>
      <c r="AW214" s="52" t="s">
        <v>2053</v>
      </c>
      <c r="AX214" s="52" t="s">
        <v>2053</v>
      </c>
      <c r="AY214" s="49"/>
      <c r="AZ214" s="49"/>
      <c r="BA214" s="49"/>
    </row>
    <row r="215" spans="1:53" ht="11.25" hidden="1" customHeight="1">
      <c r="B215" s="36" t="s">
        <v>402</v>
      </c>
      <c r="C215" s="52" t="s">
        <v>2023</v>
      </c>
      <c r="D215" s="52" t="s">
        <v>2023</v>
      </c>
      <c r="E215" s="52" t="s">
        <v>1998</v>
      </c>
      <c r="F215" s="52" t="s">
        <v>2052</v>
      </c>
      <c r="G215" s="52" t="s">
        <v>2056</v>
      </c>
      <c r="H215" s="52" t="s">
        <v>2057</v>
      </c>
      <c r="I215" s="52" t="s">
        <v>819</v>
      </c>
      <c r="J215" s="52" t="s">
        <v>749</v>
      </c>
      <c r="K215" s="52" t="s">
        <v>443</v>
      </c>
      <c r="L215" s="52" t="s">
        <v>591</v>
      </c>
      <c r="M215" s="52" t="s">
        <v>444</v>
      </c>
      <c r="N215" s="52" t="s">
        <v>592</v>
      </c>
      <c r="O215" s="52" t="s">
        <v>445</v>
      </c>
      <c r="P215" s="52" t="s">
        <v>593</v>
      </c>
      <c r="Q215" s="52" t="s">
        <v>446</v>
      </c>
      <c r="R215" s="52" t="s">
        <v>594</v>
      </c>
      <c r="S215" s="52" t="s">
        <v>447</v>
      </c>
      <c r="T215" s="52" t="s">
        <v>595</v>
      </c>
      <c r="U215" s="52" t="s">
        <v>448</v>
      </c>
      <c r="V215" s="52" t="s">
        <v>596</v>
      </c>
      <c r="W215" s="52" t="s">
        <v>449</v>
      </c>
      <c r="X215" s="52" t="s">
        <v>597</v>
      </c>
      <c r="Y215" s="52" t="s">
        <v>450</v>
      </c>
      <c r="Z215" s="52" t="s">
        <v>598</v>
      </c>
      <c r="AA215" s="52" t="s">
        <v>451</v>
      </c>
      <c r="AB215" s="52" t="s">
        <v>599</v>
      </c>
      <c r="AC215" s="52" t="s">
        <v>452</v>
      </c>
      <c r="AD215" s="52" t="s">
        <v>600</v>
      </c>
      <c r="AE215" s="52" t="s">
        <v>453</v>
      </c>
      <c r="AF215" s="52" t="s">
        <v>601</v>
      </c>
      <c r="AG215" s="52" t="s">
        <v>747</v>
      </c>
      <c r="AH215" s="52" t="s">
        <v>602</v>
      </c>
      <c r="AI215" s="52" t="s">
        <v>454</v>
      </c>
      <c r="AJ215" s="52" t="s">
        <v>603</v>
      </c>
      <c r="AK215" s="52" t="s">
        <v>455</v>
      </c>
      <c r="AL215" s="52" t="s">
        <v>604</v>
      </c>
      <c r="AM215" s="52" t="s">
        <v>456</v>
      </c>
      <c r="AN215" s="52" t="s">
        <v>605</v>
      </c>
      <c r="AO215" s="52" t="s">
        <v>457</v>
      </c>
      <c r="AP215" s="52" t="s">
        <v>606</v>
      </c>
      <c r="AQ215" s="52" t="s">
        <v>458</v>
      </c>
      <c r="AR215" s="52" t="s">
        <v>607</v>
      </c>
      <c r="AS215" s="52" t="s">
        <v>459</v>
      </c>
      <c r="AT215" s="52" t="s">
        <v>608</v>
      </c>
      <c r="AU215" s="52" t="s">
        <v>1998</v>
      </c>
      <c r="AV215" s="52" t="s">
        <v>2052</v>
      </c>
      <c r="AW215" s="52" t="s">
        <v>2053</v>
      </c>
      <c r="AX215" s="52" t="s">
        <v>2053</v>
      </c>
      <c r="AY215" s="49"/>
      <c r="AZ215" s="49"/>
      <c r="BA215" s="49"/>
    </row>
    <row r="216" spans="1:53" ht="11.25" hidden="1" customHeight="1">
      <c r="B216" s="36" t="s">
        <v>403</v>
      </c>
      <c r="C216" s="52" t="s">
        <v>2023</v>
      </c>
      <c r="D216" s="52" t="s">
        <v>2023</v>
      </c>
      <c r="E216" s="52" t="s">
        <v>1998</v>
      </c>
      <c r="F216" s="52" t="s">
        <v>2052</v>
      </c>
      <c r="G216" s="52" t="s">
        <v>821</v>
      </c>
      <c r="H216" s="52" t="s">
        <v>2058</v>
      </c>
      <c r="I216" s="52" t="s">
        <v>820</v>
      </c>
      <c r="J216" s="52" t="s">
        <v>609</v>
      </c>
      <c r="K216" s="52" t="s">
        <v>460</v>
      </c>
      <c r="L216" s="52" t="s">
        <v>610</v>
      </c>
      <c r="M216" s="52" t="s">
        <v>461</v>
      </c>
      <c r="N216" s="52" t="s">
        <v>611</v>
      </c>
      <c r="O216" s="52" t="s">
        <v>462</v>
      </c>
      <c r="P216" s="52" t="s">
        <v>612</v>
      </c>
      <c r="Q216" s="52" t="s">
        <v>463</v>
      </c>
      <c r="R216" s="52" t="s">
        <v>613</v>
      </c>
      <c r="S216" s="52" t="s">
        <v>464</v>
      </c>
      <c r="T216" s="52" t="s">
        <v>614</v>
      </c>
      <c r="U216" s="52" t="s">
        <v>465</v>
      </c>
      <c r="V216" s="52" t="s">
        <v>615</v>
      </c>
      <c r="W216" s="52" t="s">
        <v>466</v>
      </c>
      <c r="X216" s="52" t="s">
        <v>616</v>
      </c>
      <c r="Y216" s="52" t="s">
        <v>467</v>
      </c>
      <c r="Z216" s="52" t="s">
        <v>617</v>
      </c>
      <c r="AA216" s="52" t="s">
        <v>468</v>
      </c>
      <c r="AB216" s="52" t="s">
        <v>618</v>
      </c>
      <c r="AC216" s="52" t="s">
        <v>469</v>
      </c>
      <c r="AD216" s="52" t="s">
        <v>619</v>
      </c>
      <c r="AE216" s="52" t="s">
        <v>470</v>
      </c>
      <c r="AF216" s="52" t="s">
        <v>620</v>
      </c>
      <c r="AG216" s="52" t="s">
        <v>471</v>
      </c>
      <c r="AH216" s="52" t="s">
        <v>621</v>
      </c>
      <c r="AI216" s="52" t="s">
        <v>472</v>
      </c>
      <c r="AJ216" s="52" t="s">
        <v>622</v>
      </c>
      <c r="AK216" s="52" t="s">
        <v>473</v>
      </c>
      <c r="AL216" s="52" t="s">
        <v>623</v>
      </c>
      <c r="AM216" s="52" t="s">
        <v>474</v>
      </c>
      <c r="AN216" s="52" t="s">
        <v>624</v>
      </c>
      <c r="AO216" s="52" t="s">
        <v>475</v>
      </c>
      <c r="AP216" s="52" t="s">
        <v>625</v>
      </c>
      <c r="AQ216" s="52" t="s">
        <v>476</v>
      </c>
      <c r="AR216" s="52" t="s">
        <v>626</v>
      </c>
      <c r="AS216" s="52" t="s">
        <v>477</v>
      </c>
      <c r="AT216" s="52" t="s">
        <v>627</v>
      </c>
      <c r="AU216" s="52" t="s">
        <v>1998</v>
      </c>
      <c r="AV216" s="52" t="s">
        <v>2052</v>
      </c>
      <c r="AW216" s="52" t="s">
        <v>2053</v>
      </c>
      <c r="AX216" s="52" t="s">
        <v>2053</v>
      </c>
      <c r="AY216" s="49"/>
      <c r="AZ216" s="49"/>
      <c r="BA216" s="49"/>
    </row>
    <row r="217" spans="1:53" ht="11.25" hidden="1" customHeight="1">
      <c r="B217" s="36" t="s">
        <v>404</v>
      </c>
      <c r="C217" s="52" t="s">
        <v>2023</v>
      </c>
      <c r="D217" s="52" t="s">
        <v>2023</v>
      </c>
      <c r="E217" s="52" t="s">
        <v>1998</v>
      </c>
      <c r="F217" s="52" t="s">
        <v>2052</v>
      </c>
      <c r="G217" s="52" t="s">
        <v>821</v>
      </c>
      <c r="H217" s="52" t="s">
        <v>2058</v>
      </c>
      <c r="I217" s="52" t="s">
        <v>820</v>
      </c>
      <c r="J217" s="52" t="s">
        <v>609</v>
      </c>
      <c r="K217" s="52" t="s">
        <v>460</v>
      </c>
      <c r="L217" s="52" t="s">
        <v>610</v>
      </c>
      <c r="M217" s="52" t="s">
        <v>461</v>
      </c>
      <c r="N217" s="52" t="s">
        <v>611</v>
      </c>
      <c r="O217" s="52" t="s">
        <v>462</v>
      </c>
      <c r="P217" s="52" t="s">
        <v>612</v>
      </c>
      <c r="Q217" s="52" t="s">
        <v>463</v>
      </c>
      <c r="R217" s="52" t="s">
        <v>613</v>
      </c>
      <c r="S217" s="52" t="s">
        <v>464</v>
      </c>
      <c r="T217" s="52" t="s">
        <v>614</v>
      </c>
      <c r="U217" s="52" t="s">
        <v>465</v>
      </c>
      <c r="V217" s="52" t="s">
        <v>615</v>
      </c>
      <c r="W217" s="52" t="s">
        <v>466</v>
      </c>
      <c r="X217" s="52" t="s">
        <v>616</v>
      </c>
      <c r="Y217" s="52" t="s">
        <v>467</v>
      </c>
      <c r="Z217" s="52" t="s">
        <v>617</v>
      </c>
      <c r="AA217" s="52" t="s">
        <v>468</v>
      </c>
      <c r="AB217" s="52" t="s">
        <v>618</v>
      </c>
      <c r="AC217" s="52" t="s">
        <v>469</v>
      </c>
      <c r="AD217" s="52" t="s">
        <v>619</v>
      </c>
      <c r="AE217" s="52" t="s">
        <v>470</v>
      </c>
      <c r="AF217" s="52" t="s">
        <v>620</v>
      </c>
      <c r="AG217" s="52" t="s">
        <v>471</v>
      </c>
      <c r="AH217" s="52" t="s">
        <v>621</v>
      </c>
      <c r="AI217" s="52" t="s">
        <v>472</v>
      </c>
      <c r="AJ217" s="52" t="s">
        <v>622</v>
      </c>
      <c r="AK217" s="52" t="s">
        <v>473</v>
      </c>
      <c r="AL217" s="52" t="s">
        <v>623</v>
      </c>
      <c r="AM217" s="52" t="s">
        <v>474</v>
      </c>
      <c r="AN217" s="52" t="s">
        <v>624</v>
      </c>
      <c r="AO217" s="52" t="s">
        <v>475</v>
      </c>
      <c r="AP217" s="52" t="s">
        <v>625</v>
      </c>
      <c r="AQ217" s="52" t="s">
        <v>476</v>
      </c>
      <c r="AR217" s="52" t="s">
        <v>626</v>
      </c>
      <c r="AS217" s="52" t="s">
        <v>477</v>
      </c>
      <c r="AT217" s="52" t="s">
        <v>627</v>
      </c>
      <c r="AU217" s="52" t="s">
        <v>1998</v>
      </c>
      <c r="AV217" s="52" t="s">
        <v>2052</v>
      </c>
      <c r="AW217" s="52" t="s">
        <v>2053</v>
      </c>
      <c r="AX217" s="52" t="s">
        <v>2053</v>
      </c>
      <c r="AY217" s="49"/>
      <c r="AZ217" s="49"/>
      <c r="BA217" s="49"/>
    </row>
    <row r="218" spans="1:53" ht="11.25" hidden="1" customHeight="1">
      <c r="B218" s="36" t="s">
        <v>405</v>
      </c>
      <c r="C218" s="52" t="s">
        <v>2023</v>
      </c>
      <c r="D218" s="52" t="s">
        <v>2023</v>
      </c>
      <c r="E218" s="52" t="s">
        <v>1998</v>
      </c>
      <c r="F218" s="52" t="s">
        <v>2052</v>
      </c>
      <c r="G218" s="52" t="s">
        <v>821</v>
      </c>
      <c r="H218" s="52" t="s">
        <v>2058</v>
      </c>
      <c r="I218" s="52" t="s">
        <v>820</v>
      </c>
      <c r="J218" s="52" t="s">
        <v>609</v>
      </c>
      <c r="K218" s="52" t="s">
        <v>460</v>
      </c>
      <c r="L218" s="52" t="s">
        <v>610</v>
      </c>
      <c r="M218" s="52" t="s">
        <v>461</v>
      </c>
      <c r="N218" s="52" t="s">
        <v>611</v>
      </c>
      <c r="O218" s="52" t="s">
        <v>462</v>
      </c>
      <c r="P218" s="52" t="s">
        <v>612</v>
      </c>
      <c r="Q218" s="52" t="s">
        <v>463</v>
      </c>
      <c r="R218" s="52" t="s">
        <v>613</v>
      </c>
      <c r="S218" s="52" t="s">
        <v>464</v>
      </c>
      <c r="T218" s="52" t="s">
        <v>614</v>
      </c>
      <c r="U218" s="52" t="s">
        <v>465</v>
      </c>
      <c r="V218" s="52" t="s">
        <v>615</v>
      </c>
      <c r="W218" s="52" t="s">
        <v>466</v>
      </c>
      <c r="X218" s="52" t="s">
        <v>616</v>
      </c>
      <c r="Y218" s="52" t="s">
        <v>467</v>
      </c>
      <c r="Z218" s="52" t="s">
        <v>617</v>
      </c>
      <c r="AA218" s="52" t="s">
        <v>468</v>
      </c>
      <c r="AB218" s="52" t="s">
        <v>618</v>
      </c>
      <c r="AC218" s="52" t="s">
        <v>469</v>
      </c>
      <c r="AD218" s="52" t="s">
        <v>619</v>
      </c>
      <c r="AE218" s="52" t="s">
        <v>470</v>
      </c>
      <c r="AF218" s="52" t="s">
        <v>620</v>
      </c>
      <c r="AG218" s="52" t="s">
        <v>471</v>
      </c>
      <c r="AH218" s="52" t="s">
        <v>621</v>
      </c>
      <c r="AI218" s="52" t="s">
        <v>472</v>
      </c>
      <c r="AJ218" s="52" t="s">
        <v>622</v>
      </c>
      <c r="AK218" s="52" t="s">
        <v>473</v>
      </c>
      <c r="AL218" s="52" t="s">
        <v>623</v>
      </c>
      <c r="AM218" s="52" t="s">
        <v>474</v>
      </c>
      <c r="AN218" s="52" t="s">
        <v>624</v>
      </c>
      <c r="AO218" s="52" t="s">
        <v>475</v>
      </c>
      <c r="AP218" s="52" t="s">
        <v>625</v>
      </c>
      <c r="AQ218" s="52" t="s">
        <v>476</v>
      </c>
      <c r="AR218" s="52" t="s">
        <v>626</v>
      </c>
      <c r="AS218" s="52" t="s">
        <v>477</v>
      </c>
      <c r="AT218" s="52" t="s">
        <v>627</v>
      </c>
      <c r="AU218" s="52" t="s">
        <v>1998</v>
      </c>
      <c r="AV218" s="52" t="s">
        <v>2052</v>
      </c>
      <c r="AW218" s="52" t="s">
        <v>2053</v>
      </c>
      <c r="AX218" s="52" t="s">
        <v>2053</v>
      </c>
      <c r="AY218" s="49"/>
      <c r="AZ218" s="49"/>
      <c r="BA218" s="49"/>
    </row>
    <row r="219" spans="1:53" ht="11.25" hidden="1" customHeight="1">
      <c r="B219" s="36" t="s">
        <v>406</v>
      </c>
      <c r="C219" s="52" t="s">
        <v>2023</v>
      </c>
      <c r="D219" s="52" t="s">
        <v>2023</v>
      </c>
      <c r="E219" s="52" t="s">
        <v>1998</v>
      </c>
      <c r="F219" s="52" t="s">
        <v>2052</v>
      </c>
      <c r="G219" s="52" t="s">
        <v>821</v>
      </c>
      <c r="H219" s="52" t="s">
        <v>2058</v>
      </c>
      <c r="I219" s="52" t="s">
        <v>820</v>
      </c>
      <c r="J219" s="52" t="s">
        <v>609</v>
      </c>
      <c r="K219" s="52" t="s">
        <v>460</v>
      </c>
      <c r="L219" s="52" t="s">
        <v>610</v>
      </c>
      <c r="M219" s="52" t="s">
        <v>461</v>
      </c>
      <c r="N219" s="52" t="s">
        <v>611</v>
      </c>
      <c r="O219" s="52" t="s">
        <v>462</v>
      </c>
      <c r="P219" s="52" t="s">
        <v>612</v>
      </c>
      <c r="Q219" s="52" t="s">
        <v>463</v>
      </c>
      <c r="R219" s="52" t="s">
        <v>613</v>
      </c>
      <c r="S219" s="52" t="s">
        <v>464</v>
      </c>
      <c r="T219" s="52" t="s">
        <v>614</v>
      </c>
      <c r="U219" s="52" t="s">
        <v>465</v>
      </c>
      <c r="V219" s="52" t="s">
        <v>615</v>
      </c>
      <c r="W219" s="52" t="s">
        <v>466</v>
      </c>
      <c r="X219" s="52" t="s">
        <v>616</v>
      </c>
      <c r="Y219" s="52" t="s">
        <v>467</v>
      </c>
      <c r="Z219" s="52" t="s">
        <v>617</v>
      </c>
      <c r="AA219" s="52" t="s">
        <v>468</v>
      </c>
      <c r="AB219" s="52" t="s">
        <v>618</v>
      </c>
      <c r="AC219" s="52" t="s">
        <v>469</v>
      </c>
      <c r="AD219" s="52" t="s">
        <v>619</v>
      </c>
      <c r="AE219" s="52" t="s">
        <v>470</v>
      </c>
      <c r="AF219" s="52" t="s">
        <v>620</v>
      </c>
      <c r="AG219" s="52" t="s">
        <v>471</v>
      </c>
      <c r="AH219" s="52" t="s">
        <v>621</v>
      </c>
      <c r="AI219" s="52" t="s">
        <v>472</v>
      </c>
      <c r="AJ219" s="52" t="s">
        <v>622</v>
      </c>
      <c r="AK219" s="52" t="s">
        <v>473</v>
      </c>
      <c r="AL219" s="52" t="s">
        <v>623</v>
      </c>
      <c r="AM219" s="52" t="s">
        <v>474</v>
      </c>
      <c r="AN219" s="52" t="s">
        <v>624</v>
      </c>
      <c r="AO219" s="52" t="s">
        <v>475</v>
      </c>
      <c r="AP219" s="52" t="s">
        <v>625</v>
      </c>
      <c r="AQ219" s="52" t="s">
        <v>476</v>
      </c>
      <c r="AR219" s="52" t="s">
        <v>626</v>
      </c>
      <c r="AS219" s="52" t="s">
        <v>477</v>
      </c>
      <c r="AT219" s="52" t="s">
        <v>627</v>
      </c>
      <c r="AU219" s="52" t="s">
        <v>1998</v>
      </c>
      <c r="AV219" s="52" t="s">
        <v>2052</v>
      </c>
      <c r="AW219" s="52" t="s">
        <v>2053</v>
      </c>
      <c r="AX219" s="52" t="s">
        <v>2053</v>
      </c>
      <c r="AY219" s="49"/>
      <c r="AZ219" s="49"/>
      <c r="BA219" s="49"/>
    </row>
    <row r="220" spans="1:53" ht="11.25" hidden="1" customHeight="1">
      <c r="B220" s="36" t="s">
        <v>407</v>
      </c>
      <c r="C220" s="52" t="s">
        <v>2023</v>
      </c>
      <c r="D220" s="52" t="s">
        <v>2023</v>
      </c>
      <c r="E220" s="52" t="s">
        <v>1998</v>
      </c>
      <c r="F220" s="52" t="s">
        <v>2052</v>
      </c>
      <c r="G220" s="52" t="s">
        <v>434</v>
      </c>
      <c r="H220" s="52" t="s">
        <v>2059</v>
      </c>
      <c r="I220" s="52" t="s">
        <v>478</v>
      </c>
      <c r="J220" s="52" t="s">
        <v>628</v>
      </c>
      <c r="K220" s="52" t="s">
        <v>479</v>
      </c>
      <c r="L220" s="52" t="s">
        <v>629</v>
      </c>
      <c r="M220" s="52" t="s">
        <v>480</v>
      </c>
      <c r="N220" s="52" t="s">
        <v>630</v>
      </c>
      <c r="O220" s="52" t="s">
        <v>481</v>
      </c>
      <c r="P220" s="52" t="s">
        <v>631</v>
      </c>
      <c r="Q220" s="52" t="s">
        <v>482</v>
      </c>
      <c r="R220" s="52" t="s">
        <v>632</v>
      </c>
      <c r="S220" s="52" t="s">
        <v>483</v>
      </c>
      <c r="T220" s="52" t="s">
        <v>633</v>
      </c>
      <c r="U220" s="52" t="s">
        <v>484</v>
      </c>
      <c r="V220" s="52" t="s">
        <v>634</v>
      </c>
      <c r="W220" s="52" t="s">
        <v>485</v>
      </c>
      <c r="X220" s="52" t="s">
        <v>635</v>
      </c>
      <c r="Y220" s="52" t="s">
        <v>486</v>
      </c>
      <c r="Z220" s="52" t="s">
        <v>636</v>
      </c>
      <c r="AA220" s="52" t="s">
        <v>487</v>
      </c>
      <c r="AB220" s="52" t="s">
        <v>637</v>
      </c>
      <c r="AC220" s="52" t="s">
        <v>488</v>
      </c>
      <c r="AD220" s="52" t="s">
        <v>638</v>
      </c>
      <c r="AE220" s="52" t="s">
        <v>489</v>
      </c>
      <c r="AF220" s="52" t="s">
        <v>639</v>
      </c>
      <c r="AG220" s="52" t="s">
        <v>490</v>
      </c>
      <c r="AH220" s="52" t="s">
        <v>640</v>
      </c>
      <c r="AI220" s="52" t="s">
        <v>491</v>
      </c>
      <c r="AJ220" s="52" t="s">
        <v>641</v>
      </c>
      <c r="AK220" s="52" t="s">
        <v>492</v>
      </c>
      <c r="AL220" s="52" t="s">
        <v>642</v>
      </c>
      <c r="AM220" s="52" t="s">
        <v>493</v>
      </c>
      <c r="AN220" s="52" t="s">
        <v>643</v>
      </c>
      <c r="AO220" s="52" t="s">
        <v>494</v>
      </c>
      <c r="AP220" s="52" t="s">
        <v>644</v>
      </c>
      <c r="AQ220" s="52" t="s">
        <v>495</v>
      </c>
      <c r="AR220" s="52" t="s">
        <v>645</v>
      </c>
      <c r="AS220" s="52" t="s">
        <v>496</v>
      </c>
      <c r="AT220" s="52" t="s">
        <v>646</v>
      </c>
      <c r="AU220" s="52" t="s">
        <v>1998</v>
      </c>
      <c r="AV220" s="52" t="s">
        <v>2052</v>
      </c>
      <c r="AW220" s="52" t="s">
        <v>2053</v>
      </c>
      <c r="AX220" s="52" t="s">
        <v>2053</v>
      </c>
      <c r="AY220" s="49"/>
      <c r="AZ220" s="49"/>
      <c r="BA220" s="49"/>
    </row>
    <row r="221" spans="1:53" ht="11.25" hidden="1" customHeight="1">
      <c r="B221" s="36" t="s">
        <v>408</v>
      </c>
      <c r="C221" s="52" t="s">
        <v>2023</v>
      </c>
      <c r="D221" s="52" t="s">
        <v>2023</v>
      </c>
      <c r="E221" s="52" t="s">
        <v>1998</v>
      </c>
      <c r="F221" s="52" t="s">
        <v>2052</v>
      </c>
      <c r="G221" s="52" t="s">
        <v>434</v>
      </c>
      <c r="H221" s="52" t="s">
        <v>2059</v>
      </c>
      <c r="I221" s="52" t="s">
        <v>478</v>
      </c>
      <c r="J221" s="52" t="s">
        <v>628</v>
      </c>
      <c r="K221" s="52" t="s">
        <v>479</v>
      </c>
      <c r="L221" s="52" t="s">
        <v>629</v>
      </c>
      <c r="M221" s="52" t="s">
        <v>480</v>
      </c>
      <c r="N221" s="52" t="s">
        <v>630</v>
      </c>
      <c r="O221" s="52" t="s">
        <v>481</v>
      </c>
      <c r="P221" s="52" t="s">
        <v>631</v>
      </c>
      <c r="Q221" s="52" t="s">
        <v>482</v>
      </c>
      <c r="R221" s="52" t="s">
        <v>632</v>
      </c>
      <c r="S221" s="52" t="s">
        <v>483</v>
      </c>
      <c r="T221" s="52" t="s">
        <v>633</v>
      </c>
      <c r="U221" s="52" t="s">
        <v>484</v>
      </c>
      <c r="V221" s="52" t="s">
        <v>634</v>
      </c>
      <c r="W221" s="52" t="s">
        <v>485</v>
      </c>
      <c r="X221" s="52" t="s">
        <v>635</v>
      </c>
      <c r="Y221" s="52" t="s">
        <v>486</v>
      </c>
      <c r="Z221" s="52" t="s">
        <v>636</v>
      </c>
      <c r="AA221" s="52" t="s">
        <v>487</v>
      </c>
      <c r="AB221" s="52" t="s">
        <v>637</v>
      </c>
      <c r="AC221" s="52" t="s">
        <v>488</v>
      </c>
      <c r="AD221" s="52" t="s">
        <v>638</v>
      </c>
      <c r="AE221" s="52" t="s">
        <v>489</v>
      </c>
      <c r="AF221" s="52" t="s">
        <v>639</v>
      </c>
      <c r="AG221" s="52" t="s">
        <v>490</v>
      </c>
      <c r="AH221" s="52" t="s">
        <v>640</v>
      </c>
      <c r="AI221" s="52" t="s">
        <v>491</v>
      </c>
      <c r="AJ221" s="52" t="s">
        <v>641</v>
      </c>
      <c r="AK221" s="52" t="s">
        <v>492</v>
      </c>
      <c r="AL221" s="52" t="s">
        <v>642</v>
      </c>
      <c r="AM221" s="52" t="s">
        <v>493</v>
      </c>
      <c r="AN221" s="52" t="s">
        <v>643</v>
      </c>
      <c r="AO221" s="52" t="s">
        <v>494</v>
      </c>
      <c r="AP221" s="52" t="s">
        <v>644</v>
      </c>
      <c r="AQ221" s="52" t="s">
        <v>495</v>
      </c>
      <c r="AR221" s="52" t="s">
        <v>645</v>
      </c>
      <c r="AS221" s="52" t="s">
        <v>496</v>
      </c>
      <c r="AT221" s="52" t="s">
        <v>646</v>
      </c>
      <c r="AU221" s="52" t="s">
        <v>1998</v>
      </c>
      <c r="AV221" s="52" t="s">
        <v>2052</v>
      </c>
      <c r="AW221" s="52" t="s">
        <v>2053</v>
      </c>
      <c r="AX221" s="52" t="s">
        <v>2053</v>
      </c>
      <c r="AY221" s="49"/>
      <c r="AZ221" s="49"/>
      <c r="BA221" s="49"/>
    </row>
    <row r="222" spans="1:53" ht="11.25" hidden="1" customHeight="1">
      <c r="B222" s="36" t="s">
        <v>409</v>
      </c>
      <c r="C222" s="52" t="s">
        <v>2023</v>
      </c>
      <c r="D222" s="52" t="s">
        <v>2023</v>
      </c>
      <c r="E222" s="52" t="s">
        <v>1998</v>
      </c>
      <c r="F222" s="52" t="s">
        <v>2052</v>
      </c>
      <c r="G222" s="52" t="s">
        <v>434</v>
      </c>
      <c r="H222" s="52" t="s">
        <v>2059</v>
      </c>
      <c r="I222" s="52" t="s">
        <v>478</v>
      </c>
      <c r="J222" s="52" t="s">
        <v>628</v>
      </c>
      <c r="K222" s="52" t="s">
        <v>479</v>
      </c>
      <c r="L222" s="52" t="s">
        <v>629</v>
      </c>
      <c r="M222" s="52" t="s">
        <v>480</v>
      </c>
      <c r="N222" s="52" t="s">
        <v>630</v>
      </c>
      <c r="O222" s="52" t="s">
        <v>481</v>
      </c>
      <c r="P222" s="52" t="s">
        <v>631</v>
      </c>
      <c r="Q222" s="52" t="s">
        <v>482</v>
      </c>
      <c r="R222" s="52" t="s">
        <v>632</v>
      </c>
      <c r="S222" s="52" t="s">
        <v>483</v>
      </c>
      <c r="T222" s="52" t="s">
        <v>633</v>
      </c>
      <c r="U222" s="52" t="s">
        <v>484</v>
      </c>
      <c r="V222" s="52" t="s">
        <v>634</v>
      </c>
      <c r="W222" s="52" t="s">
        <v>485</v>
      </c>
      <c r="X222" s="52" t="s">
        <v>635</v>
      </c>
      <c r="Y222" s="52" t="s">
        <v>486</v>
      </c>
      <c r="Z222" s="52" t="s">
        <v>636</v>
      </c>
      <c r="AA222" s="52" t="s">
        <v>487</v>
      </c>
      <c r="AB222" s="52" t="s">
        <v>637</v>
      </c>
      <c r="AC222" s="52" t="s">
        <v>488</v>
      </c>
      <c r="AD222" s="52" t="s">
        <v>638</v>
      </c>
      <c r="AE222" s="52" t="s">
        <v>489</v>
      </c>
      <c r="AF222" s="52" t="s">
        <v>639</v>
      </c>
      <c r="AG222" s="52" t="s">
        <v>490</v>
      </c>
      <c r="AH222" s="52" t="s">
        <v>640</v>
      </c>
      <c r="AI222" s="52" t="s">
        <v>491</v>
      </c>
      <c r="AJ222" s="52" t="s">
        <v>641</v>
      </c>
      <c r="AK222" s="52" t="s">
        <v>492</v>
      </c>
      <c r="AL222" s="52" t="s">
        <v>642</v>
      </c>
      <c r="AM222" s="52" t="s">
        <v>493</v>
      </c>
      <c r="AN222" s="52" t="s">
        <v>643</v>
      </c>
      <c r="AO222" s="52" t="s">
        <v>494</v>
      </c>
      <c r="AP222" s="52" t="s">
        <v>644</v>
      </c>
      <c r="AQ222" s="52" t="s">
        <v>495</v>
      </c>
      <c r="AR222" s="52" t="s">
        <v>645</v>
      </c>
      <c r="AS222" s="52" t="s">
        <v>496</v>
      </c>
      <c r="AT222" s="52" t="s">
        <v>646</v>
      </c>
      <c r="AU222" s="52" t="s">
        <v>1998</v>
      </c>
      <c r="AV222" s="52" t="s">
        <v>2052</v>
      </c>
      <c r="AW222" s="52" t="s">
        <v>2053</v>
      </c>
      <c r="AX222" s="52" t="s">
        <v>2053</v>
      </c>
      <c r="AY222" s="49"/>
      <c r="AZ222" s="49"/>
      <c r="BA222" s="49"/>
    </row>
    <row r="223" spans="1:53" ht="11.25" hidden="1" customHeight="1">
      <c r="B223" s="36" t="s">
        <v>410</v>
      </c>
      <c r="C223" s="52" t="s">
        <v>2023</v>
      </c>
      <c r="D223" s="52" t="s">
        <v>2023</v>
      </c>
      <c r="E223" s="52" t="s">
        <v>1998</v>
      </c>
      <c r="F223" s="52" t="s">
        <v>2052</v>
      </c>
      <c r="G223" s="52" t="s">
        <v>434</v>
      </c>
      <c r="H223" s="52" t="s">
        <v>2059</v>
      </c>
      <c r="I223" s="52" t="s">
        <v>478</v>
      </c>
      <c r="J223" s="52" t="s">
        <v>628</v>
      </c>
      <c r="K223" s="52" t="s">
        <v>479</v>
      </c>
      <c r="L223" s="52" t="s">
        <v>629</v>
      </c>
      <c r="M223" s="52" t="s">
        <v>480</v>
      </c>
      <c r="N223" s="52" t="s">
        <v>630</v>
      </c>
      <c r="O223" s="52" t="s">
        <v>481</v>
      </c>
      <c r="P223" s="52" t="s">
        <v>631</v>
      </c>
      <c r="Q223" s="52" t="s">
        <v>482</v>
      </c>
      <c r="R223" s="52" t="s">
        <v>632</v>
      </c>
      <c r="S223" s="52" t="s">
        <v>483</v>
      </c>
      <c r="T223" s="52" t="s">
        <v>633</v>
      </c>
      <c r="U223" s="52" t="s">
        <v>484</v>
      </c>
      <c r="V223" s="52" t="s">
        <v>634</v>
      </c>
      <c r="W223" s="52" t="s">
        <v>485</v>
      </c>
      <c r="X223" s="52" t="s">
        <v>635</v>
      </c>
      <c r="Y223" s="52" t="s">
        <v>486</v>
      </c>
      <c r="Z223" s="52" t="s">
        <v>636</v>
      </c>
      <c r="AA223" s="52" t="s">
        <v>487</v>
      </c>
      <c r="AB223" s="52" t="s">
        <v>637</v>
      </c>
      <c r="AC223" s="52" t="s">
        <v>488</v>
      </c>
      <c r="AD223" s="52" t="s">
        <v>638</v>
      </c>
      <c r="AE223" s="52" t="s">
        <v>489</v>
      </c>
      <c r="AF223" s="52" t="s">
        <v>639</v>
      </c>
      <c r="AG223" s="52" t="s">
        <v>490</v>
      </c>
      <c r="AH223" s="52" t="s">
        <v>640</v>
      </c>
      <c r="AI223" s="52" t="s">
        <v>491</v>
      </c>
      <c r="AJ223" s="52" t="s">
        <v>641</v>
      </c>
      <c r="AK223" s="52" t="s">
        <v>492</v>
      </c>
      <c r="AL223" s="52" t="s">
        <v>642</v>
      </c>
      <c r="AM223" s="52" t="s">
        <v>493</v>
      </c>
      <c r="AN223" s="52" t="s">
        <v>643</v>
      </c>
      <c r="AO223" s="52" t="s">
        <v>494</v>
      </c>
      <c r="AP223" s="52" t="s">
        <v>644</v>
      </c>
      <c r="AQ223" s="52" t="s">
        <v>495</v>
      </c>
      <c r="AR223" s="52" t="s">
        <v>645</v>
      </c>
      <c r="AS223" s="52" t="s">
        <v>496</v>
      </c>
      <c r="AT223" s="52" t="s">
        <v>646</v>
      </c>
      <c r="AU223" s="52" t="s">
        <v>1998</v>
      </c>
      <c r="AV223" s="52" t="s">
        <v>2052</v>
      </c>
      <c r="AW223" s="52" t="s">
        <v>2053</v>
      </c>
      <c r="AX223" s="52" t="s">
        <v>2053</v>
      </c>
      <c r="AY223" s="49"/>
      <c r="AZ223" s="49"/>
      <c r="BA223" s="49"/>
    </row>
    <row r="224" spans="1:53" ht="11.25" hidden="1" customHeight="1">
      <c r="B224" s="36" t="s">
        <v>411</v>
      </c>
      <c r="C224" s="52" t="s">
        <v>2023</v>
      </c>
      <c r="D224" s="52" t="s">
        <v>2023</v>
      </c>
      <c r="E224" s="52" t="s">
        <v>1998</v>
      </c>
      <c r="F224" s="52" t="s">
        <v>2052</v>
      </c>
      <c r="G224" s="52" t="s">
        <v>435</v>
      </c>
      <c r="H224" s="52" t="s">
        <v>6</v>
      </c>
      <c r="I224" s="52" t="s">
        <v>497</v>
      </c>
      <c r="J224" s="52" t="s">
        <v>647</v>
      </c>
      <c r="K224" s="52" t="s">
        <v>498</v>
      </c>
      <c r="L224" s="52" t="s">
        <v>648</v>
      </c>
      <c r="M224" s="52" t="s">
        <v>499</v>
      </c>
      <c r="N224" s="52" t="s">
        <v>649</v>
      </c>
      <c r="O224" s="52" t="s">
        <v>500</v>
      </c>
      <c r="P224" s="52" t="s">
        <v>650</v>
      </c>
      <c r="Q224" s="52" t="s">
        <v>501</v>
      </c>
      <c r="R224" s="52" t="s">
        <v>651</v>
      </c>
      <c r="S224" s="52" t="s">
        <v>502</v>
      </c>
      <c r="T224" s="52" t="s">
        <v>652</v>
      </c>
      <c r="U224" s="52" t="s">
        <v>503</v>
      </c>
      <c r="V224" s="52" t="s">
        <v>750</v>
      </c>
      <c r="W224" s="52" t="s">
        <v>504</v>
      </c>
      <c r="X224" s="52" t="s">
        <v>653</v>
      </c>
      <c r="Y224" s="52" t="s">
        <v>505</v>
      </c>
      <c r="Z224" s="52" t="s">
        <v>654</v>
      </c>
      <c r="AA224" s="52" t="s">
        <v>506</v>
      </c>
      <c r="AB224" s="52" t="s">
        <v>655</v>
      </c>
      <c r="AC224" s="52" t="s">
        <v>507</v>
      </c>
      <c r="AD224" s="52" t="s">
        <v>656</v>
      </c>
      <c r="AE224" s="52" t="s">
        <v>508</v>
      </c>
      <c r="AF224" s="52" t="s">
        <v>657</v>
      </c>
      <c r="AG224" s="52" t="s">
        <v>509</v>
      </c>
      <c r="AH224" s="52" t="s">
        <v>658</v>
      </c>
      <c r="AI224" s="52" t="s">
        <v>510</v>
      </c>
      <c r="AJ224" s="52" t="s">
        <v>659</v>
      </c>
      <c r="AK224" s="52" t="s">
        <v>511</v>
      </c>
      <c r="AL224" s="52" t="s">
        <v>660</v>
      </c>
      <c r="AM224" s="52" t="s">
        <v>512</v>
      </c>
      <c r="AN224" s="52" t="s">
        <v>661</v>
      </c>
      <c r="AO224" s="52" t="s">
        <v>513</v>
      </c>
      <c r="AP224" s="52" t="s">
        <v>662</v>
      </c>
      <c r="AQ224" s="52" t="s">
        <v>514</v>
      </c>
      <c r="AR224" s="52" t="s">
        <v>663</v>
      </c>
      <c r="AS224" s="52" t="s">
        <v>515</v>
      </c>
      <c r="AT224" s="52" t="s">
        <v>664</v>
      </c>
      <c r="AU224" s="52" t="s">
        <v>1998</v>
      </c>
      <c r="AV224" s="52" t="s">
        <v>2052</v>
      </c>
      <c r="AW224" s="52" t="s">
        <v>2053</v>
      </c>
      <c r="AX224" s="52" t="s">
        <v>2053</v>
      </c>
      <c r="AY224" s="49"/>
      <c r="AZ224" s="49"/>
      <c r="BA224" s="49"/>
    </row>
    <row r="225" spans="2:53" ht="11.25" hidden="1" customHeight="1">
      <c r="B225" s="36" t="s">
        <v>412</v>
      </c>
      <c r="C225" s="52" t="s">
        <v>2023</v>
      </c>
      <c r="D225" s="52" t="s">
        <v>2023</v>
      </c>
      <c r="E225" s="52" t="s">
        <v>1998</v>
      </c>
      <c r="F225" s="52" t="s">
        <v>2052</v>
      </c>
      <c r="G225" s="52" t="s">
        <v>435</v>
      </c>
      <c r="H225" s="52" t="s">
        <v>6</v>
      </c>
      <c r="I225" s="52" t="s">
        <v>497</v>
      </c>
      <c r="J225" s="52" t="s">
        <v>647</v>
      </c>
      <c r="K225" s="52" t="s">
        <v>498</v>
      </c>
      <c r="L225" s="52" t="s">
        <v>648</v>
      </c>
      <c r="M225" s="52" t="s">
        <v>499</v>
      </c>
      <c r="N225" s="52" t="s">
        <v>649</v>
      </c>
      <c r="O225" s="52" t="s">
        <v>500</v>
      </c>
      <c r="P225" s="52" t="s">
        <v>650</v>
      </c>
      <c r="Q225" s="52" t="s">
        <v>501</v>
      </c>
      <c r="R225" s="52" t="s">
        <v>651</v>
      </c>
      <c r="S225" s="52" t="s">
        <v>502</v>
      </c>
      <c r="T225" s="52" t="s">
        <v>652</v>
      </c>
      <c r="U225" s="52" t="s">
        <v>503</v>
      </c>
      <c r="V225" s="52" t="s">
        <v>750</v>
      </c>
      <c r="W225" s="52" t="s">
        <v>504</v>
      </c>
      <c r="X225" s="52" t="s">
        <v>653</v>
      </c>
      <c r="Y225" s="52" t="s">
        <v>505</v>
      </c>
      <c r="Z225" s="52" t="s">
        <v>654</v>
      </c>
      <c r="AA225" s="52" t="s">
        <v>506</v>
      </c>
      <c r="AB225" s="52" t="s">
        <v>655</v>
      </c>
      <c r="AC225" s="52" t="s">
        <v>507</v>
      </c>
      <c r="AD225" s="52" t="s">
        <v>656</v>
      </c>
      <c r="AE225" s="52" t="s">
        <v>508</v>
      </c>
      <c r="AF225" s="52" t="s">
        <v>657</v>
      </c>
      <c r="AG225" s="52" t="s">
        <v>509</v>
      </c>
      <c r="AH225" s="52" t="s">
        <v>658</v>
      </c>
      <c r="AI225" s="52" t="s">
        <v>510</v>
      </c>
      <c r="AJ225" s="52" t="s">
        <v>659</v>
      </c>
      <c r="AK225" s="52" t="s">
        <v>511</v>
      </c>
      <c r="AL225" s="52" t="s">
        <v>660</v>
      </c>
      <c r="AM225" s="52" t="s">
        <v>512</v>
      </c>
      <c r="AN225" s="52" t="s">
        <v>661</v>
      </c>
      <c r="AO225" s="52" t="s">
        <v>513</v>
      </c>
      <c r="AP225" s="52" t="s">
        <v>662</v>
      </c>
      <c r="AQ225" s="52" t="s">
        <v>514</v>
      </c>
      <c r="AR225" s="52" t="s">
        <v>663</v>
      </c>
      <c r="AS225" s="52" t="s">
        <v>515</v>
      </c>
      <c r="AT225" s="52" t="s">
        <v>664</v>
      </c>
      <c r="AU225" s="52" t="s">
        <v>1998</v>
      </c>
      <c r="AV225" s="52" t="s">
        <v>2052</v>
      </c>
      <c r="AW225" s="52" t="s">
        <v>2053</v>
      </c>
      <c r="AX225" s="52" t="s">
        <v>2053</v>
      </c>
      <c r="AY225" s="49"/>
      <c r="AZ225" s="49"/>
      <c r="BA225" s="49"/>
    </row>
    <row r="226" spans="2:53" ht="11.25" hidden="1" customHeight="1">
      <c r="B226" s="36" t="s">
        <v>413</v>
      </c>
      <c r="C226" s="52" t="s">
        <v>2023</v>
      </c>
      <c r="D226" s="52" t="s">
        <v>2023</v>
      </c>
      <c r="E226" s="52" t="s">
        <v>1998</v>
      </c>
      <c r="F226" s="52" t="s">
        <v>2052</v>
      </c>
      <c r="G226" s="52" t="s">
        <v>435</v>
      </c>
      <c r="H226" s="52" t="s">
        <v>6</v>
      </c>
      <c r="I226" s="52" t="s">
        <v>497</v>
      </c>
      <c r="J226" s="52" t="s">
        <v>647</v>
      </c>
      <c r="K226" s="52" t="s">
        <v>498</v>
      </c>
      <c r="L226" s="52" t="s">
        <v>648</v>
      </c>
      <c r="M226" s="52" t="s">
        <v>499</v>
      </c>
      <c r="N226" s="52" t="s">
        <v>649</v>
      </c>
      <c r="O226" s="52" t="s">
        <v>500</v>
      </c>
      <c r="P226" s="52" t="s">
        <v>650</v>
      </c>
      <c r="Q226" s="52" t="s">
        <v>501</v>
      </c>
      <c r="R226" s="52" t="s">
        <v>651</v>
      </c>
      <c r="S226" s="52" t="s">
        <v>502</v>
      </c>
      <c r="T226" s="52" t="s">
        <v>652</v>
      </c>
      <c r="U226" s="52" t="s">
        <v>503</v>
      </c>
      <c r="V226" s="52" t="s">
        <v>750</v>
      </c>
      <c r="W226" s="52" t="s">
        <v>504</v>
      </c>
      <c r="X226" s="52" t="s">
        <v>653</v>
      </c>
      <c r="Y226" s="52" t="s">
        <v>505</v>
      </c>
      <c r="Z226" s="52" t="s">
        <v>654</v>
      </c>
      <c r="AA226" s="52" t="s">
        <v>506</v>
      </c>
      <c r="AB226" s="52" t="s">
        <v>655</v>
      </c>
      <c r="AC226" s="52" t="s">
        <v>507</v>
      </c>
      <c r="AD226" s="52" t="s">
        <v>656</v>
      </c>
      <c r="AE226" s="52" t="s">
        <v>508</v>
      </c>
      <c r="AF226" s="52" t="s">
        <v>657</v>
      </c>
      <c r="AG226" s="52" t="s">
        <v>509</v>
      </c>
      <c r="AH226" s="52" t="s">
        <v>658</v>
      </c>
      <c r="AI226" s="52" t="s">
        <v>510</v>
      </c>
      <c r="AJ226" s="52" t="s">
        <v>659</v>
      </c>
      <c r="AK226" s="52" t="s">
        <v>511</v>
      </c>
      <c r="AL226" s="52" t="s">
        <v>660</v>
      </c>
      <c r="AM226" s="52" t="s">
        <v>512</v>
      </c>
      <c r="AN226" s="52" t="s">
        <v>661</v>
      </c>
      <c r="AO226" s="52" t="s">
        <v>513</v>
      </c>
      <c r="AP226" s="52" t="s">
        <v>662</v>
      </c>
      <c r="AQ226" s="52" t="s">
        <v>514</v>
      </c>
      <c r="AR226" s="52" t="s">
        <v>663</v>
      </c>
      <c r="AS226" s="52" t="s">
        <v>515</v>
      </c>
      <c r="AT226" s="52" t="s">
        <v>664</v>
      </c>
      <c r="AU226" s="52" t="s">
        <v>1998</v>
      </c>
      <c r="AV226" s="52" t="s">
        <v>2052</v>
      </c>
      <c r="AW226" s="52" t="s">
        <v>2053</v>
      </c>
      <c r="AX226" s="52" t="s">
        <v>2053</v>
      </c>
      <c r="AY226" s="49"/>
      <c r="AZ226" s="49"/>
      <c r="BA226" s="49"/>
    </row>
    <row r="227" spans="2:53" ht="11.25" hidden="1" customHeight="1">
      <c r="B227" s="36" t="s">
        <v>414</v>
      </c>
      <c r="C227" s="52" t="s">
        <v>2023</v>
      </c>
      <c r="D227" s="52" t="s">
        <v>2023</v>
      </c>
      <c r="E227" s="52" t="s">
        <v>1998</v>
      </c>
      <c r="F227" s="52" t="s">
        <v>2052</v>
      </c>
      <c r="G227" s="52" t="s">
        <v>435</v>
      </c>
      <c r="H227" s="52" t="s">
        <v>6</v>
      </c>
      <c r="I227" s="52" t="s">
        <v>497</v>
      </c>
      <c r="J227" s="52" t="s">
        <v>647</v>
      </c>
      <c r="K227" s="52" t="s">
        <v>498</v>
      </c>
      <c r="L227" s="52" t="s">
        <v>648</v>
      </c>
      <c r="M227" s="52" t="s">
        <v>499</v>
      </c>
      <c r="N227" s="52" t="s">
        <v>649</v>
      </c>
      <c r="O227" s="52" t="s">
        <v>500</v>
      </c>
      <c r="P227" s="52" t="s">
        <v>650</v>
      </c>
      <c r="Q227" s="52" t="s">
        <v>501</v>
      </c>
      <c r="R227" s="52" t="s">
        <v>651</v>
      </c>
      <c r="S227" s="52" t="s">
        <v>502</v>
      </c>
      <c r="T227" s="52" t="s">
        <v>652</v>
      </c>
      <c r="U227" s="52" t="s">
        <v>503</v>
      </c>
      <c r="V227" s="52" t="s">
        <v>750</v>
      </c>
      <c r="W227" s="52" t="s">
        <v>504</v>
      </c>
      <c r="X227" s="52" t="s">
        <v>653</v>
      </c>
      <c r="Y227" s="52" t="s">
        <v>505</v>
      </c>
      <c r="Z227" s="52" t="s">
        <v>654</v>
      </c>
      <c r="AA227" s="52" t="s">
        <v>506</v>
      </c>
      <c r="AB227" s="52" t="s">
        <v>655</v>
      </c>
      <c r="AC227" s="52" t="s">
        <v>507</v>
      </c>
      <c r="AD227" s="52" t="s">
        <v>656</v>
      </c>
      <c r="AE227" s="52" t="s">
        <v>508</v>
      </c>
      <c r="AF227" s="52" t="s">
        <v>657</v>
      </c>
      <c r="AG227" s="52" t="s">
        <v>509</v>
      </c>
      <c r="AH227" s="52" t="s">
        <v>658</v>
      </c>
      <c r="AI227" s="52" t="s">
        <v>510</v>
      </c>
      <c r="AJ227" s="52" t="s">
        <v>659</v>
      </c>
      <c r="AK227" s="52" t="s">
        <v>511</v>
      </c>
      <c r="AL227" s="52" t="s">
        <v>660</v>
      </c>
      <c r="AM227" s="52" t="s">
        <v>512</v>
      </c>
      <c r="AN227" s="52" t="s">
        <v>661</v>
      </c>
      <c r="AO227" s="52" t="s">
        <v>513</v>
      </c>
      <c r="AP227" s="52" t="s">
        <v>662</v>
      </c>
      <c r="AQ227" s="52" t="s">
        <v>514</v>
      </c>
      <c r="AR227" s="52" t="s">
        <v>663</v>
      </c>
      <c r="AS227" s="52" t="s">
        <v>515</v>
      </c>
      <c r="AT227" s="52" t="s">
        <v>664</v>
      </c>
      <c r="AU227" s="52" t="s">
        <v>1998</v>
      </c>
      <c r="AV227" s="52" t="s">
        <v>2052</v>
      </c>
      <c r="AW227" s="52" t="s">
        <v>2053</v>
      </c>
      <c r="AX227" s="52" t="s">
        <v>2053</v>
      </c>
      <c r="AY227" s="49"/>
      <c r="AZ227" s="49"/>
      <c r="BA227" s="49"/>
    </row>
    <row r="228" spans="2:53" ht="11.25" hidden="1" customHeight="1">
      <c r="B228" s="36" t="s">
        <v>1214</v>
      </c>
      <c r="C228" s="52" t="s">
        <v>2023</v>
      </c>
      <c r="D228" s="52" t="s">
        <v>2023</v>
      </c>
      <c r="E228" s="52" t="s">
        <v>1998</v>
      </c>
      <c r="F228" s="52" t="s">
        <v>2052</v>
      </c>
      <c r="G228" s="52" t="s">
        <v>436</v>
      </c>
      <c r="H228" s="52" t="s">
        <v>1</v>
      </c>
      <c r="I228" s="52" t="s">
        <v>516</v>
      </c>
      <c r="J228" s="52" t="s">
        <v>665</v>
      </c>
      <c r="K228" s="52" t="s">
        <v>517</v>
      </c>
      <c r="L228" s="52" t="s">
        <v>666</v>
      </c>
      <c r="M228" s="52" t="s">
        <v>518</v>
      </c>
      <c r="N228" s="52" t="s">
        <v>667</v>
      </c>
      <c r="O228" s="52" t="s">
        <v>519</v>
      </c>
      <c r="P228" s="52" t="s">
        <v>668</v>
      </c>
      <c r="Q228" s="52" t="s">
        <v>520</v>
      </c>
      <c r="R228" s="52" t="s">
        <v>669</v>
      </c>
      <c r="S228" s="52" t="s">
        <v>521</v>
      </c>
      <c r="T228" s="52" t="s">
        <v>670</v>
      </c>
      <c r="U228" s="52" t="s">
        <v>522</v>
      </c>
      <c r="V228" s="52" t="s">
        <v>671</v>
      </c>
      <c r="W228" s="52" t="s">
        <v>523</v>
      </c>
      <c r="X228" s="52" t="s">
        <v>672</v>
      </c>
      <c r="Y228" s="52" t="s">
        <v>524</v>
      </c>
      <c r="Z228" s="52" t="s">
        <v>673</v>
      </c>
      <c r="AA228" s="52" t="s">
        <v>525</v>
      </c>
      <c r="AB228" s="52" t="s">
        <v>674</v>
      </c>
      <c r="AC228" s="52" t="s">
        <v>526</v>
      </c>
      <c r="AD228" s="52" t="s">
        <v>675</v>
      </c>
      <c r="AE228" s="52" t="s">
        <v>527</v>
      </c>
      <c r="AF228" s="52" t="s">
        <v>676</v>
      </c>
      <c r="AG228" s="52" t="s">
        <v>528</v>
      </c>
      <c r="AH228" s="52" t="s">
        <v>677</v>
      </c>
      <c r="AI228" s="52" t="s">
        <v>529</v>
      </c>
      <c r="AJ228" s="52" t="s">
        <v>678</v>
      </c>
      <c r="AK228" s="52" t="s">
        <v>530</v>
      </c>
      <c r="AL228" s="52" t="s">
        <v>679</v>
      </c>
      <c r="AM228" s="52" t="s">
        <v>531</v>
      </c>
      <c r="AN228" s="52" t="s">
        <v>680</v>
      </c>
      <c r="AO228" s="52" t="s">
        <v>532</v>
      </c>
      <c r="AP228" s="52" t="s">
        <v>681</v>
      </c>
      <c r="AQ228" s="52" t="s">
        <v>533</v>
      </c>
      <c r="AR228" s="52" t="s">
        <v>682</v>
      </c>
      <c r="AS228" s="52" t="s">
        <v>534</v>
      </c>
      <c r="AT228" s="52" t="s">
        <v>683</v>
      </c>
      <c r="AU228" s="52" t="s">
        <v>1998</v>
      </c>
      <c r="AV228" s="52" t="s">
        <v>2052</v>
      </c>
      <c r="AW228" s="52" t="s">
        <v>2053</v>
      </c>
      <c r="AX228" s="52" t="s">
        <v>2053</v>
      </c>
      <c r="AY228" s="49"/>
      <c r="AZ228" s="49"/>
      <c r="BA228" s="49"/>
    </row>
    <row r="229" spans="2:53" ht="11.25" hidden="1" customHeight="1">
      <c r="B229" s="36" t="s">
        <v>1263</v>
      </c>
      <c r="C229" s="52" t="s">
        <v>2023</v>
      </c>
      <c r="D229" s="52" t="s">
        <v>2023</v>
      </c>
      <c r="E229" s="52" t="s">
        <v>1998</v>
      </c>
      <c r="F229" s="52" t="s">
        <v>2052</v>
      </c>
      <c r="G229" s="52" t="s">
        <v>436</v>
      </c>
      <c r="H229" s="52" t="s">
        <v>1</v>
      </c>
      <c r="I229" s="52" t="s">
        <v>516</v>
      </c>
      <c r="J229" s="52" t="s">
        <v>665</v>
      </c>
      <c r="K229" s="52" t="s">
        <v>517</v>
      </c>
      <c r="L229" s="52" t="s">
        <v>666</v>
      </c>
      <c r="M229" s="52" t="s">
        <v>518</v>
      </c>
      <c r="N229" s="52" t="s">
        <v>667</v>
      </c>
      <c r="O229" s="52" t="s">
        <v>519</v>
      </c>
      <c r="P229" s="52" t="s">
        <v>668</v>
      </c>
      <c r="Q229" s="52" t="s">
        <v>520</v>
      </c>
      <c r="R229" s="52" t="s">
        <v>669</v>
      </c>
      <c r="S229" s="52" t="s">
        <v>521</v>
      </c>
      <c r="T229" s="52" t="s">
        <v>670</v>
      </c>
      <c r="U229" s="52" t="s">
        <v>522</v>
      </c>
      <c r="V229" s="52" t="s">
        <v>671</v>
      </c>
      <c r="W229" s="52" t="s">
        <v>523</v>
      </c>
      <c r="X229" s="52" t="s">
        <v>672</v>
      </c>
      <c r="Y229" s="52" t="s">
        <v>524</v>
      </c>
      <c r="Z229" s="52" t="s">
        <v>673</v>
      </c>
      <c r="AA229" s="52" t="s">
        <v>525</v>
      </c>
      <c r="AB229" s="52" t="s">
        <v>674</v>
      </c>
      <c r="AC229" s="52" t="s">
        <v>526</v>
      </c>
      <c r="AD229" s="52" t="s">
        <v>675</v>
      </c>
      <c r="AE229" s="52" t="s">
        <v>527</v>
      </c>
      <c r="AF229" s="52" t="s">
        <v>676</v>
      </c>
      <c r="AG229" s="52" t="s">
        <v>528</v>
      </c>
      <c r="AH229" s="52" t="s">
        <v>677</v>
      </c>
      <c r="AI229" s="52" t="s">
        <v>529</v>
      </c>
      <c r="AJ229" s="52" t="s">
        <v>678</v>
      </c>
      <c r="AK229" s="52" t="s">
        <v>530</v>
      </c>
      <c r="AL229" s="52" t="s">
        <v>679</v>
      </c>
      <c r="AM229" s="52" t="s">
        <v>531</v>
      </c>
      <c r="AN229" s="52" t="s">
        <v>680</v>
      </c>
      <c r="AO229" s="52" t="s">
        <v>532</v>
      </c>
      <c r="AP229" s="52" t="s">
        <v>681</v>
      </c>
      <c r="AQ229" s="52" t="s">
        <v>533</v>
      </c>
      <c r="AR229" s="52" t="s">
        <v>682</v>
      </c>
      <c r="AS229" s="52" t="s">
        <v>534</v>
      </c>
      <c r="AT229" s="52" t="s">
        <v>683</v>
      </c>
      <c r="AU229" s="52" t="s">
        <v>1998</v>
      </c>
      <c r="AV229" s="52" t="s">
        <v>2052</v>
      </c>
      <c r="AW229" s="52" t="s">
        <v>2053</v>
      </c>
      <c r="AX229" s="52" t="s">
        <v>2053</v>
      </c>
      <c r="AY229" s="49"/>
      <c r="AZ229" s="49"/>
      <c r="BA229" s="49"/>
    </row>
    <row r="230" spans="2:53" ht="11.25" hidden="1" customHeight="1">
      <c r="B230" s="36" t="s">
        <v>1312</v>
      </c>
      <c r="C230" s="52" t="s">
        <v>2023</v>
      </c>
      <c r="D230" s="52" t="s">
        <v>2023</v>
      </c>
      <c r="E230" s="52" t="s">
        <v>1998</v>
      </c>
      <c r="F230" s="52" t="s">
        <v>2052</v>
      </c>
      <c r="G230" s="52" t="s">
        <v>436</v>
      </c>
      <c r="H230" s="52" t="s">
        <v>1</v>
      </c>
      <c r="I230" s="52" t="s">
        <v>516</v>
      </c>
      <c r="J230" s="52" t="s">
        <v>665</v>
      </c>
      <c r="K230" s="52" t="s">
        <v>517</v>
      </c>
      <c r="L230" s="52" t="s">
        <v>666</v>
      </c>
      <c r="M230" s="52" t="s">
        <v>518</v>
      </c>
      <c r="N230" s="52" t="s">
        <v>667</v>
      </c>
      <c r="O230" s="52" t="s">
        <v>519</v>
      </c>
      <c r="P230" s="52" t="s">
        <v>668</v>
      </c>
      <c r="Q230" s="52" t="s">
        <v>520</v>
      </c>
      <c r="R230" s="52" t="s">
        <v>669</v>
      </c>
      <c r="S230" s="52" t="s">
        <v>521</v>
      </c>
      <c r="T230" s="52" t="s">
        <v>670</v>
      </c>
      <c r="U230" s="52" t="s">
        <v>522</v>
      </c>
      <c r="V230" s="52" t="s">
        <v>671</v>
      </c>
      <c r="W230" s="52" t="s">
        <v>523</v>
      </c>
      <c r="X230" s="52" t="s">
        <v>672</v>
      </c>
      <c r="Y230" s="52" t="s">
        <v>524</v>
      </c>
      <c r="Z230" s="52" t="s">
        <v>673</v>
      </c>
      <c r="AA230" s="52" t="s">
        <v>525</v>
      </c>
      <c r="AB230" s="52" t="s">
        <v>674</v>
      </c>
      <c r="AC230" s="52" t="s">
        <v>526</v>
      </c>
      <c r="AD230" s="52" t="s">
        <v>675</v>
      </c>
      <c r="AE230" s="52" t="s">
        <v>527</v>
      </c>
      <c r="AF230" s="52" t="s">
        <v>676</v>
      </c>
      <c r="AG230" s="52" t="s">
        <v>528</v>
      </c>
      <c r="AH230" s="52" t="s">
        <v>677</v>
      </c>
      <c r="AI230" s="52" t="s">
        <v>529</v>
      </c>
      <c r="AJ230" s="52" t="s">
        <v>678</v>
      </c>
      <c r="AK230" s="52" t="s">
        <v>530</v>
      </c>
      <c r="AL230" s="52" t="s">
        <v>679</v>
      </c>
      <c r="AM230" s="52" t="s">
        <v>531</v>
      </c>
      <c r="AN230" s="52" t="s">
        <v>680</v>
      </c>
      <c r="AO230" s="52" t="s">
        <v>532</v>
      </c>
      <c r="AP230" s="52" t="s">
        <v>681</v>
      </c>
      <c r="AQ230" s="52" t="s">
        <v>533</v>
      </c>
      <c r="AR230" s="52" t="s">
        <v>682</v>
      </c>
      <c r="AS230" s="52" t="s">
        <v>534</v>
      </c>
      <c r="AT230" s="52" t="s">
        <v>683</v>
      </c>
      <c r="AU230" s="52" t="s">
        <v>1998</v>
      </c>
      <c r="AV230" s="52" t="s">
        <v>2052</v>
      </c>
      <c r="AW230" s="52" t="s">
        <v>2053</v>
      </c>
      <c r="AX230" s="52" t="s">
        <v>2053</v>
      </c>
      <c r="AY230" s="49"/>
      <c r="AZ230" s="49"/>
      <c r="BA230" s="49"/>
    </row>
    <row r="231" spans="2:53" ht="11.25" hidden="1" customHeight="1">
      <c r="B231" s="36" t="s">
        <v>1361</v>
      </c>
      <c r="C231" s="52" t="s">
        <v>2023</v>
      </c>
      <c r="D231" s="52" t="s">
        <v>2023</v>
      </c>
      <c r="E231" s="52" t="s">
        <v>1998</v>
      </c>
      <c r="F231" s="52" t="s">
        <v>2052</v>
      </c>
      <c r="G231" s="52" t="s">
        <v>436</v>
      </c>
      <c r="H231" s="52" t="s">
        <v>1</v>
      </c>
      <c r="I231" s="52" t="s">
        <v>516</v>
      </c>
      <c r="J231" s="52" t="s">
        <v>665</v>
      </c>
      <c r="K231" s="52" t="s">
        <v>517</v>
      </c>
      <c r="L231" s="52" t="s">
        <v>666</v>
      </c>
      <c r="M231" s="52" t="s">
        <v>518</v>
      </c>
      <c r="N231" s="52" t="s">
        <v>667</v>
      </c>
      <c r="O231" s="52" t="s">
        <v>519</v>
      </c>
      <c r="P231" s="52" t="s">
        <v>668</v>
      </c>
      <c r="Q231" s="52" t="s">
        <v>520</v>
      </c>
      <c r="R231" s="52" t="s">
        <v>669</v>
      </c>
      <c r="S231" s="52" t="s">
        <v>521</v>
      </c>
      <c r="T231" s="52" t="s">
        <v>670</v>
      </c>
      <c r="U231" s="52" t="s">
        <v>522</v>
      </c>
      <c r="V231" s="52" t="s">
        <v>671</v>
      </c>
      <c r="W231" s="52" t="s">
        <v>523</v>
      </c>
      <c r="X231" s="52" t="s">
        <v>672</v>
      </c>
      <c r="Y231" s="52" t="s">
        <v>524</v>
      </c>
      <c r="Z231" s="52" t="s">
        <v>673</v>
      </c>
      <c r="AA231" s="52" t="s">
        <v>525</v>
      </c>
      <c r="AB231" s="52" t="s">
        <v>674</v>
      </c>
      <c r="AC231" s="52" t="s">
        <v>526</v>
      </c>
      <c r="AD231" s="52" t="s">
        <v>675</v>
      </c>
      <c r="AE231" s="52" t="s">
        <v>527</v>
      </c>
      <c r="AF231" s="52" t="s">
        <v>676</v>
      </c>
      <c r="AG231" s="52" t="s">
        <v>528</v>
      </c>
      <c r="AH231" s="52" t="s">
        <v>677</v>
      </c>
      <c r="AI231" s="52" t="s">
        <v>529</v>
      </c>
      <c r="AJ231" s="52" t="s">
        <v>678</v>
      </c>
      <c r="AK231" s="52" t="s">
        <v>530</v>
      </c>
      <c r="AL231" s="52" t="s">
        <v>679</v>
      </c>
      <c r="AM231" s="52" t="s">
        <v>531</v>
      </c>
      <c r="AN231" s="52" t="s">
        <v>680</v>
      </c>
      <c r="AO231" s="52" t="s">
        <v>532</v>
      </c>
      <c r="AP231" s="52" t="s">
        <v>681</v>
      </c>
      <c r="AQ231" s="52" t="s">
        <v>533</v>
      </c>
      <c r="AR231" s="52" t="s">
        <v>682</v>
      </c>
      <c r="AS231" s="52" t="s">
        <v>534</v>
      </c>
      <c r="AT231" s="52" t="s">
        <v>683</v>
      </c>
      <c r="AU231" s="52" t="s">
        <v>1998</v>
      </c>
      <c r="AV231" s="52" t="s">
        <v>2052</v>
      </c>
      <c r="AW231" s="52" t="s">
        <v>2053</v>
      </c>
      <c r="AX231" s="52" t="s">
        <v>2053</v>
      </c>
      <c r="AY231" s="49"/>
      <c r="AZ231" s="49"/>
      <c r="BA231" s="49"/>
    </row>
    <row r="232" spans="2:53" ht="11.25" hidden="1" customHeight="1">
      <c r="B232" s="36" t="s">
        <v>1410</v>
      </c>
      <c r="C232" s="52" t="s">
        <v>2023</v>
      </c>
      <c r="D232" s="52" t="s">
        <v>2023</v>
      </c>
      <c r="E232" s="52" t="s">
        <v>1998</v>
      </c>
      <c r="F232" s="52" t="s">
        <v>2052</v>
      </c>
      <c r="G232" s="52" t="s">
        <v>437</v>
      </c>
      <c r="H232" s="52" t="s">
        <v>3</v>
      </c>
      <c r="I232" s="52" t="s">
        <v>535</v>
      </c>
      <c r="J232" s="52" t="s">
        <v>684</v>
      </c>
      <c r="K232" s="52" t="s">
        <v>536</v>
      </c>
      <c r="L232" s="52" t="s">
        <v>685</v>
      </c>
      <c r="M232" s="52" t="s">
        <v>537</v>
      </c>
      <c r="N232" s="52" t="s">
        <v>686</v>
      </c>
      <c r="O232" s="52" t="s">
        <v>538</v>
      </c>
      <c r="P232" s="52" t="s">
        <v>687</v>
      </c>
      <c r="Q232" s="52" t="s">
        <v>539</v>
      </c>
      <c r="R232" s="52" t="s">
        <v>688</v>
      </c>
      <c r="S232" s="52" t="s">
        <v>540</v>
      </c>
      <c r="T232" s="52" t="s">
        <v>689</v>
      </c>
      <c r="U232" s="52" t="s">
        <v>541</v>
      </c>
      <c r="V232" s="52" t="s">
        <v>690</v>
      </c>
      <c r="W232" s="52" t="s">
        <v>542</v>
      </c>
      <c r="X232" s="52" t="s">
        <v>691</v>
      </c>
      <c r="Y232" s="52" t="s">
        <v>543</v>
      </c>
      <c r="Z232" s="52" t="s">
        <v>692</v>
      </c>
      <c r="AA232" s="52" t="s">
        <v>544</v>
      </c>
      <c r="AB232" s="52" t="s">
        <v>693</v>
      </c>
      <c r="AC232" s="52" t="s">
        <v>545</v>
      </c>
      <c r="AD232" s="52" t="s">
        <v>694</v>
      </c>
      <c r="AE232" s="52" t="s">
        <v>546</v>
      </c>
      <c r="AF232" s="52" t="s">
        <v>695</v>
      </c>
      <c r="AG232" s="52" t="s">
        <v>547</v>
      </c>
      <c r="AH232" s="52" t="s">
        <v>696</v>
      </c>
      <c r="AI232" s="52" t="s">
        <v>548</v>
      </c>
      <c r="AJ232" s="52" t="s">
        <v>697</v>
      </c>
      <c r="AK232" s="52" t="s">
        <v>549</v>
      </c>
      <c r="AL232" s="52" t="s">
        <v>698</v>
      </c>
      <c r="AM232" s="52" t="s">
        <v>550</v>
      </c>
      <c r="AN232" s="52" t="s">
        <v>699</v>
      </c>
      <c r="AO232" s="52" t="s">
        <v>551</v>
      </c>
      <c r="AP232" s="52" t="s">
        <v>700</v>
      </c>
      <c r="AQ232" s="52" t="s">
        <v>552</v>
      </c>
      <c r="AR232" s="52" t="s">
        <v>701</v>
      </c>
      <c r="AS232" s="52" t="s">
        <v>553</v>
      </c>
      <c r="AT232" s="52" t="s">
        <v>702</v>
      </c>
      <c r="AU232" s="52" t="s">
        <v>1998</v>
      </c>
      <c r="AV232" s="52" t="s">
        <v>2052</v>
      </c>
      <c r="AW232" s="52" t="s">
        <v>2053</v>
      </c>
      <c r="AX232" s="52" t="s">
        <v>2053</v>
      </c>
      <c r="AY232" s="49"/>
      <c r="AZ232" s="49"/>
      <c r="BA232" s="49"/>
    </row>
    <row r="233" spans="2:53" ht="11.25" hidden="1" customHeight="1">
      <c r="B233" s="36" t="s">
        <v>1459</v>
      </c>
      <c r="C233" s="52" t="s">
        <v>2023</v>
      </c>
      <c r="D233" s="52" t="s">
        <v>2023</v>
      </c>
      <c r="E233" s="52" t="s">
        <v>1998</v>
      </c>
      <c r="F233" s="52" t="s">
        <v>2052</v>
      </c>
      <c r="G233" s="52" t="s">
        <v>437</v>
      </c>
      <c r="H233" s="52" t="s">
        <v>3</v>
      </c>
      <c r="I233" s="52" t="s">
        <v>535</v>
      </c>
      <c r="J233" s="52" t="s">
        <v>684</v>
      </c>
      <c r="K233" s="52" t="s">
        <v>536</v>
      </c>
      <c r="L233" s="52" t="s">
        <v>685</v>
      </c>
      <c r="M233" s="52" t="s">
        <v>537</v>
      </c>
      <c r="N233" s="52" t="s">
        <v>686</v>
      </c>
      <c r="O233" s="52" t="s">
        <v>538</v>
      </c>
      <c r="P233" s="52" t="s">
        <v>687</v>
      </c>
      <c r="Q233" s="52" t="s">
        <v>539</v>
      </c>
      <c r="R233" s="52" t="s">
        <v>688</v>
      </c>
      <c r="S233" s="52" t="s">
        <v>540</v>
      </c>
      <c r="T233" s="52" t="s">
        <v>689</v>
      </c>
      <c r="U233" s="52" t="s">
        <v>541</v>
      </c>
      <c r="V233" s="52" t="s">
        <v>690</v>
      </c>
      <c r="W233" s="52" t="s">
        <v>542</v>
      </c>
      <c r="X233" s="52" t="s">
        <v>691</v>
      </c>
      <c r="Y233" s="52" t="s">
        <v>543</v>
      </c>
      <c r="Z233" s="52" t="s">
        <v>692</v>
      </c>
      <c r="AA233" s="52" t="s">
        <v>544</v>
      </c>
      <c r="AB233" s="52" t="s">
        <v>693</v>
      </c>
      <c r="AC233" s="52" t="s">
        <v>545</v>
      </c>
      <c r="AD233" s="52" t="s">
        <v>694</v>
      </c>
      <c r="AE233" s="52" t="s">
        <v>546</v>
      </c>
      <c r="AF233" s="52" t="s">
        <v>695</v>
      </c>
      <c r="AG233" s="52" t="s">
        <v>547</v>
      </c>
      <c r="AH233" s="52" t="s">
        <v>696</v>
      </c>
      <c r="AI233" s="52" t="s">
        <v>548</v>
      </c>
      <c r="AJ233" s="52" t="s">
        <v>697</v>
      </c>
      <c r="AK233" s="52" t="s">
        <v>549</v>
      </c>
      <c r="AL233" s="52" t="s">
        <v>698</v>
      </c>
      <c r="AM233" s="52" t="s">
        <v>550</v>
      </c>
      <c r="AN233" s="52" t="s">
        <v>699</v>
      </c>
      <c r="AO233" s="52" t="s">
        <v>551</v>
      </c>
      <c r="AP233" s="52" t="s">
        <v>700</v>
      </c>
      <c r="AQ233" s="52" t="s">
        <v>552</v>
      </c>
      <c r="AR233" s="52" t="s">
        <v>701</v>
      </c>
      <c r="AS233" s="52" t="s">
        <v>553</v>
      </c>
      <c r="AT233" s="52" t="s">
        <v>702</v>
      </c>
      <c r="AU233" s="52" t="s">
        <v>1998</v>
      </c>
      <c r="AV233" s="52" t="s">
        <v>2052</v>
      </c>
      <c r="AW233" s="52" t="s">
        <v>2053</v>
      </c>
      <c r="AX233" s="52" t="s">
        <v>2053</v>
      </c>
      <c r="AY233" s="49"/>
      <c r="AZ233" s="49"/>
      <c r="BA233" s="49"/>
    </row>
    <row r="234" spans="2:53" ht="11.25" hidden="1" customHeight="1">
      <c r="B234" s="36" t="s">
        <v>1508</v>
      </c>
      <c r="C234" s="52" t="s">
        <v>2023</v>
      </c>
      <c r="D234" s="52" t="s">
        <v>2023</v>
      </c>
      <c r="E234" s="52" t="s">
        <v>1998</v>
      </c>
      <c r="F234" s="52" t="s">
        <v>2052</v>
      </c>
      <c r="G234" s="52" t="s">
        <v>437</v>
      </c>
      <c r="H234" s="52" t="s">
        <v>3</v>
      </c>
      <c r="I234" s="52" t="s">
        <v>535</v>
      </c>
      <c r="J234" s="52" t="s">
        <v>684</v>
      </c>
      <c r="K234" s="52" t="s">
        <v>536</v>
      </c>
      <c r="L234" s="52" t="s">
        <v>685</v>
      </c>
      <c r="M234" s="52" t="s">
        <v>537</v>
      </c>
      <c r="N234" s="52" t="s">
        <v>686</v>
      </c>
      <c r="O234" s="52" t="s">
        <v>538</v>
      </c>
      <c r="P234" s="52" t="s">
        <v>687</v>
      </c>
      <c r="Q234" s="52" t="s">
        <v>539</v>
      </c>
      <c r="R234" s="52" t="s">
        <v>688</v>
      </c>
      <c r="S234" s="52" t="s">
        <v>540</v>
      </c>
      <c r="T234" s="52" t="s">
        <v>689</v>
      </c>
      <c r="U234" s="52" t="s">
        <v>541</v>
      </c>
      <c r="V234" s="52" t="s">
        <v>690</v>
      </c>
      <c r="W234" s="52" t="s">
        <v>542</v>
      </c>
      <c r="X234" s="52" t="s">
        <v>691</v>
      </c>
      <c r="Y234" s="52" t="s">
        <v>543</v>
      </c>
      <c r="Z234" s="52" t="s">
        <v>692</v>
      </c>
      <c r="AA234" s="52" t="s">
        <v>544</v>
      </c>
      <c r="AB234" s="52" t="s">
        <v>693</v>
      </c>
      <c r="AC234" s="52" t="s">
        <v>545</v>
      </c>
      <c r="AD234" s="52" t="s">
        <v>694</v>
      </c>
      <c r="AE234" s="52" t="s">
        <v>546</v>
      </c>
      <c r="AF234" s="52" t="s">
        <v>695</v>
      </c>
      <c r="AG234" s="52" t="s">
        <v>547</v>
      </c>
      <c r="AH234" s="52" t="s">
        <v>696</v>
      </c>
      <c r="AI234" s="52" t="s">
        <v>548</v>
      </c>
      <c r="AJ234" s="52" t="s">
        <v>697</v>
      </c>
      <c r="AK234" s="52" t="s">
        <v>549</v>
      </c>
      <c r="AL234" s="52" t="s">
        <v>698</v>
      </c>
      <c r="AM234" s="52" t="s">
        <v>550</v>
      </c>
      <c r="AN234" s="52" t="s">
        <v>699</v>
      </c>
      <c r="AO234" s="52" t="s">
        <v>551</v>
      </c>
      <c r="AP234" s="52" t="s">
        <v>700</v>
      </c>
      <c r="AQ234" s="52" t="s">
        <v>552</v>
      </c>
      <c r="AR234" s="52" t="s">
        <v>701</v>
      </c>
      <c r="AS234" s="52" t="s">
        <v>553</v>
      </c>
      <c r="AT234" s="52" t="s">
        <v>702</v>
      </c>
      <c r="AU234" s="52" t="s">
        <v>1998</v>
      </c>
      <c r="AV234" s="52" t="s">
        <v>2052</v>
      </c>
      <c r="AW234" s="52" t="s">
        <v>2053</v>
      </c>
      <c r="AX234" s="52" t="s">
        <v>2053</v>
      </c>
      <c r="AY234" s="49"/>
      <c r="AZ234" s="49"/>
      <c r="BA234" s="49"/>
    </row>
    <row r="235" spans="2:53" ht="11.25" hidden="1" customHeight="1">
      <c r="B235" s="36" t="s">
        <v>1557</v>
      </c>
      <c r="C235" s="52" t="s">
        <v>2023</v>
      </c>
      <c r="D235" s="52" t="s">
        <v>2023</v>
      </c>
      <c r="E235" s="52" t="s">
        <v>1998</v>
      </c>
      <c r="F235" s="52" t="s">
        <v>2052</v>
      </c>
      <c r="G235" s="52" t="s">
        <v>437</v>
      </c>
      <c r="H235" s="52" t="s">
        <v>3</v>
      </c>
      <c r="I235" s="52" t="s">
        <v>535</v>
      </c>
      <c r="J235" s="52" t="s">
        <v>684</v>
      </c>
      <c r="K235" s="52" t="s">
        <v>536</v>
      </c>
      <c r="L235" s="52" t="s">
        <v>685</v>
      </c>
      <c r="M235" s="52" t="s">
        <v>537</v>
      </c>
      <c r="N235" s="52" t="s">
        <v>686</v>
      </c>
      <c r="O235" s="52" t="s">
        <v>538</v>
      </c>
      <c r="P235" s="52" t="s">
        <v>687</v>
      </c>
      <c r="Q235" s="52" t="s">
        <v>539</v>
      </c>
      <c r="R235" s="52" t="s">
        <v>688</v>
      </c>
      <c r="S235" s="52" t="s">
        <v>540</v>
      </c>
      <c r="T235" s="52" t="s">
        <v>689</v>
      </c>
      <c r="U235" s="52" t="s">
        <v>541</v>
      </c>
      <c r="V235" s="52" t="s">
        <v>690</v>
      </c>
      <c r="W235" s="52" t="s">
        <v>542</v>
      </c>
      <c r="X235" s="52" t="s">
        <v>691</v>
      </c>
      <c r="Y235" s="52" t="s">
        <v>543</v>
      </c>
      <c r="Z235" s="52" t="s">
        <v>692</v>
      </c>
      <c r="AA235" s="52" t="s">
        <v>544</v>
      </c>
      <c r="AB235" s="52" t="s">
        <v>693</v>
      </c>
      <c r="AC235" s="52" t="s">
        <v>545</v>
      </c>
      <c r="AD235" s="52" t="s">
        <v>694</v>
      </c>
      <c r="AE235" s="52" t="s">
        <v>546</v>
      </c>
      <c r="AF235" s="52" t="s">
        <v>695</v>
      </c>
      <c r="AG235" s="52" t="s">
        <v>547</v>
      </c>
      <c r="AH235" s="52" t="s">
        <v>696</v>
      </c>
      <c r="AI235" s="52" t="s">
        <v>548</v>
      </c>
      <c r="AJ235" s="52" t="s">
        <v>697</v>
      </c>
      <c r="AK235" s="52" t="s">
        <v>549</v>
      </c>
      <c r="AL235" s="52" t="s">
        <v>698</v>
      </c>
      <c r="AM235" s="52" t="s">
        <v>550</v>
      </c>
      <c r="AN235" s="52" t="s">
        <v>699</v>
      </c>
      <c r="AO235" s="52" t="s">
        <v>551</v>
      </c>
      <c r="AP235" s="52" t="s">
        <v>700</v>
      </c>
      <c r="AQ235" s="52" t="s">
        <v>552</v>
      </c>
      <c r="AR235" s="52" t="s">
        <v>701</v>
      </c>
      <c r="AS235" s="52" t="s">
        <v>553</v>
      </c>
      <c r="AT235" s="52" t="s">
        <v>702</v>
      </c>
      <c r="AU235" s="52" t="s">
        <v>1998</v>
      </c>
      <c r="AV235" s="52" t="s">
        <v>2052</v>
      </c>
      <c r="AW235" s="52" t="s">
        <v>2053</v>
      </c>
      <c r="AX235" s="52" t="s">
        <v>2053</v>
      </c>
      <c r="AY235" s="49"/>
      <c r="AZ235" s="49"/>
      <c r="BA235" s="49"/>
    </row>
    <row r="236" spans="2:53" ht="11.25" hidden="1" customHeight="1">
      <c r="B236" s="36" t="s">
        <v>1606</v>
      </c>
      <c r="C236" s="52" t="s">
        <v>2023</v>
      </c>
      <c r="D236" s="52" t="s">
        <v>2023</v>
      </c>
      <c r="E236" s="52" t="s">
        <v>1998</v>
      </c>
      <c r="F236" s="52" t="s">
        <v>2052</v>
      </c>
      <c r="G236" s="52" t="s">
        <v>438</v>
      </c>
      <c r="H236" s="52" t="s">
        <v>5</v>
      </c>
      <c r="I236" s="52" t="s">
        <v>554</v>
      </c>
      <c r="J236" s="52" t="s">
        <v>703</v>
      </c>
      <c r="K236" s="52" t="s">
        <v>555</v>
      </c>
      <c r="L236" s="52" t="s">
        <v>704</v>
      </c>
      <c r="M236" s="52" t="s">
        <v>556</v>
      </c>
      <c r="N236" s="52" t="s">
        <v>705</v>
      </c>
      <c r="O236" s="52" t="s">
        <v>557</v>
      </c>
      <c r="P236" s="52" t="s">
        <v>706</v>
      </c>
      <c r="Q236" s="52" t="s">
        <v>558</v>
      </c>
      <c r="R236" s="52" t="s">
        <v>707</v>
      </c>
      <c r="S236" s="52" t="s">
        <v>559</v>
      </c>
      <c r="T236" s="52" t="s">
        <v>708</v>
      </c>
      <c r="U236" s="52" t="s">
        <v>560</v>
      </c>
      <c r="V236" s="52" t="s">
        <v>709</v>
      </c>
      <c r="W236" s="52" t="s">
        <v>561</v>
      </c>
      <c r="X236" s="52" t="s">
        <v>710</v>
      </c>
      <c r="Y236" s="52" t="s">
        <v>562</v>
      </c>
      <c r="Z236" s="52" t="s">
        <v>711</v>
      </c>
      <c r="AA236" s="52" t="s">
        <v>563</v>
      </c>
      <c r="AB236" s="52" t="s">
        <v>712</v>
      </c>
      <c r="AC236" s="52" t="s">
        <v>564</v>
      </c>
      <c r="AD236" s="52" t="s">
        <v>713</v>
      </c>
      <c r="AE236" s="52" t="s">
        <v>565</v>
      </c>
      <c r="AF236" s="52" t="s">
        <v>714</v>
      </c>
      <c r="AG236" s="52" t="s">
        <v>566</v>
      </c>
      <c r="AH236" s="52" t="s">
        <v>715</v>
      </c>
      <c r="AI236" s="52" t="s">
        <v>567</v>
      </c>
      <c r="AJ236" s="52" t="s">
        <v>716</v>
      </c>
      <c r="AK236" s="52" t="s">
        <v>568</v>
      </c>
      <c r="AL236" s="52" t="s">
        <v>717</v>
      </c>
      <c r="AM236" s="52" t="s">
        <v>569</v>
      </c>
      <c r="AN236" s="52" t="s">
        <v>718</v>
      </c>
      <c r="AO236" s="52" t="s">
        <v>570</v>
      </c>
      <c r="AP236" s="52" t="s">
        <v>719</v>
      </c>
      <c r="AQ236" s="52" t="s">
        <v>571</v>
      </c>
      <c r="AR236" s="52" t="s">
        <v>720</v>
      </c>
      <c r="AS236" s="52" t="s">
        <v>572</v>
      </c>
      <c r="AT236" s="52" t="s">
        <v>721</v>
      </c>
      <c r="AU236" s="52" t="s">
        <v>1998</v>
      </c>
      <c r="AV236" s="52" t="s">
        <v>2052</v>
      </c>
      <c r="AW236" s="52" t="s">
        <v>2053</v>
      </c>
      <c r="AX236" s="52" t="s">
        <v>2053</v>
      </c>
      <c r="AY236" s="49"/>
      <c r="AZ236" s="49"/>
      <c r="BA236" s="49"/>
    </row>
    <row r="237" spans="2:53" ht="11.25" hidden="1" customHeight="1">
      <c r="B237" s="36" t="s">
        <v>1655</v>
      </c>
      <c r="C237" s="52" t="s">
        <v>2023</v>
      </c>
      <c r="D237" s="52" t="s">
        <v>2023</v>
      </c>
      <c r="E237" s="52" t="s">
        <v>1998</v>
      </c>
      <c r="F237" s="52" t="s">
        <v>2052</v>
      </c>
      <c r="G237" s="52" t="s">
        <v>438</v>
      </c>
      <c r="H237" s="52" t="s">
        <v>5</v>
      </c>
      <c r="I237" s="52" t="s">
        <v>554</v>
      </c>
      <c r="J237" s="52" t="s">
        <v>703</v>
      </c>
      <c r="K237" s="52" t="s">
        <v>555</v>
      </c>
      <c r="L237" s="52" t="s">
        <v>704</v>
      </c>
      <c r="M237" s="52" t="s">
        <v>556</v>
      </c>
      <c r="N237" s="52" t="s">
        <v>705</v>
      </c>
      <c r="O237" s="52" t="s">
        <v>557</v>
      </c>
      <c r="P237" s="52" t="s">
        <v>706</v>
      </c>
      <c r="Q237" s="52" t="s">
        <v>558</v>
      </c>
      <c r="R237" s="52" t="s">
        <v>707</v>
      </c>
      <c r="S237" s="52" t="s">
        <v>559</v>
      </c>
      <c r="T237" s="52" t="s">
        <v>708</v>
      </c>
      <c r="U237" s="52" t="s">
        <v>560</v>
      </c>
      <c r="V237" s="52" t="s">
        <v>709</v>
      </c>
      <c r="W237" s="52" t="s">
        <v>561</v>
      </c>
      <c r="X237" s="52" t="s">
        <v>710</v>
      </c>
      <c r="Y237" s="52" t="s">
        <v>562</v>
      </c>
      <c r="Z237" s="52" t="s">
        <v>711</v>
      </c>
      <c r="AA237" s="52" t="s">
        <v>563</v>
      </c>
      <c r="AB237" s="52" t="s">
        <v>712</v>
      </c>
      <c r="AC237" s="52" t="s">
        <v>564</v>
      </c>
      <c r="AD237" s="52" t="s">
        <v>713</v>
      </c>
      <c r="AE237" s="52" t="s">
        <v>565</v>
      </c>
      <c r="AF237" s="52" t="s">
        <v>714</v>
      </c>
      <c r="AG237" s="52" t="s">
        <v>566</v>
      </c>
      <c r="AH237" s="52" t="s">
        <v>715</v>
      </c>
      <c r="AI237" s="52" t="s">
        <v>567</v>
      </c>
      <c r="AJ237" s="52" t="s">
        <v>716</v>
      </c>
      <c r="AK237" s="52" t="s">
        <v>568</v>
      </c>
      <c r="AL237" s="52" t="s">
        <v>717</v>
      </c>
      <c r="AM237" s="52" t="s">
        <v>569</v>
      </c>
      <c r="AN237" s="52" t="s">
        <v>718</v>
      </c>
      <c r="AO237" s="52" t="s">
        <v>570</v>
      </c>
      <c r="AP237" s="52" t="s">
        <v>719</v>
      </c>
      <c r="AQ237" s="52" t="s">
        <v>571</v>
      </c>
      <c r="AR237" s="52" t="s">
        <v>720</v>
      </c>
      <c r="AS237" s="52" t="s">
        <v>572</v>
      </c>
      <c r="AT237" s="52" t="s">
        <v>721</v>
      </c>
      <c r="AU237" s="52" t="s">
        <v>1998</v>
      </c>
      <c r="AV237" s="52" t="s">
        <v>2052</v>
      </c>
      <c r="AW237" s="52" t="s">
        <v>2053</v>
      </c>
      <c r="AX237" s="52" t="s">
        <v>2053</v>
      </c>
      <c r="AY237" s="49"/>
      <c r="AZ237" s="49"/>
      <c r="BA237" s="49"/>
    </row>
    <row r="238" spans="2:53" ht="11.25" hidden="1" customHeight="1">
      <c r="B238" s="36" t="s">
        <v>1704</v>
      </c>
      <c r="C238" s="52" t="s">
        <v>2023</v>
      </c>
      <c r="D238" s="52" t="s">
        <v>2023</v>
      </c>
      <c r="E238" s="52" t="s">
        <v>1998</v>
      </c>
      <c r="F238" s="52" t="s">
        <v>2052</v>
      </c>
      <c r="G238" s="52" t="s">
        <v>438</v>
      </c>
      <c r="H238" s="52" t="s">
        <v>5</v>
      </c>
      <c r="I238" s="52" t="s">
        <v>554</v>
      </c>
      <c r="J238" s="52" t="s">
        <v>703</v>
      </c>
      <c r="K238" s="52" t="s">
        <v>555</v>
      </c>
      <c r="L238" s="52" t="s">
        <v>704</v>
      </c>
      <c r="M238" s="52" t="s">
        <v>556</v>
      </c>
      <c r="N238" s="52" t="s">
        <v>705</v>
      </c>
      <c r="O238" s="52" t="s">
        <v>557</v>
      </c>
      <c r="P238" s="52" t="s">
        <v>706</v>
      </c>
      <c r="Q238" s="52" t="s">
        <v>558</v>
      </c>
      <c r="R238" s="52" t="s">
        <v>707</v>
      </c>
      <c r="S238" s="52" t="s">
        <v>559</v>
      </c>
      <c r="T238" s="52" t="s">
        <v>708</v>
      </c>
      <c r="U238" s="52" t="s">
        <v>560</v>
      </c>
      <c r="V238" s="52" t="s">
        <v>709</v>
      </c>
      <c r="W238" s="52" t="s">
        <v>561</v>
      </c>
      <c r="X238" s="52" t="s">
        <v>710</v>
      </c>
      <c r="Y238" s="52" t="s">
        <v>562</v>
      </c>
      <c r="Z238" s="52" t="s">
        <v>711</v>
      </c>
      <c r="AA238" s="52" t="s">
        <v>563</v>
      </c>
      <c r="AB238" s="52" t="s">
        <v>712</v>
      </c>
      <c r="AC238" s="52" t="s">
        <v>564</v>
      </c>
      <c r="AD238" s="52" t="s">
        <v>713</v>
      </c>
      <c r="AE238" s="52" t="s">
        <v>565</v>
      </c>
      <c r="AF238" s="52" t="s">
        <v>714</v>
      </c>
      <c r="AG238" s="52" t="s">
        <v>566</v>
      </c>
      <c r="AH238" s="52" t="s">
        <v>715</v>
      </c>
      <c r="AI238" s="52" t="s">
        <v>567</v>
      </c>
      <c r="AJ238" s="52" t="s">
        <v>716</v>
      </c>
      <c r="AK238" s="52" t="s">
        <v>568</v>
      </c>
      <c r="AL238" s="52" t="s">
        <v>717</v>
      </c>
      <c r="AM238" s="52" t="s">
        <v>569</v>
      </c>
      <c r="AN238" s="52" t="s">
        <v>718</v>
      </c>
      <c r="AO238" s="52" t="s">
        <v>570</v>
      </c>
      <c r="AP238" s="52" t="s">
        <v>719</v>
      </c>
      <c r="AQ238" s="52" t="s">
        <v>571</v>
      </c>
      <c r="AR238" s="52" t="s">
        <v>720</v>
      </c>
      <c r="AS238" s="52" t="s">
        <v>572</v>
      </c>
      <c r="AT238" s="52" t="s">
        <v>721</v>
      </c>
      <c r="AU238" s="52" t="s">
        <v>1998</v>
      </c>
      <c r="AV238" s="52" t="s">
        <v>2052</v>
      </c>
      <c r="AW238" s="52" t="s">
        <v>2053</v>
      </c>
      <c r="AX238" s="52" t="s">
        <v>2053</v>
      </c>
      <c r="AY238" s="49"/>
      <c r="AZ238" s="49"/>
      <c r="BA238" s="49"/>
    </row>
    <row r="239" spans="2:53" ht="11.25" hidden="1" customHeight="1">
      <c r="B239" s="36" t="s">
        <v>1753</v>
      </c>
      <c r="C239" s="52" t="s">
        <v>2023</v>
      </c>
      <c r="D239" s="52" t="s">
        <v>2023</v>
      </c>
      <c r="E239" s="52" t="s">
        <v>1998</v>
      </c>
      <c r="F239" s="52" t="s">
        <v>2052</v>
      </c>
      <c r="G239" s="52" t="s">
        <v>438</v>
      </c>
      <c r="H239" s="52" t="s">
        <v>5</v>
      </c>
      <c r="I239" s="52" t="s">
        <v>554</v>
      </c>
      <c r="J239" s="52" t="s">
        <v>703</v>
      </c>
      <c r="K239" s="52" t="s">
        <v>555</v>
      </c>
      <c r="L239" s="52" t="s">
        <v>704</v>
      </c>
      <c r="M239" s="52" t="s">
        <v>556</v>
      </c>
      <c r="N239" s="52" t="s">
        <v>705</v>
      </c>
      <c r="O239" s="52" t="s">
        <v>557</v>
      </c>
      <c r="P239" s="52" t="s">
        <v>706</v>
      </c>
      <c r="Q239" s="52" t="s">
        <v>558</v>
      </c>
      <c r="R239" s="52" t="s">
        <v>707</v>
      </c>
      <c r="S239" s="52" t="s">
        <v>559</v>
      </c>
      <c r="T239" s="52" t="s">
        <v>708</v>
      </c>
      <c r="U239" s="52" t="s">
        <v>560</v>
      </c>
      <c r="V239" s="52" t="s">
        <v>709</v>
      </c>
      <c r="W239" s="52" t="s">
        <v>561</v>
      </c>
      <c r="X239" s="52" t="s">
        <v>710</v>
      </c>
      <c r="Y239" s="52" t="s">
        <v>562</v>
      </c>
      <c r="Z239" s="52" t="s">
        <v>711</v>
      </c>
      <c r="AA239" s="52" t="s">
        <v>563</v>
      </c>
      <c r="AB239" s="52" t="s">
        <v>712</v>
      </c>
      <c r="AC239" s="52" t="s">
        <v>564</v>
      </c>
      <c r="AD239" s="52" t="s">
        <v>713</v>
      </c>
      <c r="AE239" s="52" t="s">
        <v>565</v>
      </c>
      <c r="AF239" s="52" t="s">
        <v>714</v>
      </c>
      <c r="AG239" s="52" t="s">
        <v>566</v>
      </c>
      <c r="AH239" s="52" t="s">
        <v>715</v>
      </c>
      <c r="AI239" s="52" t="s">
        <v>567</v>
      </c>
      <c r="AJ239" s="52" t="s">
        <v>716</v>
      </c>
      <c r="AK239" s="52" t="s">
        <v>568</v>
      </c>
      <c r="AL239" s="52" t="s">
        <v>717</v>
      </c>
      <c r="AM239" s="52" t="s">
        <v>569</v>
      </c>
      <c r="AN239" s="52" t="s">
        <v>718</v>
      </c>
      <c r="AO239" s="52" t="s">
        <v>570</v>
      </c>
      <c r="AP239" s="52" t="s">
        <v>719</v>
      </c>
      <c r="AQ239" s="52" t="s">
        <v>571</v>
      </c>
      <c r="AR239" s="52" t="s">
        <v>720</v>
      </c>
      <c r="AS239" s="52" t="s">
        <v>572</v>
      </c>
      <c r="AT239" s="52" t="s">
        <v>721</v>
      </c>
      <c r="AU239" s="52" t="s">
        <v>1998</v>
      </c>
      <c r="AV239" s="52" t="s">
        <v>2052</v>
      </c>
      <c r="AW239" s="52" t="s">
        <v>2053</v>
      </c>
      <c r="AX239" s="52" t="s">
        <v>2053</v>
      </c>
      <c r="AY239" s="49"/>
      <c r="AZ239" s="49"/>
      <c r="BA239" s="49"/>
    </row>
    <row r="240" spans="2:53" ht="11.25" hidden="1" customHeight="1">
      <c r="B240" s="36" t="s">
        <v>1802</v>
      </c>
      <c r="C240" s="52" t="s">
        <v>2023</v>
      </c>
      <c r="D240" s="52" t="s">
        <v>2023</v>
      </c>
      <c r="E240" s="52" t="s">
        <v>1998</v>
      </c>
      <c r="F240" s="52" t="s">
        <v>2052</v>
      </c>
      <c r="G240" s="52" t="s">
        <v>439</v>
      </c>
      <c r="H240" s="52" t="s">
        <v>7</v>
      </c>
      <c r="I240" s="52" t="s">
        <v>573</v>
      </c>
      <c r="J240" s="52" t="s">
        <v>722</v>
      </c>
      <c r="K240" s="52" t="s">
        <v>574</v>
      </c>
      <c r="L240" s="52" t="s">
        <v>723</v>
      </c>
      <c r="M240" s="52" t="s">
        <v>575</v>
      </c>
      <c r="N240" s="52" t="s">
        <v>724</v>
      </c>
      <c r="O240" s="52" t="s">
        <v>576</v>
      </c>
      <c r="P240" s="52" t="s">
        <v>725</v>
      </c>
      <c r="Q240" s="52" t="s">
        <v>577</v>
      </c>
      <c r="R240" s="52" t="s">
        <v>726</v>
      </c>
      <c r="S240" s="52" t="s">
        <v>578</v>
      </c>
      <c r="T240" s="52" t="s">
        <v>727</v>
      </c>
      <c r="U240" s="52" t="s">
        <v>579</v>
      </c>
      <c r="V240" s="52" t="s">
        <v>728</v>
      </c>
      <c r="W240" s="52" t="s">
        <v>580</v>
      </c>
      <c r="X240" s="52" t="s">
        <v>729</v>
      </c>
      <c r="Y240" s="52" t="s">
        <v>748</v>
      </c>
      <c r="Z240" s="52" t="s">
        <v>730</v>
      </c>
      <c r="AA240" s="52" t="s">
        <v>581</v>
      </c>
      <c r="AB240" s="52" t="s">
        <v>731</v>
      </c>
      <c r="AC240" s="52" t="s">
        <v>582</v>
      </c>
      <c r="AD240" s="52" t="s">
        <v>732</v>
      </c>
      <c r="AE240" s="52" t="s">
        <v>583</v>
      </c>
      <c r="AF240" s="52" t="s">
        <v>733</v>
      </c>
      <c r="AG240" s="52" t="s">
        <v>584</v>
      </c>
      <c r="AH240" s="52" t="s">
        <v>734</v>
      </c>
      <c r="AI240" s="52" t="s">
        <v>585</v>
      </c>
      <c r="AJ240" s="52" t="s">
        <v>735</v>
      </c>
      <c r="AK240" s="52" t="s">
        <v>586</v>
      </c>
      <c r="AL240" s="52" t="s">
        <v>736</v>
      </c>
      <c r="AM240" s="52" t="s">
        <v>587</v>
      </c>
      <c r="AN240" s="52" t="s">
        <v>737</v>
      </c>
      <c r="AO240" s="52" t="s">
        <v>588</v>
      </c>
      <c r="AP240" s="52" t="s">
        <v>738</v>
      </c>
      <c r="AQ240" s="52" t="s">
        <v>589</v>
      </c>
      <c r="AR240" s="52" t="s">
        <v>739</v>
      </c>
      <c r="AS240" s="52" t="s">
        <v>590</v>
      </c>
      <c r="AT240" s="52" t="s">
        <v>740</v>
      </c>
      <c r="AU240" s="52" t="s">
        <v>1998</v>
      </c>
      <c r="AV240" s="52" t="s">
        <v>2052</v>
      </c>
      <c r="AW240" s="52" t="s">
        <v>2053</v>
      </c>
      <c r="AX240" s="52" t="s">
        <v>2053</v>
      </c>
      <c r="AY240" s="49"/>
      <c r="AZ240" s="49"/>
      <c r="BA240" s="49"/>
    </row>
    <row r="241" spans="1:53" ht="11.25" hidden="1" customHeight="1">
      <c r="B241" s="36" t="s">
        <v>1851</v>
      </c>
      <c r="C241" s="52" t="s">
        <v>2023</v>
      </c>
      <c r="D241" s="52" t="s">
        <v>2023</v>
      </c>
      <c r="E241" s="52" t="s">
        <v>1998</v>
      </c>
      <c r="F241" s="52" t="s">
        <v>2052</v>
      </c>
      <c r="G241" s="52" t="s">
        <v>439</v>
      </c>
      <c r="H241" s="52" t="s">
        <v>7</v>
      </c>
      <c r="I241" s="52" t="s">
        <v>573</v>
      </c>
      <c r="J241" s="52" t="s">
        <v>722</v>
      </c>
      <c r="K241" s="52" t="s">
        <v>574</v>
      </c>
      <c r="L241" s="52" t="s">
        <v>723</v>
      </c>
      <c r="M241" s="52" t="s">
        <v>575</v>
      </c>
      <c r="N241" s="52" t="s">
        <v>724</v>
      </c>
      <c r="O241" s="52" t="s">
        <v>576</v>
      </c>
      <c r="P241" s="52" t="s">
        <v>725</v>
      </c>
      <c r="Q241" s="52" t="s">
        <v>577</v>
      </c>
      <c r="R241" s="52" t="s">
        <v>726</v>
      </c>
      <c r="S241" s="52" t="s">
        <v>578</v>
      </c>
      <c r="T241" s="52" t="s">
        <v>727</v>
      </c>
      <c r="U241" s="52" t="s">
        <v>579</v>
      </c>
      <c r="V241" s="52" t="s">
        <v>728</v>
      </c>
      <c r="W241" s="52" t="s">
        <v>580</v>
      </c>
      <c r="X241" s="52" t="s">
        <v>729</v>
      </c>
      <c r="Y241" s="52" t="s">
        <v>748</v>
      </c>
      <c r="Z241" s="52" t="s">
        <v>730</v>
      </c>
      <c r="AA241" s="52" t="s">
        <v>581</v>
      </c>
      <c r="AB241" s="52" t="s">
        <v>731</v>
      </c>
      <c r="AC241" s="52" t="s">
        <v>582</v>
      </c>
      <c r="AD241" s="52" t="s">
        <v>732</v>
      </c>
      <c r="AE241" s="52" t="s">
        <v>583</v>
      </c>
      <c r="AF241" s="52" t="s">
        <v>733</v>
      </c>
      <c r="AG241" s="52" t="s">
        <v>584</v>
      </c>
      <c r="AH241" s="52" t="s">
        <v>734</v>
      </c>
      <c r="AI241" s="52" t="s">
        <v>585</v>
      </c>
      <c r="AJ241" s="52" t="s">
        <v>735</v>
      </c>
      <c r="AK241" s="52" t="s">
        <v>586</v>
      </c>
      <c r="AL241" s="52" t="s">
        <v>736</v>
      </c>
      <c r="AM241" s="52" t="s">
        <v>587</v>
      </c>
      <c r="AN241" s="52" t="s">
        <v>737</v>
      </c>
      <c r="AO241" s="52" t="s">
        <v>588</v>
      </c>
      <c r="AP241" s="52" t="s">
        <v>738</v>
      </c>
      <c r="AQ241" s="52" t="s">
        <v>589</v>
      </c>
      <c r="AR241" s="52" t="s">
        <v>739</v>
      </c>
      <c r="AS241" s="52" t="s">
        <v>590</v>
      </c>
      <c r="AT241" s="52" t="s">
        <v>740</v>
      </c>
      <c r="AU241" s="52" t="s">
        <v>1998</v>
      </c>
      <c r="AV241" s="52" t="s">
        <v>2052</v>
      </c>
      <c r="AW241" s="52" t="s">
        <v>2053</v>
      </c>
      <c r="AX241" s="52" t="s">
        <v>2053</v>
      </c>
      <c r="AY241" s="49"/>
      <c r="AZ241" s="49"/>
      <c r="BA241" s="49"/>
    </row>
    <row r="242" spans="1:53" ht="11.25" hidden="1" customHeight="1">
      <c r="B242" s="36" t="s">
        <v>1900</v>
      </c>
      <c r="C242" s="52" t="s">
        <v>2023</v>
      </c>
      <c r="D242" s="52" t="s">
        <v>2023</v>
      </c>
      <c r="E242" s="52" t="s">
        <v>1998</v>
      </c>
      <c r="F242" s="52" t="s">
        <v>2052</v>
      </c>
      <c r="G242" s="52" t="s">
        <v>439</v>
      </c>
      <c r="H242" s="52" t="s">
        <v>7</v>
      </c>
      <c r="I242" s="52" t="s">
        <v>573</v>
      </c>
      <c r="J242" s="52" t="s">
        <v>722</v>
      </c>
      <c r="K242" s="52" t="s">
        <v>574</v>
      </c>
      <c r="L242" s="52" t="s">
        <v>723</v>
      </c>
      <c r="M242" s="52" t="s">
        <v>575</v>
      </c>
      <c r="N242" s="52" t="s">
        <v>724</v>
      </c>
      <c r="O242" s="52" t="s">
        <v>576</v>
      </c>
      <c r="P242" s="52" t="s">
        <v>725</v>
      </c>
      <c r="Q242" s="52" t="s">
        <v>577</v>
      </c>
      <c r="R242" s="52" t="s">
        <v>726</v>
      </c>
      <c r="S242" s="52" t="s">
        <v>578</v>
      </c>
      <c r="T242" s="52" t="s">
        <v>727</v>
      </c>
      <c r="U242" s="52" t="s">
        <v>579</v>
      </c>
      <c r="V242" s="52" t="s">
        <v>728</v>
      </c>
      <c r="W242" s="52" t="s">
        <v>580</v>
      </c>
      <c r="X242" s="52" t="s">
        <v>729</v>
      </c>
      <c r="Y242" s="52" t="s">
        <v>748</v>
      </c>
      <c r="Z242" s="52" t="s">
        <v>730</v>
      </c>
      <c r="AA242" s="52" t="s">
        <v>581</v>
      </c>
      <c r="AB242" s="52" t="s">
        <v>731</v>
      </c>
      <c r="AC242" s="52" t="s">
        <v>582</v>
      </c>
      <c r="AD242" s="52" t="s">
        <v>732</v>
      </c>
      <c r="AE242" s="52" t="s">
        <v>583</v>
      </c>
      <c r="AF242" s="52" t="s">
        <v>733</v>
      </c>
      <c r="AG242" s="52" t="s">
        <v>584</v>
      </c>
      <c r="AH242" s="52" t="s">
        <v>734</v>
      </c>
      <c r="AI242" s="52" t="s">
        <v>585</v>
      </c>
      <c r="AJ242" s="52" t="s">
        <v>735</v>
      </c>
      <c r="AK242" s="52" t="s">
        <v>586</v>
      </c>
      <c r="AL242" s="52" t="s">
        <v>736</v>
      </c>
      <c r="AM242" s="52" t="s">
        <v>587</v>
      </c>
      <c r="AN242" s="52" t="s">
        <v>737</v>
      </c>
      <c r="AO242" s="52" t="s">
        <v>588</v>
      </c>
      <c r="AP242" s="52" t="s">
        <v>738</v>
      </c>
      <c r="AQ242" s="52" t="s">
        <v>589</v>
      </c>
      <c r="AR242" s="52" t="s">
        <v>739</v>
      </c>
      <c r="AS242" s="52" t="s">
        <v>590</v>
      </c>
      <c r="AT242" s="52" t="s">
        <v>740</v>
      </c>
      <c r="AU242" s="52" t="s">
        <v>1998</v>
      </c>
      <c r="AV242" s="52" t="s">
        <v>2052</v>
      </c>
      <c r="AW242" s="52" t="s">
        <v>2053</v>
      </c>
      <c r="AX242" s="52" t="s">
        <v>2053</v>
      </c>
      <c r="AY242" s="49"/>
      <c r="AZ242" s="49"/>
      <c r="BA242" s="49"/>
    </row>
    <row r="243" spans="1:53" ht="11.25" hidden="1" customHeight="1">
      <c r="B243" s="36" t="s">
        <v>1949</v>
      </c>
      <c r="C243" s="52" t="s">
        <v>2023</v>
      </c>
      <c r="D243" s="52" t="s">
        <v>2023</v>
      </c>
      <c r="E243" s="52" t="s">
        <v>1998</v>
      </c>
      <c r="F243" s="52" t="s">
        <v>2052</v>
      </c>
      <c r="G243" s="52" t="s">
        <v>439</v>
      </c>
      <c r="H243" s="52" t="s">
        <v>7</v>
      </c>
      <c r="I243" s="52" t="s">
        <v>573</v>
      </c>
      <c r="J243" s="52" t="s">
        <v>722</v>
      </c>
      <c r="K243" s="52" t="s">
        <v>574</v>
      </c>
      <c r="L243" s="52" t="s">
        <v>723</v>
      </c>
      <c r="M243" s="52" t="s">
        <v>575</v>
      </c>
      <c r="N243" s="52" t="s">
        <v>724</v>
      </c>
      <c r="O243" s="52" t="s">
        <v>576</v>
      </c>
      <c r="P243" s="52" t="s">
        <v>725</v>
      </c>
      <c r="Q243" s="52" t="s">
        <v>577</v>
      </c>
      <c r="R243" s="52" t="s">
        <v>726</v>
      </c>
      <c r="S243" s="52" t="s">
        <v>578</v>
      </c>
      <c r="T243" s="52" t="s">
        <v>727</v>
      </c>
      <c r="U243" s="52" t="s">
        <v>579</v>
      </c>
      <c r="V243" s="52" t="s">
        <v>728</v>
      </c>
      <c r="W243" s="52" t="s">
        <v>580</v>
      </c>
      <c r="X243" s="52" t="s">
        <v>729</v>
      </c>
      <c r="Y243" s="52" t="s">
        <v>748</v>
      </c>
      <c r="Z243" s="52" t="s">
        <v>730</v>
      </c>
      <c r="AA243" s="52" t="s">
        <v>581</v>
      </c>
      <c r="AB243" s="52" t="s">
        <v>731</v>
      </c>
      <c r="AC243" s="52" t="s">
        <v>582</v>
      </c>
      <c r="AD243" s="52" t="s">
        <v>732</v>
      </c>
      <c r="AE243" s="52" t="s">
        <v>583</v>
      </c>
      <c r="AF243" s="52" t="s">
        <v>733</v>
      </c>
      <c r="AG243" s="52" t="s">
        <v>584</v>
      </c>
      <c r="AH243" s="52" t="s">
        <v>734</v>
      </c>
      <c r="AI243" s="52" t="s">
        <v>585</v>
      </c>
      <c r="AJ243" s="52" t="s">
        <v>735</v>
      </c>
      <c r="AK243" s="52" t="s">
        <v>586</v>
      </c>
      <c r="AL243" s="52" t="s">
        <v>736</v>
      </c>
      <c r="AM243" s="52" t="s">
        <v>587</v>
      </c>
      <c r="AN243" s="52" t="s">
        <v>737</v>
      </c>
      <c r="AO243" s="52" t="s">
        <v>588</v>
      </c>
      <c r="AP243" s="52" t="s">
        <v>738</v>
      </c>
      <c r="AQ243" s="52" t="s">
        <v>589</v>
      </c>
      <c r="AR243" s="52" t="s">
        <v>739</v>
      </c>
      <c r="AS243" s="52" t="s">
        <v>590</v>
      </c>
      <c r="AT243" s="52" t="s">
        <v>740</v>
      </c>
      <c r="AU243" s="52" t="s">
        <v>1998</v>
      </c>
      <c r="AV243" s="52" t="s">
        <v>2052</v>
      </c>
      <c r="AW243" s="52" t="s">
        <v>2053</v>
      </c>
      <c r="AX243" s="52" t="s">
        <v>2053</v>
      </c>
      <c r="AY243" s="49"/>
      <c r="AZ243" s="49"/>
      <c r="BA243" s="49"/>
    </row>
    <row r="244" spans="1:53" ht="11.25" customHeight="1">
      <c r="AY244" s="49"/>
      <c r="AZ244" s="49"/>
      <c r="BA244" s="49"/>
    </row>
    <row r="245" spans="1:53" s="61" customFormat="1" ht="11.25" customHeight="1">
      <c r="A245" s="61" t="s">
        <v>2055</v>
      </c>
      <c r="D245" s="62"/>
      <c r="H245" s="62"/>
    </row>
    <row r="246" spans="1:53" s="35" customFormat="1" ht="11.25" hidden="1" customHeight="1">
      <c r="A246" s="26"/>
      <c r="B246" s="26"/>
      <c r="C246" s="34"/>
      <c r="D246" s="34"/>
      <c r="H246" s="34"/>
    </row>
    <row r="247" spans="1:53" ht="11.25" hidden="1" customHeight="1">
      <c r="B247" s="36" t="s">
        <v>392</v>
      </c>
      <c r="C247" s="37">
        <v>1</v>
      </c>
      <c r="D247" s="37">
        <v>2</v>
      </c>
      <c r="E247" s="37">
        <v>3</v>
      </c>
      <c r="F247" s="37">
        <v>4</v>
      </c>
      <c r="G247" s="37">
        <v>5</v>
      </c>
      <c r="H247" s="37">
        <v>6</v>
      </c>
      <c r="I247" s="37">
        <v>7</v>
      </c>
      <c r="J247" s="37">
        <v>8</v>
      </c>
      <c r="K247" s="37">
        <v>9</v>
      </c>
      <c r="L247" s="37">
        <v>10</v>
      </c>
      <c r="M247" s="37">
        <v>11</v>
      </c>
      <c r="N247" s="37">
        <v>12</v>
      </c>
      <c r="O247" s="37">
        <v>13</v>
      </c>
      <c r="P247" s="37">
        <v>14</v>
      </c>
      <c r="Q247" s="37">
        <v>15</v>
      </c>
      <c r="R247" s="37">
        <v>16</v>
      </c>
      <c r="S247" s="37">
        <v>17</v>
      </c>
      <c r="T247" s="37">
        <v>18</v>
      </c>
      <c r="U247" s="37">
        <v>19</v>
      </c>
      <c r="V247" s="37">
        <v>20</v>
      </c>
      <c r="W247" s="37">
        <v>21</v>
      </c>
      <c r="X247" s="37">
        <v>22</v>
      </c>
      <c r="Y247" s="37">
        <v>23</v>
      </c>
      <c r="Z247" s="37">
        <v>24</v>
      </c>
      <c r="AA247" s="37">
        <v>25</v>
      </c>
      <c r="AB247" s="37">
        <v>26</v>
      </c>
      <c r="AC247" s="37">
        <v>27</v>
      </c>
      <c r="AD247" s="37">
        <v>28</v>
      </c>
      <c r="AE247" s="37">
        <v>29</v>
      </c>
      <c r="AF247" s="37">
        <v>30</v>
      </c>
      <c r="AG247" s="37">
        <v>31</v>
      </c>
      <c r="AH247" s="37">
        <v>32</v>
      </c>
      <c r="AI247" s="37">
        <v>33</v>
      </c>
      <c r="AJ247" s="37">
        <v>34</v>
      </c>
      <c r="AK247" s="37">
        <v>35</v>
      </c>
      <c r="AL247" s="37">
        <v>36</v>
      </c>
      <c r="AM247" s="37">
        <v>37</v>
      </c>
      <c r="AN247" s="37">
        <v>38</v>
      </c>
      <c r="AO247" s="37">
        <v>39</v>
      </c>
      <c r="AP247" s="37">
        <v>40</v>
      </c>
      <c r="AQ247" s="37">
        <v>41</v>
      </c>
      <c r="AR247" s="37">
        <v>42</v>
      </c>
      <c r="AS247" s="37">
        <v>43</v>
      </c>
      <c r="AT247" s="37">
        <v>44</v>
      </c>
      <c r="AU247" s="37">
        <v>45</v>
      </c>
      <c r="AV247" s="37">
        <v>46</v>
      </c>
      <c r="AW247" s="37">
        <v>47</v>
      </c>
      <c r="AX247" s="37">
        <v>48</v>
      </c>
      <c r="AY247" s="49"/>
      <c r="AZ247" s="49"/>
      <c r="BA247" s="49"/>
    </row>
    <row r="248" spans="1:53" ht="11.25" hidden="1" customHeight="1">
      <c r="B248" s="36" t="s">
        <v>399</v>
      </c>
      <c r="C248" s="52" t="s">
        <v>2023</v>
      </c>
      <c r="D248" s="52" t="s">
        <v>2023</v>
      </c>
      <c r="E248" s="52" t="s">
        <v>1998</v>
      </c>
      <c r="F248" s="52" t="s">
        <v>2052</v>
      </c>
      <c r="G248" s="52" t="s">
        <v>2056</v>
      </c>
      <c r="H248" s="52" t="s">
        <v>2056</v>
      </c>
      <c r="I248" s="52" t="s">
        <v>2056</v>
      </c>
      <c r="J248" s="52" t="s">
        <v>2056</v>
      </c>
      <c r="K248" s="52" t="s">
        <v>2056</v>
      </c>
      <c r="L248" s="52" t="s">
        <v>2057</v>
      </c>
      <c r="M248" s="52" t="s">
        <v>2057</v>
      </c>
      <c r="N248" s="52" t="s">
        <v>2057</v>
      </c>
      <c r="O248" s="52" t="s">
        <v>2057</v>
      </c>
      <c r="P248" s="52" t="s">
        <v>2057</v>
      </c>
      <c r="Q248" s="52" t="s">
        <v>819</v>
      </c>
      <c r="R248" s="52" t="s">
        <v>819</v>
      </c>
      <c r="S248" s="52" t="s">
        <v>819</v>
      </c>
      <c r="T248" s="52" t="s">
        <v>819</v>
      </c>
      <c r="U248" s="52" t="s">
        <v>819</v>
      </c>
      <c r="V248" s="52" t="s">
        <v>749</v>
      </c>
      <c r="W248" s="52" t="s">
        <v>749</v>
      </c>
      <c r="X248" s="52" t="s">
        <v>749</v>
      </c>
      <c r="Y248" s="52" t="s">
        <v>749</v>
      </c>
      <c r="Z248" s="52" t="s">
        <v>749</v>
      </c>
      <c r="AA248" s="52" t="s">
        <v>443</v>
      </c>
      <c r="AB248" s="52" t="s">
        <v>443</v>
      </c>
      <c r="AC248" s="52" t="s">
        <v>443</v>
      </c>
      <c r="AD248" s="52" t="s">
        <v>443</v>
      </c>
      <c r="AE248" s="52" t="s">
        <v>443</v>
      </c>
      <c r="AF248" s="52" t="s">
        <v>591</v>
      </c>
      <c r="AG248" s="52" t="s">
        <v>591</v>
      </c>
      <c r="AH248" s="52" t="s">
        <v>591</v>
      </c>
      <c r="AI248" s="52" t="s">
        <v>591</v>
      </c>
      <c r="AJ248" s="52" t="s">
        <v>591</v>
      </c>
      <c r="AK248" s="52" t="s">
        <v>444</v>
      </c>
      <c r="AL248" s="52" t="s">
        <v>444</v>
      </c>
      <c r="AM248" s="52" t="s">
        <v>444</v>
      </c>
      <c r="AN248" s="52" t="s">
        <v>444</v>
      </c>
      <c r="AO248" s="52" t="s">
        <v>444</v>
      </c>
      <c r="AP248" s="52" t="s">
        <v>592</v>
      </c>
      <c r="AQ248" s="52" t="s">
        <v>592</v>
      </c>
      <c r="AR248" s="52" t="s">
        <v>592</v>
      </c>
      <c r="AS248" s="52" t="s">
        <v>592</v>
      </c>
      <c r="AT248" s="52" t="s">
        <v>592</v>
      </c>
      <c r="AU248" s="52" t="s">
        <v>1998</v>
      </c>
      <c r="AV248" s="52" t="s">
        <v>2052</v>
      </c>
      <c r="AW248" s="52" t="s">
        <v>2053</v>
      </c>
      <c r="AX248" s="52" t="s">
        <v>2053</v>
      </c>
      <c r="AY248" s="49"/>
      <c r="AZ248" s="49"/>
      <c r="BA248" s="49"/>
    </row>
    <row r="249" spans="1:53" ht="11.25" hidden="1" customHeight="1">
      <c r="B249" s="36" t="s">
        <v>400</v>
      </c>
      <c r="C249" s="52" t="s">
        <v>2023</v>
      </c>
      <c r="D249" s="52" t="s">
        <v>2023</v>
      </c>
      <c r="E249" s="52" t="s">
        <v>1998</v>
      </c>
      <c r="F249" s="52" t="s">
        <v>2052</v>
      </c>
      <c r="G249" s="52" t="s">
        <v>2056</v>
      </c>
      <c r="H249" s="52" t="s">
        <v>2056</v>
      </c>
      <c r="I249" s="52" t="s">
        <v>2056</v>
      </c>
      <c r="J249" s="52" t="s">
        <v>2056</v>
      </c>
      <c r="K249" s="52" t="s">
        <v>2056</v>
      </c>
      <c r="L249" s="52" t="s">
        <v>2057</v>
      </c>
      <c r="M249" s="52" t="s">
        <v>2057</v>
      </c>
      <c r="N249" s="52" t="s">
        <v>2057</v>
      </c>
      <c r="O249" s="52" t="s">
        <v>2057</v>
      </c>
      <c r="P249" s="52" t="s">
        <v>2057</v>
      </c>
      <c r="Q249" s="52" t="s">
        <v>819</v>
      </c>
      <c r="R249" s="52" t="s">
        <v>819</v>
      </c>
      <c r="S249" s="52" t="s">
        <v>819</v>
      </c>
      <c r="T249" s="52" t="s">
        <v>819</v>
      </c>
      <c r="U249" s="52" t="s">
        <v>819</v>
      </c>
      <c r="V249" s="52" t="s">
        <v>749</v>
      </c>
      <c r="W249" s="52" t="s">
        <v>749</v>
      </c>
      <c r="X249" s="52" t="s">
        <v>749</v>
      </c>
      <c r="Y249" s="52" t="s">
        <v>749</v>
      </c>
      <c r="Z249" s="52" t="s">
        <v>749</v>
      </c>
      <c r="AA249" s="52" t="s">
        <v>443</v>
      </c>
      <c r="AB249" s="52" t="s">
        <v>443</v>
      </c>
      <c r="AC249" s="52" t="s">
        <v>443</v>
      </c>
      <c r="AD249" s="52" t="s">
        <v>443</v>
      </c>
      <c r="AE249" s="52" t="s">
        <v>443</v>
      </c>
      <c r="AF249" s="52" t="s">
        <v>591</v>
      </c>
      <c r="AG249" s="52" t="s">
        <v>591</v>
      </c>
      <c r="AH249" s="52" t="s">
        <v>591</v>
      </c>
      <c r="AI249" s="52" t="s">
        <v>591</v>
      </c>
      <c r="AJ249" s="52" t="s">
        <v>591</v>
      </c>
      <c r="AK249" s="52" t="s">
        <v>444</v>
      </c>
      <c r="AL249" s="52" t="s">
        <v>444</v>
      </c>
      <c r="AM249" s="52" t="s">
        <v>444</v>
      </c>
      <c r="AN249" s="52" t="s">
        <v>444</v>
      </c>
      <c r="AO249" s="52" t="s">
        <v>444</v>
      </c>
      <c r="AP249" s="52" t="s">
        <v>592</v>
      </c>
      <c r="AQ249" s="52" t="s">
        <v>592</v>
      </c>
      <c r="AR249" s="52" t="s">
        <v>592</v>
      </c>
      <c r="AS249" s="52" t="s">
        <v>592</v>
      </c>
      <c r="AT249" s="52" t="s">
        <v>592</v>
      </c>
      <c r="AU249" s="52" t="s">
        <v>1998</v>
      </c>
      <c r="AV249" s="52" t="s">
        <v>2052</v>
      </c>
      <c r="AW249" s="52" t="s">
        <v>2053</v>
      </c>
      <c r="AX249" s="52" t="s">
        <v>2053</v>
      </c>
      <c r="AY249" s="49"/>
      <c r="AZ249" s="49"/>
      <c r="BA249" s="49"/>
    </row>
    <row r="250" spans="1:53" ht="11.25" hidden="1" customHeight="1">
      <c r="B250" s="36" t="s">
        <v>401</v>
      </c>
      <c r="C250" s="52" t="s">
        <v>2023</v>
      </c>
      <c r="D250" s="52" t="s">
        <v>2023</v>
      </c>
      <c r="E250" s="52" t="s">
        <v>1998</v>
      </c>
      <c r="F250" s="52" t="s">
        <v>2052</v>
      </c>
      <c r="G250" s="52" t="s">
        <v>2056</v>
      </c>
      <c r="H250" s="52" t="s">
        <v>2056</v>
      </c>
      <c r="I250" s="52" t="s">
        <v>2056</v>
      </c>
      <c r="J250" s="52" t="s">
        <v>2056</v>
      </c>
      <c r="K250" s="52" t="s">
        <v>2056</v>
      </c>
      <c r="L250" s="52" t="s">
        <v>2057</v>
      </c>
      <c r="M250" s="52" t="s">
        <v>2057</v>
      </c>
      <c r="N250" s="52" t="s">
        <v>2057</v>
      </c>
      <c r="O250" s="52" t="s">
        <v>2057</v>
      </c>
      <c r="P250" s="52" t="s">
        <v>2057</v>
      </c>
      <c r="Q250" s="52" t="s">
        <v>819</v>
      </c>
      <c r="R250" s="52" t="s">
        <v>819</v>
      </c>
      <c r="S250" s="52" t="s">
        <v>819</v>
      </c>
      <c r="T250" s="52" t="s">
        <v>819</v>
      </c>
      <c r="U250" s="52" t="s">
        <v>819</v>
      </c>
      <c r="V250" s="52" t="s">
        <v>749</v>
      </c>
      <c r="W250" s="52" t="s">
        <v>749</v>
      </c>
      <c r="X250" s="52" t="s">
        <v>749</v>
      </c>
      <c r="Y250" s="52" t="s">
        <v>749</v>
      </c>
      <c r="Z250" s="52" t="s">
        <v>749</v>
      </c>
      <c r="AA250" s="52" t="s">
        <v>443</v>
      </c>
      <c r="AB250" s="52" t="s">
        <v>443</v>
      </c>
      <c r="AC250" s="52" t="s">
        <v>443</v>
      </c>
      <c r="AD250" s="52" t="s">
        <v>443</v>
      </c>
      <c r="AE250" s="52" t="s">
        <v>443</v>
      </c>
      <c r="AF250" s="52" t="s">
        <v>591</v>
      </c>
      <c r="AG250" s="52" t="s">
        <v>591</v>
      </c>
      <c r="AH250" s="52" t="s">
        <v>591</v>
      </c>
      <c r="AI250" s="52" t="s">
        <v>591</v>
      </c>
      <c r="AJ250" s="52" t="s">
        <v>591</v>
      </c>
      <c r="AK250" s="52" t="s">
        <v>444</v>
      </c>
      <c r="AL250" s="52" t="s">
        <v>444</v>
      </c>
      <c r="AM250" s="52" t="s">
        <v>444</v>
      </c>
      <c r="AN250" s="52" t="s">
        <v>444</v>
      </c>
      <c r="AO250" s="52" t="s">
        <v>444</v>
      </c>
      <c r="AP250" s="52" t="s">
        <v>592</v>
      </c>
      <c r="AQ250" s="52" t="s">
        <v>592</v>
      </c>
      <c r="AR250" s="52" t="s">
        <v>592</v>
      </c>
      <c r="AS250" s="52" t="s">
        <v>592</v>
      </c>
      <c r="AT250" s="52" t="s">
        <v>592</v>
      </c>
      <c r="AU250" s="52" t="s">
        <v>1998</v>
      </c>
      <c r="AV250" s="52" t="s">
        <v>2052</v>
      </c>
      <c r="AW250" s="52" t="s">
        <v>2053</v>
      </c>
      <c r="AX250" s="52" t="s">
        <v>2053</v>
      </c>
      <c r="AY250" s="49"/>
      <c r="AZ250" s="49"/>
      <c r="BA250" s="49"/>
    </row>
    <row r="251" spans="1:53" ht="11.25" hidden="1" customHeight="1">
      <c r="B251" s="36" t="s">
        <v>402</v>
      </c>
      <c r="C251" s="52" t="s">
        <v>2023</v>
      </c>
      <c r="D251" s="52" t="s">
        <v>2023</v>
      </c>
      <c r="E251" s="52" t="s">
        <v>1998</v>
      </c>
      <c r="F251" s="52" t="s">
        <v>2052</v>
      </c>
      <c r="G251" s="52" t="s">
        <v>2056</v>
      </c>
      <c r="H251" s="52" t="s">
        <v>2056</v>
      </c>
      <c r="I251" s="52" t="s">
        <v>2056</v>
      </c>
      <c r="J251" s="52" t="s">
        <v>2056</v>
      </c>
      <c r="K251" s="52" t="s">
        <v>2056</v>
      </c>
      <c r="L251" s="52" t="s">
        <v>2057</v>
      </c>
      <c r="M251" s="52" t="s">
        <v>2057</v>
      </c>
      <c r="N251" s="52" t="s">
        <v>2057</v>
      </c>
      <c r="O251" s="52" t="s">
        <v>2057</v>
      </c>
      <c r="P251" s="52" t="s">
        <v>2057</v>
      </c>
      <c r="Q251" s="52" t="s">
        <v>819</v>
      </c>
      <c r="R251" s="52" t="s">
        <v>819</v>
      </c>
      <c r="S251" s="52" t="s">
        <v>819</v>
      </c>
      <c r="T251" s="52" t="s">
        <v>819</v>
      </c>
      <c r="U251" s="52" t="s">
        <v>819</v>
      </c>
      <c r="V251" s="52" t="s">
        <v>749</v>
      </c>
      <c r="W251" s="52" t="s">
        <v>749</v>
      </c>
      <c r="X251" s="52" t="s">
        <v>749</v>
      </c>
      <c r="Y251" s="52" t="s">
        <v>749</v>
      </c>
      <c r="Z251" s="52" t="s">
        <v>749</v>
      </c>
      <c r="AA251" s="52" t="s">
        <v>443</v>
      </c>
      <c r="AB251" s="52" t="s">
        <v>443</v>
      </c>
      <c r="AC251" s="52" t="s">
        <v>443</v>
      </c>
      <c r="AD251" s="52" t="s">
        <v>443</v>
      </c>
      <c r="AE251" s="52" t="s">
        <v>443</v>
      </c>
      <c r="AF251" s="52" t="s">
        <v>591</v>
      </c>
      <c r="AG251" s="52" t="s">
        <v>591</v>
      </c>
      <c r="AH251" s="52" t="s">
        <v>591</v>
      </c>
      <c r="AI251" s="52" t="s">
        <v>591</v>
      </c>
      <c r="AJ251" s="52" t="s">
        <v>591</v>
      </c>
      <c r="AK251" s="52" t="s">
        <v>444</v>
      </c>
      <c r="AL251" s="52" t="s">
        <v>444</v>
      </c>
      <c r="AM251" s="52" t="s">
        <v>444</v>
      </c>
      <c r="AN251" s="52" t="s">
        <v>444</v>
      </c>
      <c r="AO251" s="52" t="s">
        <v>444</v>
      </c>
      <c r="AP251" s="52" t="s">
        <v>592</v>
      </c>
      <c r="AQ251" s="52" t="s">
        <v>592</v>
      </c>
      <c r="AR251" s="52" t="s">
        <v>592</v>
      </c>
      <c r="AS251" s="52" t="s">
        <v>592</v>
      </c>
      <c r="AT251" s="52" t="s">
        <v>592</v>
      </c>
      <c r="AU251" s="52" t="s">
        <v>1998</v>
      </c>
      <c r="AV251" s="52" t="s">
        <v>2052</v>
      </c>
      <c r="AW251" s="52" t="s">
        <v>2053</v>
      </c>
      <c r="AX251" s="52" t="s">
        <v>2053</v>
      </c>
      <c r="AY251" s="49"/>
      <c r="AZ251" s="49"/>
      <c r="BA251" s="49"/>
    </row>
    <row r="252" spans="1:53" ht="11.25" hidden="1" customHeight="1">
      <c r="B252" s="36" t="s">
        <v>403</v>
      </c>
      <c r="C252" s="52" t="s">
        <v>2023</v>
      </c>
      <c r="D252" s="52" t="s">
        <v>2023</v>
      </c>
      <c r="E252" s="52" t="s">
        <v>1998</v>
      </c>
      <c r="F252" s="52" t="s">
        <v>2052</v>
      </c>
      <c r="G252" s="52" t="s">
        <v>821</v>
      </c>
      <c r="H252" s="52" t="s">
        <v>821</v>
      </c>
      <c r="I252" s="52" t="s">
        <v>821</v>
      </c>
      <c r="J252" s="52" t="s">
        <v>821</v>
      </c>
      <c r="K252" s="52" t="s">
        <v>821</v>
      </c>
      <c r="L252" s="52" t="s">
        <v>2058</v>
      </c>
      <c r="M252" s="52" t="s">
        <v>2058</v>
      </c>
      <c r="N252" s="52" t="s">
        <v>2058</v>
      </c>
      <c r="O252" s="52" t="s">
        <v>2058</v>
      </c>
      <c r="P252" s="52" t="s">
        <v>2058</v>
      </c>
      <c r="Q252" s="52" t="s">
        <v>820</v>
      </c>
      <c r="R252" s="52" t="s">
        <v>820</v>
      </c>
      <c r="S252" s="52" t="s">
        <v>820</v>
      </c>
      <c r="T252" s="52" t="s">
        <v>820</v>
      </c>
      <c r="U252" s="52" t="s">
        <v>820</v>
      </c>
      <c r="V252" s="52" t="s">
        <v>609</v>
      </c>
      <c r="W252" s="52" t="s">
        <v>609</v>
      </c>
      <c r="X252" s="52" t="s">
        <v>609</v>
      </c>
      <c r="Y252" s="52" t="s">
        <v>609</v>
      </c>
      <c r="Z252" s="52" t="s">
        <v>609</v>
      </c>
      <c r="AA252" s="52" t="s">
        <v>460</v>
      </c>
      <c r="AB252" s="52" t="s">
        <v>460</v>
      </c>
      <c r="AC252" s="52" t="s">
        <v>460</v>
      </c>
      <c r="AD252" s="52" t="s">
        <v>460</v>
      </c>
      <c r="AE252" s="52" t="s">
        <v>460</v>
      </c>
      <c r="AF252" s="52" t="s">
        <v>610</v>
      </c>
      <c r="AG252" s="52" t="s">
        <v>610</v>
      </c>
      <c r="AH252" s="52" t="s">
        <v>610</v>
      </c>
      <c r="AI252" s="52" t="s">
        <v>610</v>
      </c>
      <c r="AJ252" s="52" t="s">
        <v>610</v>
      </c>
      <c r="AK252" s="52" t="s">
        <v>461</v>
      </c>
      <c r="AL252" s="52" t="s">
        <v>461</v>
      </c>
      <c r="AM252" s="52" t="s">
        <v>461</v>
      </c>
      <c r="AN252" s="52" t="s">
        <v>461</v>
      </c>
      <c r="AO252" s="52" t="s">
        <v>461</v>
      </c>
      <c r="AP252" s="52" t="s">
        <v>611</v>
      </c>
      <c r="AQ252" s="52" t="s">
        <v>611</v>
      </c>
      <c r="AR252" s="52" t="s">
        <v>611</v>
      </c>
      <c r="AS252" s="52" t="s">
        <v>611</v>
      </c>
      <c r="AT252" s="52" t="s">
        <v>611</v>
      </c>
      <c r="AU252" s="52" t="s">
        <v>1998</v>
      </c>
      <c r="AV252" s="52" t="s">
        <v>2052</v>
      </c>
      <c r="AW252" s="52" t="s">
        <v>2053</v>
      </c>
      <c r="AX252" s="52" t="s">
        <v>2053</v>
      </c>
      <c r="AY252" s="49"/>
      <c r="AZ252" s="49"/>
      <c r="BA252" s="49"/>
    </row>
    <row r="253" spans="1:53" ht="11.25" hidden="1" customHeight="1">
      <c r="B253" s="36" t="s">
        <v>404</v>
      </c>
      <c r="C253" s="52" t="s">
        <v>2023</v>
      </c>
      <c r="D253" s="52" t="s">
        <v>2023</v>
      </c>
      <c r="E253" s="52" t="s">
        <v>1998</v>
      </c>
      <c r="F253" s="52" t="s">
        <v>2052</v>
      </c>
      <c r="G253" s="52" t="s">
        <v>821</v>
      </c>
      <c r="H253" s="52" t="s">
        <v>821</v>
      </c>
      <c r="I253" s="52" t="s">
        <v>821</v>
      </c>
      <c r="J253" s="52" t="s">
        <v>821</v>
      </c>
      <c r="K253" s="52" t="s">
        <v>821</v>
      </c>
      <c r="L253" s="52" t="s">
        <v>2058</v>
      </c>
      <c r="M253" s="52" t="s">
        <v>2058</v>
      </c>
      <c r="N253" s="52" t="s">
        <v>2058</v>
      </c>
      <c r="O253" s="52" t="s">
        <v>2058</v>
      </c>
      <c r="P253" s="52" t="s">
        <v>2058</v>
      </c>
      <c r="Q253" s="52" t="s">
        <v>820</v>
      </c>
      <c r="R253" s="52" t="s">
        <v>820</v>
      </c>
      <c r="S253" s="52" t="s">
        <v>820</v>
      </c>
      <c r="T253" s="52" t="s">
        <v>820</v>
      </c>
      <c r="U253" s="52" t="s">
        <v>820</v>
      </c>
      <c r="V253" s="52" t="s">
        <v>609</v>
      </c>
      <c r="W253" s="52" t="s">
        <v>609</v>
      </c>
      <c r="X253" s="52" t="s">
        <v>609</v>
      </c>
      <c r="Y253" s="52" t="s">
        <v>609</v>
      </c>
      <c r="Z253" s="52" t="s">
        <v>609</v>
      </c>
      <c r="AA253" s="52" t="s">
        <v>460</v>
      </c>
      <c r="AB253" s="52" t="s">
        <v>460</v>
      </c>
      <c r="AC253" s="52" t="s">
        <v>460</v>
      </c>
      <c r="AD253" s="52" t="s">
        <v>460</v>
      </c>
      <c r="AE253" s="52" t="s">
        <v>460</v>
      </c>
      <c r="AF253" s="52" t="s">
        <v>610</v>
      </c>
      <c r="AG253" s="52" t="s">
        <v>610</v>
      </c>
      <c r="AH253" s="52" t="s">
        <v>610</v>
      </c>
      <c r="AI253" s="52" t="s">
        <v>610</v>
      </c>
      <c r="AJ253" s="52" t="s">
        <v>610</v>
      </c>
      <c r="AK253" s="52" t="s">
        <v>461</v>
      </c>
      <c r="AL253" s="52" t="s">
        <v>461</v>
      </c>
      <c r="AM253" s="52" t="s">
        <v>461</v>
      </c>
      <c r="AN253" s="52" t="s">
        <v>461</v>
      </c>
      <c r="AO253" s="52" t="s">
        <v>461</v>
      </c>
      <c r="AP253" s="52" t="s">
        <v>611</v>
      </c>
      <c r="AQ253" s="52" t="s">
        <v>611</v>
      </c>
      <c r="AR253" s="52" t="s">
        <v>611</v>
      </c>
      <c r="AS253" s="52" t="s">
        <v>611</v>
      </c>
      <c r="AT253" s="52" t="s">
        <v>611</v>
      </c>
      <c r="AU253" s="52" t="s">
        <v>1998</v>
      </c>
      <c r="AV253" s="52" t="s">
        <v>2052</v>
      </c>
      <c r="AW253" s="52" t="s">
        <v>2053</v>
      </c>
      <c r="AX253" s="52" t="s">
        <v>2053</v>
      </c>
      <c r="AY253" s="49"/>
      <c r="AZ253" s="49"/>
      <c r="BA253" s="49"/>
    </row>
    <row r="254" spans="1:53" ht="11.25" hidden="1" customHeight="1">
      <c r="B254" s="36" t="s">
        <v>405</v>
      </c>
      <c r="C254" s="52" t="s">
        <v>2023</v>
      </c>
      <c r="D254" s="52" t="s">
        <v>2023</v>
      </c>
      <c r="E254" s="52" t="s">
        <v>1998</v>
      </c>
      <c r="F254" s="52" t="s">
        <v>2052</v>
      </c>
      <c r="G254" s="52" t="s">
        <v>821</v>
      </c>
      <c r="H254" s="52" t="s">
        <v>821</v>
      </c>
      <c r="I254" s="52" t="s">
        <v>821</v>
      </c>
      <c r="J254" s="52" t="s">
        <v>821</v>
      </c>
      <c r="K254" s="52" t="s">
        <v>821</v>
      </c>
      <c r="L254" s="52" t="s">
        <v>2058</v>
      </c>
      <c r="M254" s="52" t="s">
        <v>2058</v>
      </c>
      <c r="N254" s="52" t="s">
        <v>2058</v>
      </c>
      <c r="O254" s="52" t="s">
        <v>2058</v>
      </c>
      <c r="P254" s="52" t="s">
        <v>2058</v>
      </c>
      <c r="Q254" s="52" t="s">
        <v>820</v>
      </c>
      <c r="R254" s="52" t="s">
        <v>820</v>
      </c>
      <c r="S254" s="52" t="s">
        <v>820</v>
      </c>
      <c r="T254" s="52" t="s">
        <v>820</v>
      </c>
      <c r="U254" s="52" t="s">
        <v>820</v>
      </c>
      <c r="V254" s="52" t="s">
        <v>609</v>
      </c>
      <c r="W254" s="52" t="s">
        <v>609</v>
      </c>
      <c r="X254" s="52" t="s">
        <v>609</v>
      </c>
      <c r="Y254" s="52" t="s">
        <v>609</v>
      </c>
      <c r="Z254" s="52" t="s">
        <v>609</v>
      </c>
      <c r="AA254" s="52" t="s">
        <v>460</v>
      </c>
      <c r="AB254" s="52" t="s">
        <v>460</v>
      </c>
      <c r="AC254" s="52" t="s">
        <v>460</v>
      </c>
      <c r="AD254" s="52" t="s">
        <v>460</v>
      </c>
      <c r="AE254" s="52" t="s">
        <v>460</v>
      </c>
      <c r="AF254" s="52" t="s">
        <v>610</v>
      </c>
      <c r="AG254" s="52" t="s">
        <v>610</v>
      </c>
      <c r="AH254" s="52" t="s">
        <v>610</v>
      </c>
      <c r="AI254" s="52" t="s">
        <v>610</v>
      </c>
      <c r="AJ254" s="52" t="s">
        <v>610</v>
      </c>
      <c r="AK254" s="52" t="s">
        <v>461</v>
      </c>
      <c r="AL254" s="52" t="s">
        <v>461</v>
      </c>
      <c r="AM254" s="52" t="s">
        <v>461</v>
      </c>
      <c r="AN254" s="52" t="s">
        <v>461</v>
      </c>
      <c r="AO254" s="52" t="s">
        <v>461</v>
      </c>
      <c r="AP254" s="52" t="s">
        <v>611</v>
      </c>
      <c r="AQ254" s="52" t="s">
        <v>611</v>
      </c>
      <c r="AR254" s="52" t="s">
        <v>611</v>
      </c>
      <c r="AS254" s="52" t="s">
        <v>611</v>
      </c>
      <c r="AT254" s="52" t="s">
        <v>611</v>
      </c>
      <c r="AU254" s="52" t="s">
        <v>1998</v>
      </c>
      <c r="AV254" s="52" t="s">
        <v>2052</v>
      </c>
      <c r="AW254" s="52" t="s">
        <v>2053</v>
      </c>
      <c r="AX254" s="52" t="s">
        <v>2053</v>
      </c>
      <c r="AY254" s="49"/>
      <c r="AZ254" s="49"/>
      <c r="BA254" s="49"/>
    </row>
    <row r="255" spans="1:53" ht="11.25" hidden="1" customHeight="1">
      <c r="B255" s="36" t="s">
        <v>406</v>
      </c>
      <c r="C255" s="52" t="s">
        <v>2023</v>
      </c>
      <c r="D255" s="52" t="s">
        <v>2023</v>
      </c>
      <c r="E255" s="52" t="s">
        <v>1998</v>
      </c>
      <c r="F255" s="52" t="s">
        <v>2052</v>
      </c>
      <c r="G255" s="52" t="s">
        <v>821</v>
      </c>
      <c r="H255" s="52" t="s">
        <v>821</v>
      </c>
      <c r="I255" s="52" t="s">
        <v>821</v>
      </c>
      <c r="J255" s="52" t="s">
        <v>821</v>
      </c>
      <c r="K255" s="52" t="s">
        <v>821</v>
      </c>
      <c r="L255" s="52" t="s">
        <v>2058</v>
      </c>
      <c r="M255" s="52" t="s">
        <v>2058</v>
      </c>
      <c r="N255" s="52" t="s">
        <v>2058</v>
      </c>
      <c r="O255" s="52" t="s">
        <v>2058</v>
      </c>
      <c r="P255" s="52" t="s">
        <v>2058</v>
      </c>
      <c r="Q255" s="52" t="s">
        <v>820</v>
      </c>
      <c r="R255" s="52" t="s">
        <v>820</v>
      </c>
      <c r="S255" s="52" t="s">
        <v>820</v>
      </c>
      <c r="T255" s="52" t="s">
        <v>820</v>
      </c>
      <c r="U255" s="52" t="s">
        <v>820</v>
      </c>
      <c r="V255" s="52" t="s">
        <v>609</v>
      </c>
      <c r="W255" s="52" t="s">
        <v>609</v>
      </c>
      <c r="X255" s="52" t="s">
        <v>609</v>
      </c>
      <c r="Y255" s="52" t="s">
        <v>609</v>
      </c>
      <c r="Z255" s="52" t="s">
        <v>609</v>
      </c>
      <c r="AA255" s="52" t="s">
        <v>460</v>
      </c>
      <c r="AB255" s="52" t="s">
        <v>460</v>
      </c>
      <c r="AC255" s="52" t="s">
        <v>460</v>
      </c>
      <c r="AD255" s="52" t="s">
        <v>460</v>
      </c>
      <c r="AE255" s="52" t="s">
        <v>460</v>
      </c>
      <c r="AF255" s="52" t="s">
        <v>610</v>
      </c>
      <c r="AG255" s="52" t="s">
        <v>610</v>
      </c>
      <c r="AH255" s="52" t="s">
        <v>610</v>
      </c>
      <c r="AI255" s="52" t="s">
        <v>610</v>
      </c>
      <c r="AJ255" s="52" t="s">
        <v>610</v>
      </c>
      <c r="AK255" s="52" t="s">
        <v>461</v>
      </c>
      <c r="AL255" s="52" t="s">
        <v>461</v>
      </c>
      <c r="AM255" s="52" t="s">
        <v>461</v>
      </c>
      <c r="AN255" s="52" t="s">
        <v>461</v>
      </c>
      <c r="AO255" s="52" t="s">
        <v>461</v>
      </c>
      <c r="AP255" s="52" t="s">
        <v>611</v>
      </c>
      <c r="AQ255" s="52" t="s">
        <v>611</v>
      </c>
      <c r="AR255" s="52" t="s">
        <v>611</v>
      </c>
      <c r="AS255" s="52" t="s">
        <v>611</v>
      </c>
      <c r="AT255" s="52" t="s">
        <v>611</v>
      </c>
      <c r="AU255" s="52" t="s">
        <v>1998</v>
      </c>
      <c r="AV255" s="52" t="s">
        <v>2052</v>
      </c>
      <c r="AW255" s="52" t="s">
        <v>2053</v>
      </c>
      <c r="AX255" s="52" t="s">
        <v>2053</v>
      </c>
      <c r="AY255" s="49"/>
      <c r="AZ255" s="49"/>
      <c r="BA255" s="49"/>
    </row>
    <row r="256" spans="1:53" ht="11.25" hidden="1" customHeight="1">
      <c r="B256" s="36" t="s">
        <v>407</v>
      </c>
      <c r="C256" s="52" t="s">
        <v>2023</v>
      </c>
      <c r="D256" s="52" t="s">
        <v>2023</v>
      </c>
      <c r="E256" s="52" t="s">
        <v>1998</v>
      </c>
      <c r="F256" s="52" t="s">
        <v>2052</v>
      </c>
      <c r="G256" s="52" t="s">
        <v>434</v>
      </c>
      <c r="H256" s="52" t="s">
        <v>434</v>
      </c>
      <c r="I256" s="52" t="s">
        <v>434</v>
      </c>
      <c r="J256" s="52" t="s">
        <v>434</v>
      </c>
      <c r="K256" s="52" t="s">
        <v>434</v>
      </c>
      <c r="L256" s="52" t="s">
        <v>2059</v>
      </c>
      <c r="M256" s="52" t="s">
        <v>2059</v>
      </c>
      <c r="N256" s="52" t="s">
        <v>2059</v>
      </c>
      <c r="O256" s="52" t="s">
        <v>2059</v>
      </c>
      <c r="P256" s="52" t="s">
        <v>2059</v>
      </c>
      <c r="Q256" s="52" t="s">
        <v>478</v>
      </c>
      <c r="R256" s="52" t="s">
        <v>478</v>
      </c>
      <c r="S256" s="52" t="s">
        <v>478</v>
      </c>
      <c r="T256" s="52" t="s">
        <v>478</v>
      </c>
      <c r="U256" s="52" t="s">
        <v>478</v>
      </c>
      <c r="V256" s="52" t="s">
        <v>628</v>
      </c>
      <c r="W256" s="52" t="s">
        <v>628</v>
      </c>
      <c r="X256" s="52" t="s">
        <v>628</v>
      </c>
      <c r="Y256" s="52" t="s">
        <v>628</v>
      </c>
      <c r="Z256" s="52" t="s">
        <v>628</v>
      </c>
      <c r="AA256" s="52" t="s">
        <v>479</v>
      </c>
      <c r="AB256" s="52" t="s">
        <v>479</v>
      </c>
      <c r="AC256" s="52" t="s">
        <v>479</v>
      </c>
      <c r="AD256" s="52" t="s">
        <v>479</v>
      </c>
      <c r="AE256" s="52" t="s">
        <v>479</v>
      </c>
      <c r="AF256" s="52" t="s">
        <v>629</v>
      </c>
      <c r="AG256" s="52" t="s">
        <v>629</v>
      </c>
      <c r="AH256" s="52" t="s">
        <v>629</v>
      </c>
      <c r="AI256" s="52" t="s">
        <v>629</v>
      </c>
      <c r="AJ256" s="52" t="s">
        <v>629</v>
      </c>
      <c r="AK256" s="52" t="s">
        <v>480</v>
      </c>
      <c r="AL256" s="52" t="s">
        <v>480</v>
      </c>
      <c r="AM256" s="52" t="s">
        <v>480</v>
      </c>
      <c r="AN256" s="52" t="s">
        <v>480</v>
      </c>
      <c r="AO256" s="52" t="s">
        <v>480</v>
      </c>
      <c r="AP256" s="52" t="s">
        <v>630</v>
      </c>
      <c r="AQ256" s="52" t="s">
        <v>630</v>
      </c>
      <c r="AR256" s="52" t="s">
        <v>630</v>
      </c>
      <c r="AS256" s="52" t="s">
        <v>630</v>
      </c>
      <c r="AT256" s="52" t="s">
        <v>630</v>
      </c>
      <c r="AU256" s="52" t="s">
        <v>1998</v>
      </c>
      <c r="AV256" s="52" t="s">
        <v>2052</v>
      </c>
      <c r="AW256" s="52" t="s">
        <v>2053</v>
      </c>
      <c r="AX256" s="52" t="s">
        <v>2053</v>
      </c>
      <c r="AY256" s="49"/>
      <c r="AZ256" s="49"/>
      <c r="BA256" s="49"/>
    </row>
    <row r="257" spans="2:53" ht="11.25" hidden="1" customHeight="1">
      <c r="B257" s="36" t="s">
        <v>408</v>
      </c>
      <c r="C257" s="52" t="s">
        <v>2023</v>
      </c>
      <c r="D257" s="52" t="s">
        <v>2023</v>
      </c>
      <c r="E257" s="52" t="s">
        <v>1998</v>
      </c>
      <c r="F257" s="52" t="s">
        <v>2052</v>
      </c>
      <c r="G257" s="52" t="s">
        <v>434</v>
      </c>
      <c r="H257" s="52" t="s">
        <v>434</v>
      </c>
      <c r="I257" s="52" t="s">
        <v>434</v>
      </c>
      <c r="J257" s="52" t="s">
        <v>434</v>
      </c>
      <c r="K257" s="52" t="s">
        <v>434</v>
      </c>
      <c r="L257" s="52" t="s">
        <v>2059</v>
      </c>
      <c r="M257" s="52" t="s">
        <v>2059</v>
      </c>
      <c r="N257" s="52" t="s">
        <v>2059</v>
      </c>
      <c r="O257" s="52" t="s">
        <v>2059</v>
      </c>
      <c r="P257" s="52" t="s">
        <v>2059</v>
      </c>
      <c r="Q257" s="52" t="s">
        <v>478</v>
      </c>
      <c r="R257" s="52" t="s">
        <v>478</v>
      </c>
      <c r="S257" s="52" t="s">
        <v>478</v>
      </c>
      <c r="T257" s="52" t="s">
        <v>478</v>
      </c>
      <c r="U257" s="52" t="s">
        <v>478</v>
      </c>
      <c r="V257" s="52" t="s">
        <v>628</v>
      </c>
      <c r="W257" s="52" t="s">
        <v>628</v>
      </c>
      <c r="X257" s="52" t="s">
        <v>628</v>
      </c>
      <c r="Y257" s="52" t="s">
        <v>628</v>
      </c>
      <c r="Z257" s="52" t="s">
        <v>628</v>
      </c>
      <c r="AA257" s="52" t="s">
        <v>479</v>
      </c>
      <c r="AB257" s="52" t="s">
        <v>479</v>
      </c>
      <c r="AC257" s="52" t="s">
        <v>479</v>
      </c>
      <c r="AD257" s="52" t="s">
        <v>479</v>
      </c>
      <c r="AE257" s="52" t="s">
        <v>479</v>
      </c>
      <c r="AF257" s="52" t="s">
        <v>629</v>
      </c>
      <c r="AG257" s="52" t="s">
        <v>629</v>
      </c>
      <c r="AH257" s="52" t="s">
        <v>629</v>
      </c>
      <c r="AI257" s="52" t="s">
        <v>629</v>
      </c>
      <c r="AJ257" s="52" t="s">
        <v>629</v>
      </c>
      <c r="AK257" s="52" t="s">
        <v>480</v>
      </c>
      <c r="AL257" s="52" t="s">
        <v>480</v>
      </c>
      <c r="AM257" s="52" t="s">
        <v>480</v>
      </c>
      <c r="AN257" s="52" t="s">
        <v>480</v>
      </c>
      <c r="AO257" s="52" t="s">
        <v>480</v>
      </c>
      <c r="AP257" s="52" t="s">
        <v>630</v>
      </c>
      <c r="AQ257" s="52" t="s">
        <v>630</v>
      </c>
      <c r="AR257" s="52" t="s">
        <v>630</v>
      </c>
      <c r="AS257" s="52" t="s">
        <v>630</v>
      </c>
      <c r="AT257" s="52" t="s">
        <v>630</v>
      </c>
      <c r="AU257" s="52" t="s">
        <v>1998</v>
      </c>
      <c r="AV257" s="52" t="s">
        <v>2052</v>
      </c>
      <c r="AW257" s="52" t="s">
        <v>2053</v>
      </c>
      <c r="AX257" s="52" t="s">
        <v>2053</v>
      </c>
      <c r="AY257" s="49"/>
      <c r="AZ257" s="49"/>
      <c r="BA257" s="49"/>
    </row>
    <row r="258" spans="2:53" ht="11.25" hidden="1" customHeight="1">
      <c r="B258" s="36" t="s">
        <v>409</v>
      </c>
      <c r="C258" s="52" t="s">
        <v>2023</v>
      </c>
      <c r="D258" s="52" t="s">
        <v>2023</v>
      </c>
      <c r="E258" s="52" t="s">
        <v>1998</v>
      </c>
      <c r="F258" s="52" t="s">
        <v>2052</v>
      </c>
      <c r="G258" s="52" t="s">
        <v>434</v>
      </c>
      <c r="H258" s="52" t="s">
        <v>434</v>
      </c>
      <c r="I258" s="52" t="s">
        <v>434</v>
      </c>
      <c r="J258" s="52" t="s">
        <v>434</v>
      </c>
      <c r="K258" s="52" t="s">
        <v>434</v>
      </c>
      <c r="L258" s="52" t="s">
        <v>2059</v>
      </c>
      <c r="M258" s="52" t="s">
        <v>2059</v>
      </c>
      <c r="N258" s="52" t="s">
        <v>2059</v>
      </c>
      <c r="O258" s="52" t="s">
        <v>2059</v>
      </c>
      <c r="P258" s="52" t="s">
        <v>2059</v>
      </c>
      <c r="Q258" s="52" t="s">
        <v>478</v>
      </c>
      <c r="R258" s="52" t="s">
        <v>478</v>
      </c>
      <c r="S258" s="52" t="s">
        <v>478</v>
      </c>
      <c r="T258" s="52" t="s">
        <v>478</v>
      </c>
      <c r="U258" s="52" t="s">
        <v>478</v>
      </c>
      <c r="V258" s="52" t="s">
        <v>628</v>
      </c>
      <c r="W258" s="52" t="s">
        <v>628</v>
      </c>
      <c r="X258" s="52" t="s">
        <v>628</v>
      </c>
      <c r="Y258" s="52" t="s">
        <v>628</v>
      </c>
      <c r="Z258" s="52" t="s">
        <v>628</v>
      </c>
      <c r="AA258" s="52" t="s">
        <v>479</v>
      </c>
      <c r="AB258" s="52" t="s">
        <v>479</v>
      </c>
      <c r="AC258" s="52" t="s">
        <v>479</v>
      </c>
      <c r="AD258" s="52" t="s">
        <v>479</v>
      </c>
      <c r="AE258" s="52" t="s">
        <v>479</v>
      </c>
      <c r="AF258" s="52" t="s">
        <v>629</v>
      </c>
      <c r="AG258" s="52" t="s">
        <v>629</v>
      </c>
      <c r="AH258" s="52" t="s">
        <v>629</v>
      </c>
      <c r="AI258" s="52" t="s">
        <v>629</v>
      </c>
      <c r="AJ258" s="52" t="s">
        <v>629</v>
      </c>
      <c r="AK258" s="52" t="s">
        <v>480</v>
      </c>
      <c r="AL258" s="52" t="s">
        <v>480</v>
      </c>
      <c r="AM258" s="52" t="s">
        <v>480</v>
      </c>
      <c r="AN258" s="52" t="s">
        <v>480</v>
      </c>
      <c r="AO258" s="52" t="s">
        <v>480</v>
      </c>
      <c r="AP258" s="52" t="s">
        <v>630</v>
      </c>
      <c r="AQ258" s="52" t="s">
        <v>630</v>
      </c>
      <c r="AR258" s="52" t="s">
        <v>630</v>
      </c>
      <c r="AS258" s="52" t="s">
        <v>630</v>
      </c>
      <c r="AT258" s="52" t="s">
        <v>630</v>
      </c>
      <c r="AU258" s="52" t="s">
        <v>1998</v>
      </c>
      <c r="AV258" s="52" t="s">
        <v>2052</v>
      </c>
      <c r="AW258" s="52" t="s">
        <v>2053</v>
      </c>
      <c r="AX258" s="52" t="s">
        <v>2053</v>
      </c>
      <c r="AY258" s="49"/>
      <c r="AZ258" s="49"/>
      <c r="BA258" s="49"/>
    </row>
    <row r="259" spans="2:53" ht="11.25" hidden="1" customHeight="1">
      <c r="B259" s="36" t="s">
        <v>410</v>
      </c>
      <c r="C259" s="52" t="s">
        <v>2023</v>
      </c>
      <c r="D259" s="52" t="s">
        <v>2023</v>
      </c>
      <c r="E259" s="52" t="s">
        <v>1998</v>
      </c>
      <c r="F259" s="52" t="s">
        <v>2052</v>
      </c>
      <c r="G259" s="52" t="s">
        <v>434</v>
      </c>
      <c r="H259" s="52" t="s">
        <v>434</v>
      </c>
      <c r="I259" s="52" t="s">
        <v>434</v>
      </c>
      <c r="J259" s="52" t="s">
        <v>434</v>
      </c>
      <c r="K259" s="52" t="s">
        <v>434</v>
      </c>
      <c r="L259" s="52" t="s">
        <v>2059</v>
      </c>
      <c r="M259" s="52" t="s">
        <v>2059</v>
      </c>
      <c r="N259" s="52" t="s">
        <v>2059</v>
      </c>
      <c r="O259" s="52" t="s">
        <v>2059</v>
      </c>
      <c r="P259" s="52" t="s">
        <v>2059</v>
      </c>
      <c r="Q259" s="52" t="s">
        <v>478</v>
      </c>
      <c r="R259" s="52" t="s">
        <v>478</v>
      </c>
      <c r="S259" s="52" t="s">
        <v>478</v>
      </c>
      <c r="T259" s="52" t="s">
        <v>478</v>
      </c>
      <c r="U259" s="52" t="s">
        <v>478</v>
      </c>
      <c r="V259" s="52" t="s">
        <v>628</v>
      </c>
      <c r="W259" s="52" t="s">
        <v>628</v>
      </c>
      <c r="X259" s="52" t="s">
        <v>628</v>
      </c>
      <c r="Y259" s="52" t="s">
        <v>628</v>
      </c>
      <c r="Z259" s="52" t="s">
        <v>628</v>
      </c>
      <c r="AA259" s="52" t="s">
        <v>479</v>
      </c>
      <c r="AB259" s="52" t="s">
        <v>479</v>
      </c>
      <c r="AC259" s="52" t="s">
        <v>479</v>
      </c>
      <c r="AD259" s="52" t="s">
        <v>479</v>
      </c>
      <c r="AE259" s="52" t="s">
        <v>479</v>
      </c>
      <c r="AF259" s="52" t="s">
        <v>629</v>
      </c>
      <c r="AG259" s="52" t="s">
        <v>629</v>
      </c>
      <c r="AH259" s="52" t="s">
        <v>629</v>
      </c>
      <c r="AI259" s="52" t="s">
        <v>629</v>
      </c>
      <c r="AJ259" s="52" t="s">
        <v>629</v>
      </c>
      <c r="AK259" s="52" t="s">
        <v>480</v>
      </c>
      <c r="AL259" s="52" t="s">
        <v>480</v>
      </c>
      <c r="AM259" s="52" t="s">
        <v>480</v>
      </c>
      <c r="AN259" s="52" t="s">
        <v>480</v>
      </c>
      <c r="AO259" s="52" t="s">
        <v>480</v>
      </c>
      <c r="AP259" s="52" t="s">
        <v>630</v>
      </c>
      <c r="AQ259" s="52" t="s">
        <v>630</v>
      </c>
      <c r="AR259" s="52" t="s">
        <v>630</v>
      </c>
      <c r="AS259" s="52" t="s">
        <v>630</v>
      </c>
      <c r="AT259" s="52" t="s">
        <v>630</v>
      </c>
      <c r="AU259" s="52" t="s">
        <v>1998</v>
      </c>
      <c r="AV259" s="52" t="s">
        <v>2052</v>
      </c>
      <c r="AW259" s="52" t="s">
        <v>2053</v>
      </c>
      <c r="AX259" s="52" t="s">
        <v>2053</v>
      </c>
      <c r="AY259" s="49"/>
      <c r="AZ259" s="49"/>
      <c r="BA259" s="49"/>
    </row>
    <row r="260" spans="2:53" ht="11.25" hidden="1" customHeight="1">
      <c r="B260" s="36" t="s">
        <v>411</v>
      </c>
      <c r="C260" s="52" t="s">
        <v>2023</v>
      </c>
      <c r="D260" s="52" t="s">
        <v>2023</v>
      </c>
      <c r="E260" s="52" t="s">
        <v>1998</v>
      </c>
      <c r="F260" s="52" t="s">
        <v>2052</v>
      </c>
      <c r="G260" s="52" t="s">
        <v>435</v>
      </c>
      <c r="H260" s="52" t="s">
        <v>435</v>
      </c>
      <c r="I260" s="52" t="s">
        <v>435</v>
      </c>
      <c r="J260" s="52" t="s">
        <v>435</v>
      </c>
      <c r="K260" s="52" t="s">
        <v>435</v>
      </c>
      <c r="L260" s="52" t="s">
        <v>6</v>
      </c>
      <c r="M260" s="52" t="s">
        <v>6</v>
      </c>
      <c r="N260" s="52" t="s">
        <v>6</v>
      </c>
      <c r="O260" s="52" t="s">
        <v>6</v>
      </c>
      <c r="P260" s="52" t="s">
        <v>6</v>
      </c>
      <c r="Q260" s="52" t="s">
        <v>497</v>
      </c>
      <c r="R260" s="52" t="s">
        <v>497</v>
      </c>
      <c r="S260" s="52" t="s">
        <v>497</v>
      </c>
      <c r="T260" s="52" t="s">
        <v>497</v>
      </c>
      <c r="U260" s="52" t="s">
        <v>497</v>
      </c>
      <c r="V260" s="52" t="s">
        <v>647</v>
      </c>
      <c r="W260" s="52" t="s">
        <v>647</v>
      </c>
      <c r="X260" s="52" t="s">
        <v>647</v>
      </c>
      <c r="Y260" s="52" t="s">
        <v>647</v>
      </c>
      <c r="Z260" s="52" t="s">
        <v>647</v>
      </c>
      <c r="AA260" s="52" t="s">
        <v>498</v>
      </c>
      <c r="AB260" s="52" t="s">
        <v>498</v>
      </c>
      <c r="AC260" s="52" t="s">
        <v>498</v>
      </c>
      <c r="AD260" s="52" t="s">
        <v>498</v>
      </c>
      <c r="AE260" s="52" t="s">
        <v>498</v>
      </c>
      <c r="AF260" s="52" t="s">
        <v>648</v>
      </c>
      <c r="AG260" s="52" t="s">
        <v>648</v>
      </c>
      <c r="AH260" s="52" t="s">
        <v>648</v>
      </c>
      <c r="AI260" s="52" t="s">
        <v>648</v>
      </c>
      <c r="AJ260" s="52" t="s">
        <v>648</v>
      </c>
      <c r="AK260" s="52" t="s">
        <v>499</v>
      </c>
      <c r="AL260" s="52" t="s">
        <v>499</v>
      </c>
      <c r="AM260" s="52" t="s">
        <v>499</v>
      </c>
      <c r="AN260" s="52" t="s">
        <v>499</v>
      </c>
      <c r="AO260" s="52" t="s">
        <v>499</v>
      </c>
      <c r="AP260" s="52" t="s">
        <v>649</v>
      </c>
      <c r="AQ260" s="52" t="s">
        <v>649</v>
      </c>
      <c r="AR260" s="52" t="s">
        <v>649</v>
      </c>
      <c r="AS260" s="52" t="s">
        <v>649</v>
      </c>
      <c r="AT260" s="52" t="s">
        <v>649</v>
      </c>
      <c r="AU260" s="52" t="s">
        <v>1998</v>
      </c>
      <c r="AV260" s="52" t="s">
        <v>2052</v>
      </c>
      <c r="AW260" s="52" t="s">
        <v>2053</v>
      </c>
      <c r="AX260" s="52" t="s">
        <v>2053</v>
      </c>
      <c r="AY260" s="49"/>
      <c r="AZ260" s="49"/>
      <c r="BA260" s="49"/>
    </row>
    <row r="261" spans="2:53" ht="11.25" hidden="1" customHeight="1">
      <c r="B261" s="36" t="s">
        <v>412</v>
      </c>
      <c r="C261" s="52" t="s">
        <v>2023</v>
      </c>
      <c r="D261" s="52" t="s">
        <v>2023</v>
      </c>
      <c r="E261" s="52" t="s">
        <v>1998</v>
      </c>
      <c r="F261" s="52" t="s">
        <v>2052</v>
      </c>
      <c r="G261" s="52" t="s">
        <v>435</v>
      </c>
      <c r="H261" s="52" t="s">
        <v>435</v>
      </c>
      <c r="I261" s="52" t="s">
        <v>435</v>
      </c>
      <c r="J261" s="52" t="s">
        <v>435</v>
      </c>
      <c r="K261" s="52" t="s">
        <v>435</v>
      </c>
      <c r="L261" s="52" t="s">
        <v>6</v>
      </c>
      <c r="M261" s="52" t="s">
        <v>6</v>
      </c>
      <c r="N261" s="52" t="s">
        <v>6</v>
      </c>
      <c r="O261" s="52" t="s">
        <v>6</v>
      </c>
      <c r="P261" s="52" t="s">
        <v>6</v>
      </c>
      <c r="Q261" s="52" t="s">
        <v>497</v>
      </c>
      <c r="R261" s="52" t="s">
        <v>497</v>
      </c>
      <c r="S261" s="52" t="s">
        <v>497</v>
      </c>
      <c r="T261" s="52" t="s">
        <v>497</v>
      </c>
      <c r="U261" s="52" t="s">
        <v>497</v>
      </c>
      <c r="V261" s="52" t="s">
        <v>647</v>
      </c>
      <c r="W261" s="52" t="s">
        <v>647</v>
      </c>
      <c r="X261" s="52" t="s">
        <v>647</v>
      </c>
      <c r="Y261" s="52" t="s">
        <v>647</v>
      </c>
      <c r="Z261" s="52" t="s">
        <v>647</v>
      </c>
      <c r="AA261" s="52" t="s">
        <v>498</v>
      </c>
      <c r="AB261" s="52" t="s">
        <v>498</v>
      </c>
      <c r="AC261" s="52" t="s">
        <v>498</v>
      </c>
      <c r="AD261" s="52" t="s">
        <v>498</v>
      </c>
      <c r="AE261" s="52" t="s">
        <v>498</v>
      </c>
      <c r="AF261" s="52" t="s">
        <v>648</v>
      </c>
      <c r="AG261" s="52" t="s">
        <v>648</v>
      </c>
      <c r="AH261" s="52" t="s">
        <v>648</v>
      </c>
      <c r="AI261" s="52" t="s">
        <v>648</v>
      </c>
      <c r="AJ261" s="52" t="s">
        <v>648</v>
      </c>
      <c r="AK261" s="52" t="s">
        <v>499</v>
      </c>
      <c r="AL261" s="52" t="s">
        <v>499</v>
      </c>
      <c r="AM261" s="52" t="s">
        <v>499</v>
      </c>
      <c r="AN261" s="52" t="s">
        <v>499</v>
      </c>
      <c r="AO261" s="52" t="s">
        <v>499</v>
      </c>
      <c r="AP261" s="52" t="s">
        <v>649</v>
      </c>
      <c r="AQ261" s="52" t="s">
        <v>649</v>
      </c>
      <c r="AR261" s="52" t="s">
        <v>649</v>
      </c>
      <c r="AS261" s="52" t="s">
        <v>649</v>
      </c>
      <c r="AT261" s="52" t="s">
        <v>649</v>
      </c>
      <c r="AU261" s="52" t="s">
        <v>1998</v>
      </c>
      <c r="AV261" s="52" t="s">
        <v>2052</v>
      </c>
      <c r="AW261" s="52" t="s">
        <v>2053</v>
      </c>
      <c r="AX261" s="52" t="s">
        <v>2053</v>
      </c>
      <c r="AY261" s="49"/>
      <c r="AZ261" s="49"/>
      <c r="BA261" s="49"/>
    </row>
    <row r="262" spans="2:53" ht="11.25" hidden="1" customHeight="1">
      <c r="B262" s="36" t="s">
        <v>413</v>
      </c>
      <c r="C262" s="52" t="s">
        <v>2023</v>
      </c>
      <c r="D262" s="52" t="s">
        <v>2023</v>
      </c>
      <c r="E262" s="52" t="s">
        <v>1998</v>
      </c>
      <c r="F262" s="52" t="s">
        <v>2052</v>
      </c>
      <c r="G262" s="52" t="s">
        <v>435</v>
      </c>
      <c r="H262" s="52" t="s">
        <v>435</v>
      </c>
      <c r="I262" s="52" t="s">
        <v>435</v>
      </c>
      <c r="J262" s="52" t="s">
        <v>435</v>
      </c>
      <c r="K262" s="52" t="s">
        <v>435</v>
      </c>
      <c r="L262" s="52" t="s">
        <v>6</v>
      </c>
      <c r="M262" s="52" t="s">
        <v>6</v>
      </c>
      <c r="N262" s="52" t="s">
        <v>6</v>
      </c>
      <c r="O262" s="52" t="s">
        <v>6</v>
      </c>
      <c r="P262" s="52" t="s">
        <v>6</v>
      </c>
      <c r="Q262" s="52" t="s">
        <v>497</v>
      </c>
      <c r="R262" s="52" t="s">
        <v>497</v>
      </c>
      <c r="S262" s="52" t="s">
        <v>497</v>
      </c>
      <c r="T262" s="52" t="s">
        <v>497</v>
      </c>
      <c r="U262" s="52" t="s">
        <v>497</v>
      </c>
      <c r="V262" s="52" t="s">
        <v>647</v>
      </c>
      <c r="W262" s="52" t="s">
        <v>647</v>
      </c>
      <c r="X262" s="52" t="s">
        <v>647</v>
      </c>
      <c r="Y262" s="52" t="s">
        <v>647</v>
      </c>
      <c r="Z262" s="52" t="s">
        <v>647</v>
      </c>
      <c r="AA262" s="52" t="s">
        <v>498</v>
      </c>
      <c r="AB262" s="52" t="s">
        <v>498</v>
      </c>
      <c r="AC262" s="52" t="s">
        <v>498</v>
      </c>
      <c r="AD262" s="52" t="s">
        <v>498</v>
      </c>
      <c r="AE262" s="52" t="s">
        <v>498</v>
      </c>
      <c r="AF262" s="52" t="s">
        <v>648</v>
      </c>
      <c r="AG262" s="52" t="s">
        <v>648</v>
      </c>
      <c r="AH262" s="52" t="s">
        <v>648</v>
      </c>
      <c r="AI262" s="52" t="s">
        <v>648</v>
      </c>
      <c r="AJ262" s="52" t="s">
        <v>648</v>
      </c>
      <c r="AK262" s="52" t="s">
        <v>499</v>
      </c>
      <c r="AL262" s="52" t="s">
        <v>499</v>
      </c>
      <c r="AM262" s="52" t="s">
        <v>499</v>
      </c>
      <c r="AN262" s="52" t="s">
        <v>499</v>
      </c>
      <c r="AO262" s="52" t="s">
        <v>499</v>
      </c>
      <c r="AP262" s="52" t="s">
        <v>649</v>
      </c>
      <c r="AQ262" s="52" t="s">
        <v>649</v>
      </c>
      <c r="AR262" s="52" t="s">
        <v>649</v>
      </c>
      <c r="AS262" s="52" t="s">
        <v>649</v>
      </c>
      <c r="AT262" s="52" t="s">
        <v>649</v>
      </c>
      <c r="AU262" s="52" t="s">
        <v>1998</v>
      </c>
      <c r="AV262" s="52" t="s">
        <v>2052</v>
      </c>
      <c r="AW262" s="52" t="s">
        <v>2053</v>
      </c>
      <c r="AX262" s="52" t="s">
        <v>2053</v>
      </c>
      <c r="AY262" s="49"/>
      <c r="AZ262" s="49"/>
      <c r="BA262" s="49"/>
    </row>
    <row r="263" spans="2:53" ht="11.25" hidden="1" customHeight="1">
      <c r="B263" s="36" t="s">
        <v>414</v>
      </c>
      <c r="C263" s="52" t="s">
        <v>2023</v>
      </c>
      <c r="D263" s="52" t="s">
        <v>2023</v>
      </c>
      <c r="E263" s="52" t="s">
        <v>1998</v>
      </c>
      <c r="F263" s="52" t="s">
        <v>2052</v>
      </c>
      <c r="G263" s="52" t="s">
        <v>435</v>
      </c>
      <c r="H263" s="52" t="s">
        <v>435</v>
      </c>
      <c r="I263" s="52" t="s">
        <v>435</v>
      </c>
      <c r="J263" s="52" t="s">
        <v>435</v>
      </c>
      <c r="K263" s="52" t="s">
        <v>435</v>
      </c>
      <c r="L263" s="52" t="s">
        <v>6</v>
      </c>
      <c r="M263" s="52" t="s">
        <v>6</v>
      </c>
      <c r="N263" s="52" t="s">
        <v>6</v>
      </c>
      <c r="O263" s="52" t="s">
        <v>6</v>
      </c>
      <c r="P263" s="52" t="s">
        <v>6</v>
      </c>
      <c r="Q263" s="52" t="s">
        <v>497</v>
      </c>
      <c r="R263" s="52" t="s">
        <v>497</v>
      </c>
      <c r="S263" s="52" t="s">
        <v>497</v>
      </c>
      <c r="T263" s="52" t="s">
        <v>497</v>
      </c>
      <c r="U263" s="52" t="s">
        <v>497</v>
      </c>
      <c r="V263" s="52" t="s">
        <v>647</v>
      </c>
      <c r="W263" s="52" t="s">
        <v>647</v>
      </c>
      <c r="X263" s="52" t="s">
        <v>647</v>
      </c>
      <c r="Y263" s="52" t="s">
        <v>647</v>
      </c>
      <c r="Z263" s="52" t="s">
        <v>647</v>
      </c>
      <c r="AA263" s="52" t="s">
        <v>498</v>
      </c>
      <c r="AB263" s="52" t="s">
        <v>498</v>
      </c>
      <c r="AC263" s="52" t="s">
        <v>498</v>
      </c>
      <c r="AD263" s="52" t="s">
        <v>498</v>
      </c>
      <c r="AE263" s="52" t="s">
        <v>498</v>
      </c>
      <c r="AF263" s="52" t="s">
        <v>648</v>
      </c>
      <c r="AG263" s="52" t="s">
        <v>648</v>
      </c>
      <c r="AH263" s="52" t="s">
        <v>648</v>
      </c>
      <c r="AI263" s="52" t="s">
        <v>648</v>
      </c>
      <c r="AJ263" s="52" t="s">
        <v>648</v>
      </c>
      <c r="AK263" s="52" t="s">
        <v>499</v>
      </c>
      <c r="AL263" s="52" t="s">
        <v>499</v>
      </c>
      <c r="AM263" s="52" t="s">
        <v>499</v>
      </c>
      <c r="AN263" s="52" t="s">
        <v>499</v>
      </c>
      <c r="AO263" s="52" t="s">
        <v>499</v>
      </c>
      <c r="AP263" s="52" t="s">
        <v>649</v>
      </c>
      <c r="AQ263" s="52" t="s">
        <v>649</v>
      </c>
      <c r="AR263" s="52" t="s">
        <v>649</v>
      </c>
      <c r="AS263" s="52" t="s">
        <v>649</v>
      </c>
      <c r="AT263" s="52" t="s">
        <v>649</v>
      </c>
      <c r="AU263" s="52" t="s">
        <v>1998</v>
      </c>
      <c r="AV263" s="52" t="s">
        <v>2052</v>
      </c>
      <c r="AW263" s="52" t="s">
        <v>2053</v>
      </c>
      <c r="AX263" s="52" t="s">
        <v>2053</v>
      </c>
      <c r="AY263" s="49"/>
      <c r="AZ263" s="49"/>
      <c r="BA263" s="49"/>
    </row>
    <row r="264" spans="2:53" ht="11.25" hidden="1" customHeight="1">
      <c r="B264" s="36" t="s">
        <v>1214</v>
      </c>
      <c r="C264" s="52" t="s">
        <v>2023</v>
      </c>
      <c r="D264" s="52" t="s">
        <v>2023</v>
      </c>
      <c r="E264" s="52" t="s">
        <v>1998</v>
      </c>
      <c r="F264" s="52" t="s">
        <v>2052</v>
      </c>
      <c r="G264" s="52" t="s">
        <v>436</v>
      </c>
      <c r="H264" s="52" t="s">
        <v>436</v>
      </c>
      <c r="I264" s="52" t="s">
        <v>436</v>
      </c>
      <c r="J264" s="52" t="s">
        <v>436</v>
      </c>
      <c r="K264" s="52" t="s">
        <v>436</v>
      </c>
      <c r="L264" s="52" t="s">
        <v>1</v>
      </c>
      <c r="M264" s="52" t="s">
        <v>1</v>
      </c>
      <c r="N264" s="52" t="s">
        <v>1</v>
      </c>
      <c r="O264" s="52" t="s">
        <v>1</v>
      </c>
      <c r="P264" s="52" t="s">
        <v>1</v>
      </c>
      <c r="Q264" s="52" t="s">
        <v>516</v>
      </c>
      <c r="R264" s="52" t="s">
        <v>516</v>
      </c>
      <c r="S264" s="52" t="s">
        <v>516</v>
      </c>
      <c r="T264" s="52" t="s">
        <v>516</v>
      </c>
      <c r="U264" s="52" t="s">
        <v>516</v>
      </c>
      <c r="V264" s="52" t="s">
        <v>665</v>
      </c>
      <c r="W264" s="52" t="s">
        <v>665</v>
      </c>
      <c r="X264" s="52" t="s">
        <v>665</v>
      </c>
      <c r="Y264" s="52" t="s">
        <v>665</v>
      </c>
      <c r="Z264" s="52" t="s">
        <v>665</v>
      </c>
      <c r="AA264" s="52" t="s">
        <v>517</v>
      </c>
      <c r="AB264" s="52" t="s">
        <v>517</v>
      </c>
      <c r="AC264" s="52" t="s">
        <v>517</v>
      </c>
      <c r="AD264" s="52" t="s">
        <v>517</v>
      </c>
      <c r="AE264" s="52" t="s">
        <v>517</v>
      </c>
      <c r="AF264" s="52" t="s">
        <v>666</v>
      </c>
      <c r="AG264" s="52" t="s">
        <v>666</v>
      </c>
      <c r="AH264" s="52" t="s">
        <v>666</v>
      </c>
      <c r="AI264" s="52" t="s">
        <v>666</v>
      </c>
      <c r="AJ264" s="52" t="s">
        <v>666</v>
      </c>
      <c r="AK264" s="52" t="s">
        <v>518</v>
      </c>
      <c r="AL264" s="52" t="s">
        <v>518</v>
      </c>
      <c r="AM264" s="52" t="s">
        <v>518</v>
      </c>
      <c r="AN264" s="52" t="s">
        <v>518</v>
      </c>
      <c r="AO264" s="52" t="s">
        <v>518</v>
      </c>
      <c r="AP264" s="52" t="s">
        <v>667</v>
      </c>
      <c r="AQ264" s="52" t="s">
        <v>667</v>
      </c>
      <c r="AR264" s="52" t="s">
        <v>667</v>
      </c>
      <c r="AS264" s="52" t="s">
        <v>667</v>
      </c>
      <c r="AT264" s="52" t="s">
        <v>667</v>
      </c>
      <c r="AU264" s="52" t="s">
        <v>1998</v>
      </c>
      <c r="AV264" s="52" t="s">
        <v>2052</v>
      </c>
      <c r="AW264" s="52" t="s">
        <v>2053</v>
      </c>
      <c r="AX264" s="52" t="s">
        <v>2053</v>
      </c>
      <c r="AY264" s="49"/>
      <c r="AZ264" s="49"/>
      <c r="BA264" s="49"/>
    </row>
    <row r="265" spans="2:53" ht="11.25" hidden="1" customHeight="1">
      <c r="B265" s="36" t="s">
        <v>1263</v>
      </c>
      <c r="C265" s="52" t="s">
        <v>2023</v>
      </c>
      <c r="D265" s="52" t="s">
        <v>2023</v>
      </c>
      <c r="E265" s="52" t="s">
        <v>1998</v>
      </c>
      <c r="F265" s="52" t="s">
        <v>2052</v>
      </c>
      <c r="G265" s="52" t="s">
        <v>436</v>
      </c>
      <c r="H265" s="52" t="s">
        <v>436</v>
      </c>
      <c r="I265" s="52" t="s">
        <v>436</v>
      </c>
      <c r="J265" s="52" t="s">
        <v>436</v>
      </c>
      <c r="K265" s="52" t="s">
        <v>436</v>
      </c>
      <c r="L265" s="52" t="s">
        <v>1</v>
      </c>
      <c r="M265" s="52" t="s">
        <v>1</v>
      </c>
      <c r="N265" s="52" t="s">
        <v>1</v>
      </c>
      <c r="O265" s="52" t="s">
        <v>1</v>
      </c>
      <c r="P265" s="52" t="s">
        <v>1</v>
      </c>
      <c r="Q265" s="52" t="s">
        <v>516</v>
      </c>
      <c r="R265" s="52" t="s">
        <v>516</v>
      </c>
      <c r="S265" s="52" t="s">
        <v>516</v>
      </c>
      <c r="T265" s="52" t="s">
        <v>516</v>
      </c>
      <c r="U265" s="52" t="s">
        <v>516</v>
      </c>
      <c r="V265" s="52" t="s">
        <v>665</v>
      </c>
      <c r="W265" s="52" t="s">
        <v>665</v>
      </c>
      <c r="X265" s="52" t="s">
        <v>665</v>
      </c>
      <c r="Y265" s="52" t="s">
        <v>665</v>
      </c>
      <c r="Z265" s="52" t="s">
        <v>665</v>
      </c>
      <c r="AA265" s="52" t="s">
        <v>517</v>
      </c>
      <c r="AB265" s="52" t="s">
        <v>517</v>
      </c>
      <c r="AC265" s="52" t="s">
        <v>517</v>
      </c>
      <c r="AD265" s="52" t="s">
        <v>517</v>
      </c>
      <c r="AE265" s="52" t="s">
        <v>517</v>
      </c>
      <c r="AF265" s="52" t="s">
        <v>666</v>
      </c>
      <c r="AG265" s="52" t="s">
        <v>666</v>
      </c>
      <c r="AH265" s="52" t="s">
        <v>666</v>
      </c>
      <c r="AI265" s="52" t="s">
        <v>666</v>
      </c>
      <c r="AJ265" s="52" t="s">
        <v>666</v>
      </c>
      <c r="AK265" s="52" t="s">
        <v>518</v>
      </c>
      <c r="AL265" s="52" t="s">
        <v>518</v>
      </c>
      <c r="AM265" s="52" t="s">
        <v>518</v>
      </c>
      <c r="AN265" s="52" t="s">
        <v>518</v>
      </c>
      <c r="AO265" s="52" t="s">
        <v>518</v>
      </c>
      <c r="AP265" s="52" t="s">
        <v>667</v>
      </c>
      <c r="AQ265" s="52" t="s">
        <v>667</v>
      </c>
      <c r="AR265" s="52" t="s">
        <v>667</v>
      </c>
      <c r="AS265" s="52" t="s">
        <v>667</v>
      </c>
      <c r="AT265" s="52" t="s">
        <v>667</v>
      </c>
      <c r="AU265" s="52" t="s">
        <v>1998</v>
      </c>
      <c r="AV265" s="52" t="s">
        <v>2052</v>
      </c>
      <c r="AW265" s="52" t="s">
        <v>2053</v>
      </c>
      <c r="AX265" s="52" t="s">
        <v>2053</v>
      </c>
      <c r="AY265" s="49"/>
      <c r="AZ265" s="49"/>
      <c r="BA265" s="49"/>
    </row>
    <row r="266" spans="2:53" ht="11.25" hidden="1" customHeight="1">
      <c r="B266" s="36" t="s">
        <v>1312</v>
      </c>
      <c r="C266" s="52" t="s">
        <v>2023</v>
      </c>
      <c r="D266" s="52" t="s">
        <v>2023</v>
      </c>
      <c r="E266" s="52" t="s">
        <v>1998</v>
      </c>
      <c r="F266" s="52" t="s">
        <v>2052</v>
      </c>
      <c r="G266" s="52" t="s">
        <v>436</v>
      </c>
      <c r="H266" s="52" t="s">
        <v>436</v>
      </c>
      <c r="I266" s="52" t="s">
        <v>436</v>
      </c>
      <c r="J266" s="52" t="s">
        <v>436</v>
      </c>
      <c r="K266" s="52" t="s">
        <v>436</v>
      </c>
      <c r="L266" s="52" t="s">
        <v>1</v>
      </c>
      <c r="M266" s="52" t="s">
        <v>1</v>
      </c>
      <c r="N266" s="52" t="s">
        <v>1</v>
      </c>
      <c r="O266" s="52" t="s">
        <v>1</v>
      </c>
      <c r="P266" s="52" t="s">
        <v>1</v>
      </c>
      <c r="Q266" s="52" t="s">
        <v>516</v>
      </c>
      <c r="R266" s="52" t="s">
        <v>516</v>
      </c>
      <c r="S266" s="52" t="s">
        <v>516</v>
      </c>
      <c r="T266" s="52" t="s">
        <v>516</v>
      </c>
      <c r="U266" s="52" t="s">
        <v>516</v>
      </c>
      <c r="V266" s="52" t="s">
        <v>665</v>
      </c>
      <c r="W266" s="52" t="s">
        <v>665</v>
      </c>
      <c r="X266" s="52" t="s">
        <v>665</v>
      </c>
      <c r="Y266" s="52" t="s">
        <v>665</v>
      </c>
      <c r="Z266" s="52" t="s">
        <v>665</v>
      </c>
      <c r="AA266" s="52" t="s">
        <v>517</v>
      </c>
      <c r="AB266" s="52" t="s">
        <v>517</v>
      </c>
      <c r="AC266" s="52" t="s">
        <v>517</v>
      </c>
      <c r="AD266" s="52" t="s">
        <v>517</v>
      </c>
      <c r="AE266" s="52" t="s">
        <v>517</v>
      </c>
      <c r="AF266" s="52" t="s">
        <v>666</v>
      </c>
      <c r="AG266" s="52" t="s">
        <v>666</v>
      </c>
      <c r="AH266" s="52" t="s">
        <v>666</v>
      </c>
      <c r="AI266" s="52" t="s">
        <v>666</v>
      </c>
      <c r="AJ266" s="52" t="s">
        <v>666</v>
      </c>
      <c r="AK266" s="52" t="s">
        <v>518</v>
      </c>
      <c r="AL266" s="52" t="s">
        <v>518</v>
      </c>
      <c r="AM266" s="52" t="s">
        <v>518</v>
      </c>
      <c r="AN266" s="52" t="s">
        <v>518</v>
      </c>
      <c r="AO266" s="52" t="s">
        <v>518</v>
      </c>
      <c r="AP266" s="52" t="s">
        <v>667</v>
      </c>
      <c r="AQ266" s="52" t="s">
        <v>667</v>
      </c>
      <c r="AR266" s="52" t="s">
        <v>667</v>
      </c>
      <c r="AS266" s="52" t="s">
        <v>667</v>
      </c>
      <c r="AT266" s="52" t="s">
        <v>667</v>
      </c>
      <c r="AU266" s="52" t="s">
        <v>1998</v>
      </c>
      <c r="AV266" s="52" t="s">
        <v>2052</v>
      </c>
      <c r="AW266" s="52" t="s">
        <v>2053</v>
      </c>
      <c r="AX266" s="52" t="s">
        <v>2053</v>
      </c>
      <c r="AY266" s="49"/>
      <c r="AZ266" s="49"/>
      <c r="BA266" s="49"/>
    </row>
    <row r="267" spans="2:53" ht="11.25" hidden="1" customHeight="1">
      <c r="B267" s="36" t="s">
        <v>1361</v>
      </c>
      <c r="C267" s="52" t="s">
        <v>2023</v>
      </c>
      <c r="D267" s="52" t="s">
        <v>2023</v>
      </c>
      <c r="E267" s="52" t="s">
        <v>1998</v>
      </c>
      <c r="F267" s="52" t="s">
        <v>2052</v>
      </c>
      <c r="G267" s="52" t="s">
        <v>436</v>
      </c>
      <c r="H267" s="52" t="s">
        <v>436</v>
      </c>
      <c r="I267" s="52" t="s">
        <v>436</v>
      </c>
      <c r="J267" s="52" t="s">
        <v>436</v>
      </c>
      <c r="K267" s="52" t="s">
        <v>436</v>
      </c>
      <c r="L267" s="52" t="s">
        <v>1</v>
      </c>
      <c r="M267" s="52" t="s">
        <v>1</v>
      </c>
      <c r="N267" s="52" t="s">
        <v>1</v>
      </c>
      <c r="O267" s="52" t="s">
        <v>1</v>
      </c>
      <c r="P267" s="52" t="s">
        <v>1</v>
      </c>
      <c r="Q267" s="52" t="s">
        <v>516</v>
      </c>
      <c r="R267" s="52" t="s">
        <v>516</v>
      </c>
      <c r="S267" s="52" t="s">
        <v>516</v>
      </c>
      <c r="T267" s="52" t="s">
        <v>516</v>
      </c>
      <c r="U267" s="52" t="s">
        <v>516</v>
      </c>
      <c r="V267" s="52" t="s">
        <v>665</v>
      </c>
      <c r="W267" s="52" t="s">
        <v>665</v>
      </c>
      <c r="X267" s="52" t="s">
        <v>665</v>
      </c>
      <c r="Y267" s="52" t="s">
        <v>665</v>
      </c>
      <c r="Z267" s="52" t="s">
        <v>665</v>
      </c>
      <c r="AA267" s="52" t="s">
        <v>517</v>
      </c>
      <c r="AB267" s="52" t="s">
        <v>517</v>
      </c>
      <c r="AC267" s="52" t="s">
        <v>517</v>
      </c>
      <c r="AD267" s="52" t="s">
        <v>517</v>
      </c>
      <c r="AE267" s="52" t="s">
        <v>517</v>
      </c>
      <c r="AF267" s="52" t="s">
        <v>666</v>
      </c>
      <c r="AG267" s="52" t="s">
        <v>666</v>
      </c>
      <c r="AH267" s="52" t="s">
        <v>666</v>
      </c>
      <c r="AI267" s="52" t="s">
        <v>666</v>
      </c>
      <c r="AJ267" s="52" t="s">
        <v>666</v>
      </c>
      <c r="AK267" s="52" t="s">
        <v>518</v>
      </c>
      <c r="AL267" s="52" t="s">
        <v>518</v>
      </c>
      <c r="AM267" s="52" t="s">
        <v>518</v>
      </c>
      <c r="AN267" s="52" t="s">
        <v>518</v>
      </c>
      <c r="AO267" s="52" t="s">
        <v>518</v>
      </c>
      <c r="AP267" s="52" t="s">
        <v>667</v>
      </c>
      <c r="AQ267" s="52" t="s">
        <v>667</v>
      </c>
      <c r="AR267" s="52" t="s">
        <v>667</v>
      </c>
      <c r="AS267" s="52" t="s">
        <v>667</v>
      </c>
      <c r="AT267" s="52" t="s">
        <v>667</v>
      </c>
      <c r="AU267" s="52" t="s">
        <v>1998</v>
      </c>
      <c r="AV267" s="52" t="s">
        <v>2052</v>
      </c>
      <c r="AW267" s="52" t="s">
        <v>2053</v>
      </c>
      <c r="AX267" s="52" t="s">
        <v>2053</v>
      </c>
      <c r="AY267" s="49"/>
      <c r="AZ267" s="49"/>
      <c r="BA267" s="49"/>
    </row>
    <row r="268" spans="2:53" ht="11.25" hidden="1" customHeight="1">
      <c r="B268" s="36" t="s">
        <v>1410</v>
      </c>
      <c r="C268" s="52" t="s">
        <v>2023</v>
      </c>
      <c r="D268" s="52" t="s">
        <v>2023</v>
      </c>
      <c r="E268" s="52" t="s">
        <v>1998</v>
      </c>
      <c r="F268" s="52" t="s">
        <v>2052</v>
      </c>
      <c r="G268" s="52" t="s">
        <v>437</v>
      </c>
      <c r="H268" s="52" t="s">
        <v>437</v>
      </c>
      <c r="I268" s="52" t="s">
        <v>437</v>
      </c>
      <c r="J268" s="52" t="s">
        <v>437</v>
      </c>
      <c r="K268" s="52" t="s">
        <v>437</v>
      </c>
      <c r="L268" s="52" t="s">
        <v>3</v>
      </c>
      <c r="M268" s="52" t="s">
        <v>3</v>
      </c>
      <c r="N268" s="52" t="s">
        <v>3</v>
      </c>
      <c r="O268" s="52" t="s">
        <v>3</v>
      </c>
      <c r="P268" s="52" t="s">
        <v>3</v>
      </c>
      <c r="Q268" s="52" t="s">
        <v>535</v>
      </c>
      <c r="R268" s="52" t="s">
        <v>535</v>
      </c>
      <c r="S268" s="52" t="s">
        <v>535</v>
      </c>
      <c r="T268" s="52" t="s">
        <v>535</v>
      </c>
      <c r="U268" s="52" t="s">
        <v>535</v>
      </c>
      <c r="V268" s="52" t="s">
        <v>684</v>
      </c>
      <c r="W268" s="52" t="s">
        <v>684</v>
      </c>
      <c r="X268" s="52" t="s">
        <v>684</v>
      </c>
      <c r="Y268" s="52" t="s">
        <v>684</v>
      </c>
      <c r="Z268" s="52" t="s">
        <v>684</v>
      </c>
      <c r="AA268" s="52" t="s">
        <v>536</v>
      </c>
      <c r="AB268" s="52" t="s">
        <v>536</v>
      </c>
      <c r="AC268" s="52" t="s">
        <v>536</v>
      </c>
      <c r="AD268" s="52" t="s">
        <v>536</v>
      </c>
      <c r="AE268" s="52" t="s">
        <v>536</v>
      </c>
      <c r="AF268" s="52" t="s">
        <v>685</v>
      </c>
      <c r="AG268" s="52" t="s">
        <v>685</v>
      </c>
      <c r="AH268" s="52" t="s">
        <v>685</v>
      </c>
      <c r="AI268" s="52" t="s">
        <v>685</v>
      </c>
      <c r="AJ268" s="52" t="s">
        <v>685</v>
      </c>
      <c r="AK268" s="52" t="s">
        <v>537</v>
      </c>
      <c r="AL268" s="52" t="s">
        <v>537</v>
      </c>
      <c r="AM268" s="52" t="s">
        <v>537</v>
      </c>
      <c r="AN268" s="52" t="s">
        <v>537</v>
      </c>
      <c r="AO268" s="52" t="s">
        <v>537</v>
      </c>
      <c r="AP268" s="52" t="s">
        <v>686</v>
      </c>
      <c r="AQ268" s="52" t="s">
        <v>686</v>
      </c>
      <c r="AR268" s="52" t="s">
        <v>686</v>
      </c>
      <c r="AS268" s="52" t="s">
        <v>686</v>
      </c>
      <c r="AT268" s="52" t="s">
        <v>686</v>
      </c>
      <c r="AU268" s="52" t="s">
        <v>1998</v>
      </c>
      <c r="AV268" s="52" t="s">
        <v>2052</v>
      </c>
      <c r="AW268" s="52" t="s">
        <v>2053</v>
      </c>
      <c r="AX268" s="52" t="s">
        <v>2053</v>
      </c>
      <c r="AY268" s="49"/>
      <c r="AZ268" s="49"/>
      <c r="BA268" s="49"/>
    </row>
    <row r="269" spans="2:53" ht="11.25" hidden="1" customHeight="1">
      <c r="B269" s="36" t="s">
        <v>1459</v>
      </c>
      <c r="C269" s="52" t="s">
        <v>2023</v>
      </c>
      <c r="D269" s="52" t="s">
        <v>2023</v>
      </c>
      <c r="E269" s="52" t="s">
        <v>1998</v>
      </c>
      <c r="F269" s="52" t="s">
        <v>2052</v>
      </c>
      <c r="G269" s="52" t="s">
        <v>437</v>
      </c>
      <c r="H269" s="52" t="s">
        <v>437</v>
      </c>
      <c r="I269" s="52" t="s">
        <v>437</v>
      </c>
      <c r="J269" s="52" t="s">
        <v>437</v>
      </c>
      <c r="K269" s="52" t="s">
        <v>437</v>
      </c>
      <c r="L269" s="52" t="s">
        <v>3</v>
      </c>
      <c r="M269" s="52" t="s">
        <v>3</v>
      </c>
      <c r="N269" s="52" t="s">
        <v>3</v>
      </c>
      <c r="O269" s="52" t="s">
        <v>3</v>
      </c>
      <c r="P269" s="52" t="s">
        <v>3</v>
      </c>
      <c r="Q269" s="52" t="s">
        <v>535</v>
      </c>
      <c r="R269" s="52" t="s">
        <v>535</v>
      </c>
      <c r="S269" s="52" t="s">
        <v>535</v>
      </c>
      <c r="T269" s="52" t="s">
        <v>535</v>
      </c>
      <c r="U269" s="52" t="s">
        <v>535</v>
      </c>
      <c r="V269" s="52" t="s">
        <v>684</v>
      </c>
      <c r="W269" s="52" t="s">
        <v>684</v>
      </c>
      <c r="X269" s="52" t="s">
        <v>684</v>
      </c>
      <c r="Y269" s="52" t="s">
        <v>684</v>
      </c>
      <c r="Z269" s="52" t="s">
        <v>684</v>
      </c>
      <c r="AA269" s="52" t="s">
        <v>536</v>
      </c>
      <c r="AB269" s="52" t="s">
        <v>536</v>
      </c>
      <c r="AC269" s="52" t="s">
        <v>536</v>
      </c>
      <c r="AD269" s="52" t="s">
        <v>536</v>
      </c>
      <c r="AE269" s="52" t="s">
        <v>536</v>
      </c>
      <c r="AF269" s="52" t="s">
        <v>685</v>
      </c>
      <c r="AG269" s="52" t="s">
        <v>685</v>
      </c>
      <c r="AH269" s="52" t="s">
        <v>685</v>
      </c>
      <c r="AI269" s="52" t="s">
        <v>685</v>
      </c>
      <c r="AJ269" s="52" t="s">
        <v>685</v>
      </c>
      <c r="AK269" s="52" t="s">
        <v>537</v>
      </c>
      <c r="AL269" s="52" t="s">
        <v>537</v>
      </c>
      <c r="AM269" s="52" t="s">
        <v>537</v>
      </c>
      <c r="AN269" s="52" t="s">
        <v>537</v>
      </c>
      <c r="AO269" s="52" t="s">
        <v>537</v>
      </c>
      <c r="AP269" s="52" t="s">
        <v>686</v>
      </c>
      <c r="AQ269" s="52" t="s">
        <v>686</v>
      </c>
      <c r="AR269" s="52" t="s">
        <v>686</v>
      </c>
      <c r="AS269" s="52" t="s">
        <v>686</v>
      </c>
      <c r="AT269" s="52" t="s">
        <v>686</v>
      </c>
      <c r="AU269" s="52" t="s">
        <v>1998</v>
      </c>
      <c r="AV269" s="52" t="s">
        <v>2052</v>
      </c>
      <c r="AW269" s="52" t="s">
        <v>2053</v>
      </c>
      <c r="AX269" s="52" t="s">
        <v>2053</v>
      </c>
      <c r="AY269" s="49"/>
      <c r="AZ269" s="49"/>
      <c r="BA269" s="49"/>
    </row>
    <row r="270" spans="2:53" ht="11.25" hidden="1" customHeight="1">
      <c r="B270" s="36" t="s">
        <v>1508</v>
      </c>
      <c r="C270" s="52" t="s">
        <v>2023</v>
      </c>
      <c r="D270" s="52" t="s">
        <v>2023</v>
      </c>
      <c r="E270" s="52" t="s">
        <v>1998</v>
      </c>
      <c r="F270" s="52" t="s">
        <v>2052</v>
      </c>
      <c r="G270" s="52" t="s">
        <v>437</v>
      </c>
      <c r="H270" s="52" t="s">
        <v>437</v>
      </c>
      <c r="I270" s="52" t="s">
        <v>437</v>
      </c>
      <c r="J270" s="52" t="s">
        <v>437</v>
      </c>
      <c r="K270" s="52" t="s">
        <v>437</v>
      </c>
      <c r="L270" s="52" t="s">
        <v>3</v>
      </c>
      <c r="M270" s="52" t="s">
        <v>3</v>
      </c>
      <c r="N270" s="52" t="s">
        <v>3</v>
      </c>
      <c r="O270" s="52" t="s">
        <v>3</v>
      </c>
      <c r="P270" s="52" t="s">
        <v>3</v>
      </c>
      <c r="Q270" s="52" t="s">
        <v>535</v>
      </c>
      <c r="R270" s="52" t="s">
        <v>535</v>
      </c>
      <c r="S270" s="52" t="s">
        <v>535</v>
      </c>
      <c r="T270" s="52" t="s">
        <v>535</v>
      </c>
      <c r="U270" s="52" t="s">
        <v>535</v>
      </c>
      <c r="V270" s="52" t="s">
        <v>684</v>
      </c>
      <c r="W270" s="52" t="s">
        <v>684</v>
      </c>
      <c r="X270" s="52" t="s">
        <v>684</v>
      </c>
      <c r="Y270" s="52" t="s">
        <v>684</v>
      </c>
      <c r="Z270" s="52" t="s">
        <v>684</v>
      </c>
      <c r="AA270" s="52" t="s">
        <v>536</v>
      </c>
      <c r="AB270" s="52" t="s">
        <v>536</v>
      </c>
      <c r="AC270" s="52" t="s">
        <v>536</v>
      </c>
      <c r="AD270" s="52" t="s">
        <v>536</v>
      </c>
      <c r="AE270" s="52" t="s">
        <v>536</v>
      </c>
      <c r="AF270" s="52" t="s">
        <v>685</v>
      </c>
      <c r="AG270" s="52" t="s">
        <v>685</v>
      </c>
      <c r="AH270" s="52" t="s">
        <v>685</v>
      </c>
      <c r="AI270" s="52" t="s">
        <v>685</v>
      </c>
      <c r="AJ270" s="52" t="s">
        <v>685</v>
      </c>
      <c r="AK270" s="52" t="s">
        <v>537</v>
      </c>
      <c r="AL270" s="52" t="s">
        <v>537</v>
      </c>
      <c r="AM270" s="52" t="s">
        <v>537</v>
      </c>
      <c r="AN270" s="52" t="s">
        <v>537</v>
      </c>
      <c r="AO270" s="52" t="s">
        <v>537</v>
      </c>
      <c r="AP270" s="52" t="s">
        <v>686</v>
      </c>
      <c r="AQ270" s="52" t="s">
        <v>686</v>
      </c>
      <c r="AR270" s="52" t="s">
        <v>686</v>
      </c>
      <c r="AS270" s="52" t="s">
        <v>686</v>
      </c>
      <c r="AT270" s="52" t="s">
        <v>686</v>
      </c>
      <c r="AU270" s="52" t="s">
        <v>1998</v>
      </c>
      <c r="AV270" s="52" t="s">
        <v>2052</v>
      </c>
      <c r="AW270" s="52" t="s">
        <v>2053</v>
      </c>
      <c r="AX270" s="52" t="s">
        <v>2053</v>
      </c>
      <c r="AY270" s="49"/>
      <c r="AZ270" s="49"/>
      <c r="BA270" s="49"/>
    </row>
    <row r="271" spans="2:53" ht="11.25" hidden="1" customHeight="1">
      <c r="B271" s="36" t="s">
        <v>1557</v>
      </c>
      <c r="C271" s="52" t="s">
        <v>2023</v>
      </c>
      <c r="D271" s="52" t="s">
        <v>2023</v>
      </c>
      <c r="E271" s="52" t="s">
        <v>1998</v>
      </c>
      <c r="F271" s="52" t="s">
        <v>2052</v>
      </c>
      <c r="G271" s="52" t="s">
        <v>437</v>
      </c>
      <c r="H271" s="52" t="s">
        <v>437</v>
      </c>
      <c r="I271" s="52" t="s">
        <v>437</v>
      </c>
      <c r="J271" s="52" t="s">
        <v>437</v>
      </c>
      <c r="K271" s="52" t="s">
        <v>437</v>
      </c>
      <c r="L271" s="52" t="s">
        <v>3</v>
      </c>
      <c r="M271" s="52" t="s">
        <v>3</v>
      </c>
      <c r="N271" s="52" t="s">
        <v>3</v>
      </c>
      <c r="O271" s="52" t="s">
        <v>3</v>
      </c>
      <c r="P271" s="52" t="s">
        <v>3</v>
      </c>
      <c r="Q271" s="52" t="s">
        <v>535</v>
      </c>
      <c r="R271" s="52" t="s">
        <v>535</v>
      </c>
      <c r="S271" s="52" t="s">
        <v>535</v>
      </c>
      <c r="T271" s="52" t="s">
        <v>535</v>
      </c>
      <c r="U271" s="52" t="s">
        <v>535</v>
      </c>
      <c r="V271" s="52" t="s">
        <v>684</v>
      </c>
      <c r="W271" s="52" t="s">
        <v>684</v>
      </c>
      <c r="X271" s="52" t="s">
        <v>684</v>
      </c>
      <c r="Y271" s="52" t="s">
        <v>684</v>
      </c>
      <c r="Z271" s="52" t="s">
        <v>684</v>
      </c>
      <c r="AA271" s="52" t="s">
        <v>536</v>
      </c>
      <c r="AB271" s="52" t="s">
        <v>536</v>
      </c>
      <c r="AC271" s="52" t="s">
        <v>536</v>
      </c>
      <c r="AD271" s="52" t="s">
        <v>536</v>
      </c>
      <c r="AE271" s="52" t="s">
        <v>536</v>
      </c>
      <c r="AF271" s="52" t="s">
        <v>685</v>
      </c>
      <c r="AG271" s="52" t="s">
        <v>685</v>
      </c>
      <c r="AH271" s="52" t="s">
        <v>685</v>
      </c>
      <c r="AI271" s="52" t="s">
        <v>685</v>
      </c>
      <c r="AJ271" s="52" t="s">
        <v>685</v>
      </c>
      <c r="AK271" s="52" t="s">
        <v>537</v>
      </c>
      <c r="AL271" s="52" t="s">
        <v>537</v>
      </c>
      <c r="AM271" s="52" t="s">
        <v>537</v>
      </c>
      <c r="AN271" s="52" t="s">
        <v>537</v>
      </c>
      <c r="AO271" s="52" t="s">
        <v>537</v>
      </c>
      <c r="AP271" s="52" t="s">
        <v>686</v>
      </c>
      <c r="AQ271" s="52" t="s">
        <v>686</v>
      </c>
      <c r="AR271" s="52" t="s">
        <v>686</v>
      </c>
      <c r="AS271" s="52" t="s">
        <v>686</v>
      </c>
      <c r="AT271" s="52" t="s">
        <v>686</v>
      </c>
      <c r="AU271" s="52" t="s">
        <v>1998</v>
      </c>
      <c r="AV271" s="52" t="s">
        <v>2052</v>
      </c>
      <c r="AW271" s="52" t="s">
        <v>2053</v>
      </c>
      <c r="AX271" s="52" t="s">
        <v>2053</v>
      </c>
      <c r="AY271" s="49"/>
      <c r="AZ271" s="49"/>
      <c r="BA271" s="49"/>
    </row>
    <row r="272" spans="2:53" ht="11.25" hidden="1" customHeight="1">
      <c r="B272" s="36" t="s">
        <v>1606</v>
      </c>
      <c r="C272" s="52" t="s">
        <v>2023</v>
      </c>
      <c r="D272" s="52" t="s">
        <v>2023</v>
      </c>
      <c r="E272" s="52" t="s">
        <v>1998</v>
      </c>
      <c r="F272" s="52" t="s">
        <v>2052</v>
      </c>
      <c r="G272" s="52" t="s">
        <v>438</v>
      </c>
      <c r="H272" s="52" t="s">
        <v>438</v>
      </c>
      <c r="I272" s="52" t="s">
        <v>438</v>
      </c>
      <c r="J272" s="52" t="s">
        <v>438</v>
      </c>
      <c r="K272" s="52" t="s">
        <v>438</v>
      </c>
      <c r="L272" s="52" t="s">
        <v>5</v>
      </c>
      <c r="M272" s="52" t="s">
        <v>5</v>
      </c>
      <c r="N272" s="52" t="s">
        <v>5</v>
      </c>
      <c r="O272" s="52" t="s">
        <v>5</v>
      </c>
      <c r="P272" s="52" t="s">
        <v>5</v>
      </c>
      <c r="Q272" s="52" t="s">
        <v>554</v>
      </c>
      <c r="R272" s="52" t="s">
        <v>554</v>
      </c>
      <c r="S272" s="52" t="s">
        <v>554</v>
      </c>
      <c r="T272" s="52" t="s">
        <v>554</v>
      </c>
      <c r="U272" s="52" t="s">
        <v>554</v>
      </c>
      <c r="V272" s="52" t="s">
        <v>703</v>
      </c>
      <c r="W272" s="52" t="s">
        <v>703</v>
      </c>
      <c r="X272" s="52" t="s">
        <v>703</v>
      </c>
      <c r="Y272" s="52" t="s">
        <v>703</v>
      </c>
      <c r="Z272" s="52" t="s">
        <v>703</v>
      </c>
      <c r="AA272" s="52" t="s">
        <v>555</v>
      </c>
      <c r="AB272" s="52" t="s">
        <v>555</v>
      </c>
      <c r="AC272" s="52" t="s">
        <v>555</v>
      </c>
      <c r="AD272" s="52" t="s">
        <v>555</v>
      </c>
      <c r="AE272" s="52" t="s">
        <v>555</v>
      </c>
      <c r="AF272" s="52" t="s">
        <v>704</v>
      </c>
      <c r="AG272" s="52" t="s">
        <v>704</v>
      </c>
      <c r="AH272" s="52" t="s">
        <v>704</v>
      </c>
      <c r="AI272" s="52" t="s">
        <v>704</v>
      </c>
      <c r="AJ272" s="52" t="s">
        <v>704</v>
      </c>
      <c r="AK272" s="52" t="s">
        <v>556</v>
      </c>
      <c r="AL272" s="52" t="s">
        <v>556</v>
      </c>
      <c r="AM272" s="52" t="s">
        <v>556</v>
      </c>
      <c r="AN272" s="52" t="s">
        <v>556</v>
      </c>
      <c r="AO272" s="52" t="s">
        <v>556</v>
      </c>
      <c r="AP272" s="52" t="s">
        <v>705</v>
      </c>
      <c r="AQ272" s="52" t="s">
        <v>705</v>
      </c>
      <c r="AR272" s="52" t="s">
        <v>705</v>
      </c>
      <c r="AS272" s="52" t="s">
        <v>705</v>
      </c>
      <c r="AT272" s="52" t="s">
        <v>705</v>
      </c>
      <c r="AU272" s="52" t="s">
        <v>1998</v>
      </c>
      <c r="AV272" s="52" t="s">
        <v>2052</v>
      </c>
      <c r="AW272" s="52" t="s">
        <v>2053</v>
      </c>
      <c r="AX272" s="52" t="s">
        <v>2053</v>
      </c>
      <c r="AY272" s="49"/>
      <c r="AZ272" s="49"/>
      <c r="BA272" s="49"/>
    </row>
    <row r="273" spans="1:53" ht="11.25" hidden="1" customHeight="1">
      <c r="B273" s="36" t="s">
        <v>1655</v>
      </c>
      <c r="C273" s="52" t="s">
        <v>2023</v>
      </c>
      <c r="D273" s="52" t="s">
        <v>2023</v>
      </c>
      <c r="E273" s="52" t="s">
        <v>1998</v>
      </c>
      <c r="F273" s="52" t="s">
        <v>2052</v>
      </c>
      <c r="G273" s="52" t="s">
        <v>438</v>
      </c>
      <c r="H273" s="52" t="s">
        <v>438</v>
      </c>
      <c r="I273" s="52" t="s">
        <v>438</v>
      </c>
      <c r="J273" s="52" t="s">
        <v>438</v>
      </c>
      <c r="K273" s="52" t="s">
        <v>438</v>
      </c>
      <c r="L273" s="52" t="s">
        <v>5</v>
      </c>
      <c r="M273" s="52" t="s">
        <v>5</v>
      </c>
      <c r="N273" s="52" t="s">
        <v>5</v>
      </c>
      <c r="O273" s="52" t="s">
        <v>5</v>
      </c>
      <c r="P273" s="52" t="s">
        <v>5</v>
      </c>
      <c r="Q273" s="52" t="s">
        <v>554</v>
      </c>
      <c r="R273" s="52" t="s">
        <v>554</v>
      </c>
      <c r="S273" s="52" t="s">
        <v>554</v>
      </c>
      <c r="T273" s="52" t="s">
        <v>554</v>
      </c>
      <c r="U273" s="52" t="s">
        <v>554</v>
      </c>
      <c r="V273" s="52" t="s">
        <v>703</v>
      </c>
      <c r="W273" s="52" t="s">
        <v>703</v>
      </c>
      <c r="X273" s="52" t="s">
        <v>703</v>
      </c>
      <c r="Y273" s="52" t="s">
        <v>703</v>
      </c>
      <c r="Z273" s="52" t="s">
        <v>703</v>
      </c>
      <c r="AA273" s="52" t="s">
        <v>555</v>
      </c>
      <c r="AB273" s="52" t="s">
        <v>555</v>
      </c>
      <c r="AC273" s="52" t="s">
        <v>555</v>
      </c>
      <c r="AD273" s="52" t="s">
        <v>555</v>
      </c>
      <c r="AE273" s="52" t="s">
        <v>555</v>
      </c>
      <c r="AF273" s="52" t="s">
        <v>704</v>
      </c>
      <c r="AG273" s="52" t="s">
        <v>704</v>
      </c>
      <c r="AH273" s="52" t="s">
        <v>704</v>
      </c>
      <c r="AI273" s="52" t="s">
        <v>704</v>
      </c>
      <c r="AJ273" s="52" t="s">
        <v>704</v>
      </c>
      <c r="AK273" s="52" t="s">
        <v>556</v>
      </c>
      <c r="AL273" s="52" t="s">
        <v>556</v>
      </c>
      <c r="AM273" s="52" t="s">
        <v>556</v>
      </c>
      <c r="AN273" s="52" t="s">
        <v>556</v>
      </c>
      <c r="AO273" s="52" t="s">
        <v>556</v>
      </c>
      <c r="AP273" s="52" t="s">
        <v>705</v>
      </c>
      <c r="AQ273" s="52" t="s">
        <v>705</v>
      </c>
      <c r="AR273" s="52" t="s">
        <v>705</v>
      </c>
      <c r="AS273" s="52" t="s">
        <v>705</v>
      </c>
      <c r="AT273" s="52" t="s">
        <v>705</v>
      </c>
      <c r="AU273" s="52" t="s">
        <v>1998</v>
      </c>
      <c r="AV273" s="52" t="s">
        <v>2052</v>
      </c>
      <c r="AW273" s="52" t="s">
        <v>2053</v>
      </c>
      <c r="AX273" s="52" t="s">
        <v>2053</v>
      </c>
      <c r="AY273" s="49"/>
      <c r="AZ273" s="49"/>
      <c r="BA273" s="49"/>
    </row>
    <row r="274" spans="1:53" ht="11.25" hidden="1" customHeight="1">
      <c r="B274" s="36" t="s">
        <v>1704</v>
      </c>
      <c r="C274" s="52" t="s">
        <v>2023</v>
      </c>
      <c r="D274" s="52" t="s">
        <v>2023</v>
      </c>
      <c r="E274" s="52" t="s">
        <v>1998</v>
      </c>
      <c r="F274" s="52" t="s">
        <v>2052</v>
      </c>
      <c r="G274" s="52" t="s">
        <v>438</v>
      </c>
      <c r="H274" s="52" t="s">
        <v>438</v>
      </c>
      <c r="I274" s="52" t="s">
        <v>438</v>
      </c>
      <c r="J274" s="52" t="s">
        <v>438</v>
      </c>
      <c r="K274" s="52" t="s">
        <v>438</v>
      </c>
      <c r="L274" s="52" t="s">
        <v>5</v>
      </c>
      <c r="M274" s="52" t="s">
        <v>5</v>
      </c>
      <c r="N274" s="52" t="s">
        <v>5</v>
      </c>
      <c r="O274" s="52" t="s">
        <v>5</v>
      </c>
      <c r="P274" s="52" t="s">
        <v>5</v>
      </c>
      <c r="Q274" s="52" t="s">
        <v>554</v>
      </c>
      <c r="R274" s="52" t="s">
        <v>554</v>
      </c>
      <c r="S274" s="52" t="s">
        <v>554</v>
      </c>
      <c r="T274" s="52" t="s">
        <v>554</v>
      </c>
      <c r="U274" s="52" t="s">
        <v>554</v>
      </c>
      <c r="V274" s="52" t="s">
        <v>703</v>
      </c>
      <c r="W274" s="52" t="s">
        <v>703</v>
      </c>
      <c r="X274" s="52" t="s">
        <v>703</v>
      </c>
      <c r="Y274" s="52" t="s">
        <v>703</v>
      </c>
      <c r="Z274" s="52" t="s">
        <v>703</v>
      </c>
      <c r="AA274" s="52" t="s">
        <v>555</v>
      </c>
      <c r="AB274" s="52" t="s">
        <v>555</v>
      </c>
      <c r="AC274" s="52" t="s">
        <v>555</v>
      </c>
      <c r="AD274" s="52" t="s">
        <v>555</v>
      </c>
      <c r="AE274" s="52" t="s">
        <v>555</v>
      </c>
      <c r="AF274" s="52" t="s">
        <v>704</v>
      </c>
      <c r="AG274" s="52" t="s">
        <v>704</v>
      </c>
      <c r="AH274" s="52" t="s">
        <v>704</v>
      </c>
      <c r="AI274" s="52" t="s">
        <v>704</v>
      </c>
      <c r="AJ274" s="52" t="s">
        <v>704</v>
      </c>
      <c r="AK274" s="52" t="s">
        <v>556</v>
      </c>
      <c r="AL274" s="52" t="s">
        <v>556</v>
      </c>
      <c r="AM274" s="52" t="s">
        <v>556</v>
      </c>
      <c r="AN274" s="52" t="s">
        <v>556</v>
      </c>
      <c r="AO274" s="52" t="s">
        <v>556</v>
      </c>
      <c r="AP274" s="52" t="s">
        <v>705</v>
      </c>
      <c r="AQ274" s="52" t="s">
        <v>705</v>
      </c>
      <c r="AR274" s="52" t="s">
        <v>705</v>
      </c>
      <c r="AS274" s="52" t="s">
        <v>705</v>
      </c>
      <c r="AT274" s="52" t="s">
        <v>705</v>
      </c>
      <c r="AU274" s="52" t="s">
        <v>1998</v>
      </c>
      <c r="AV274" s="52" t="s">
        <v>2052</v>
      </c>
      <c r="AW274" s="52" t="s">
        <v>2053</v>
      </c>
      <c r="AX274" s="52" t="s">
        <v>2053</v>
      </c>
      <c r="AY274" s="49"/>
      <c r="AZ274" s="49"/>
      <c r="BA274" s="49"/>
    </row>
    <row r="275" spans="1:53" ht="11.25" hidden="1" customHeight="1">
      <c r="B275" s="36" t="s">
        <v>1753</v>
      </c>
      <c r="C275" s="52" t="s">
        <v>2023</v>
      </c>
      <c r="D275" s="52" t="s">
        <v>2023</v>
      </c>
      <c r="E275" s="52" t="s">
        <v>1998</v>
      </c>
      <c r="F275" s="52" t="s">
        <v>2052</v>
      </c>
      <c r="G275" s="52" t="s">
        <v>438</v>
      </c>
      <c r="H275" s="52" t="s">
        <v>438</v>
      </c>
      <c r="I275" s="52" t="s">
        <v>438</v>
      </c>
      <c r="J275" s="52" t="s">
        <v>438</v>
      </c>
      <c r="K275" s="52" t="s">
        <v>438</v>
      </c>
      <c r="L275" s="52" t="s">
        <v>5</v>
      </c>
      <c r="M275" s="52" t="s">
        <v>5</v>
      </c>
      <c r="N275" s="52" t="s">
        <v>5</v>
      </c>
      <c r="O275" s="52" t="s">
        <v>5</v>
      </c>
      <c r="P275" s="52" t="s">
        <v>5</v>
      </c>
      <c r="Q275" s="52" t="s">
        <v>554</v>
      </c>
      <c r="R275" s="52" t="s">
        <v>554</v>
      </c>
      <c r="S275" s="52" t="s">
        <v>554</v>
      </c>
      <c r="T275" s="52" t="s">
        <v>554</v>
      </c>
      <c r="U275" s="52" t="s">
        <v>554</v>
      </c>
      <c r="V275" s="52" t="s">
        <v>703</v>
      </c>
      <c r="W275" s="52" t="s">
        <v>703</v>
      </c>
      <c r="X275" s="52" t="s">
        <v>703</v>
      </c>
      <c r="Y275" s="52" t="s">
        <v>703</v>
      </c>
      <c r="Z275" s="52" t="s">
        <v>703</v>
      </c>
      <c r="AA275" s="52" t="s">
        <v>555</v>
      </c>
      <c r="AB275" s="52" t="s">
        <v>555</v>
      </c>
      <c r="AC275" s="52" t="s">
        <v>555</v>
      </c>
      <c r="AD275" s="52" t="s">
        <v>555</v>
      </c>
      <c r="AE275" s="52" t="s">
        <v>555</v>
      </c>
      <c r="AF275" s="52" t="s">
        <v>704</v>
      </c>
      <c r="AG275" s="52" t="s">
        <v>704</v>
      </c>
      <c r="AH275" s="52" t="s">
        <v>704</v>
      </c>
      <c r="AI275" s="52" t="s">
        <v>704</v>
      </c>
      <c r="AJ275" s="52" t="s">
        <v>704</v>
      </c>
      <c r="AK275" s="52" t="s">
        <v>556</v>
      </c>
      <c r="AL275" s="52" t="s">
        <v>556</v>
      </c>
      <c r="AM275" s="52" t="s">
        <v>556</v>
      </c>
      <c r="AN275" s="52" t="s">
        <v>556</v>
      </c>
      <c r="AO275" s="52" t="s">
        <v>556</v>
      </c>
      <c r="AP275" s="52" t="s">
        <v>705</v>
      </c>
      <c r="AQ275" s="52" t="s">
        <v>705</v>
      </c>
      <c r="AR275" s="52" t="s">
        <v>705</v>
      </c>
      <c r="AS275" s="52" t="s">
        <v>705</v>
      </c>
      <c r="AT275" s="52" t="s">
        <v>705</v>
      </c>
      <c r="AU275" s="52" t="s">
        <v>1998</v>
      </c>
      <c r="AV275" s="52" t="s">
        <v>2052</v>
      </c>
      <c r="AW275" s="52" t="s">
        <v>2053</v>
      </c>
      <c r="AX275" s="52" t="s">
        <v>2053</v>
      </c>
      <c r="AY275" s="49"/>
      <c r="AZ275" s="49"/>
      <c r="BA275" s="49"/>
    </row>
    <row r="276" spans="1:53" ht="11.25" hidden="1" customHeight="1">
      <c r="B276" s="36" t="s">
        <v>1802</v>
      </c>
      <c r="C276" s="52" t="s">
        <v>2023</v>
      </c>
      <c r="D276" s="52" t="s">
        <v>2023</v>
      </c>
      <c r="E276" s="52" t="s">
        <v>1998</v>
      </c>
      <c r="F276" s="52" t="s">
        <v>2052</v>
      </c>
      <c r="G276" s="52" t="s">
        <v>439</v>
      </c>
      <c r="H276" s="52" t="s">
        <v>439</v>
      </c>
      <c r="I276" s="52" t="s">
        <v>439</v>
      </c>
      <c r="J276" s="52" t="s">
        <v>439</v>
      </c>
      <c r="K276" s="52" t="s">
        <v>439</v>
      </c>
      <c r="L276" s="52" t="s">
        <v>7</v>
      </c>
      <c r="M276" s="52" t="s">
        <v>7</v>
      </c>
      <c r="N276" s="52" t="s">
        <v>7</v>
      </c>
      <c r="O276" s="52" t="s">
        <v>7</v>
      </c>
      <c r="P276" s="52" t="s">
        <v>7</v>
      </c>
      <c r="Q276" s="52" t="s">
        <v>573</v>
      </c>
      <c r="R276" s="52" t="s">
        <v>573</v>
      </c>
      <c r="S276" s="52" t="s">
        <v>573</v>
      </c>
      <c r="T276" s="52" t="s">
        <v>573</v>
      </c>
      <c r="U276" s="52" t="s">
        <v>573</v>
      </c>
      <c r="V276" s="52" t="s">
        <v>722</v>
      </c>
      <c r="W276" s="52" t="s">
        <v>722</v>
      </c>
      <c r="X276" s="52" t="s">
        <v>722</v>
      </c>
      <c r="Y276" s="52" t="s">
        <v>722</v>
      </c>
      <c r="Z276" s="52" t="s">
        <v>722</v>
      </c>
      <c r="AA276" s="52" t="s">
        <v>574</v>
      </c>
      <c r="AB276" s="52" t="s">
        <v>574</v>
      </c>
      <c r="AC276" s="52" t="s">
        <v>574</v>
      </c>
      <c r="AD276" s="52" t="s">
        <v>574</v>
      </c>
      <c r="AE276" s="52" t="s">
        <v>574</v>
      </c>
      <c r="AF276" s="52" t="s">
        <v>723</v>
      </c>
      <c r="AG276" s="52" t="s">
        <v>723</v>
      </c>
      <c r="AH276" s="52" t="s">
        <v>723</v>
      </c>
      <c r="AI276" s="52" t="s">
        <v>723</v>
      </c>
      <c r="AJ276" s="52" t="s">
        <v>723</v>
      </c>
      <c r="AK276" s="52" t="s">
        <v>575</v>
      </c>
      <c r="AL276" s="52" t="s">
        <v>575</v>
      </c>
      <c r="AM276" s="52" t="s">
        <v>575</v>
      </c>
      <c r="AN276" s="52" t="s">
        <v>575</v>
      </c>
      <c r="AO276" s="52" t="s">
        <v>575</v>
      </c>
      <c r="AP276" s="52" t="s">
        <v>724</v>
      </c>
      <c r="AQ276" s="52" t="s">
        <v>724</v>
      </c>
      <c r="AR276" s="52" t="s">
        <v>724</v>
      </c>
      <c r="AS276" s="52" t="s">
        <v>724</v>
      </c>
      <c r="AT276" s="52" t="s">
        <v>724</v>
      </c>
      <c r="AU276" s="52" t="s">
        <v>1998</v>
      </c>
      <c r="AV276" s="52" t="s">
        <v>2052</v>
      </c>
      <c r="AW276" s="52" t="s">
        <v>2053</v>
      </c>
      <c r="AX276" s="52" t="s">
        <v>2053</v>
      </c>
      <c r="AY276" s="49"/>
      <c r="AZ276" s="49"/>
      <c r="BA276" s="49"/>
    </row>
    <row r="277" spans="1:53" ht="11.25" hidden="1" customHeight="1">
      <c r="B277" s="36" t="s">
        <v>1851</v>
      </c>
      <c r="C277" s="52" t="s">
        <v>2023</v>
      </c>
      <c r="D277" s="52" t="s">
        <v>2023</v>
      </c>
      <c r="E277" s="52" t="s">
        <v>1998</v>
      </c>
      <c r="F277" s="52" t="s">
        <v>2052</v>
      </c>
      <c r="G277" s="52" t="s">
        <v>439</v>
      </c>
      <c r="H277" s="52" t="s">
        <v>439</v>
      </c>
      <c r="I277" s="52" t="s">
        <v>439</v>
      </c>
      <c r="J277" s="52" t="s">
        <v>439</v>
      </c>
      <c r="K277" s="52" t="s">
        <v>439</v>
      </c>
      <c r="L277" s="52" t="s">
        <v>7</v>
      </c>
      <c r="M277" s="52" t="s">
        <v>7</v>
      </c>
      <c r="N277" s="52" t="s">
        <v>7</v>
      </c>
      <c r="O277" s="52" t="s">
        <v>7</v>
      </c>
      <c r="P277" s="52" t="s">
        <v>7</v>
      </c>
      <c r="Q277" s="52" t="s">
        <v>573</v>
      </c>
      <c r="R277" s="52" t="s">
        <v>573</v>
      </c>
      <c r="S277" s="52" t="s">
        <v>573</v>
      </c>
      <c r="T277" s="52" t="s">
        <v>573</v>
      </c>
      <c r="U277" s="52" t="s">
        <v>573</v>
      </c>
      <c r="V277" s="52" t="s">
        <v>722</v>
      </c>
      <c r="W277" s="52" t="s">
        <v>722</v>
      </c>
      <c r="X277" s="52" t="s">
        <v>722</v>
      </c>
      <c r="Y277" s="52" t="s">
        <v>722</v>
      </c>
      <c r="Z277" s="52" t="s">
        <v>722</v>
      </c>
      <c r="AA277" s="52" t="s">
        <v>574</v>
      </c>
      <c r="AB277" s="52" t="s">
        <v>574</v>
      </c>
      <c r="AC277" s="52" t="s">
        <v>574</v>
      </c>
      <c r="AD277" s="52" t="s">
        <v>574</v>
      </c>
      <c r="AE277" s="52" t="s">
        <v>574</v>
      </c>
      <c r="AF277" s="52" t="s">
        <v>723</v>
      </c>
      <c r="AG277" s="52" t="s">
        <v>723</v>
      </c>
      <c r="AH277" s="52" t="s">
        <v>723</v>
      </c>
      <c r="AI277" s="52" t="s">
        <v>723</v>
      </c>
      <c r="AJ277" s="52" t="s">
        <v>723</v>
      </c>
      <c r="AK277" s="52" t="s">
        <v>575</v>
      </c>
      <c r="AL277" s="52" t="s">
        <v>575</v>
      </c>
      <c r="AM277" s="52" t="s">
        <v>575</v>
      </c>
      <c r="AN277" s="52" t="s">
        <v>575</v>
      </c>
      <c r="AO277" s="52" t="s">
        <v>575</v>
      </c>
      <c r="AP277" s="52" t="s">
        <v>724</v>
      </c>
      <c r="AQ277" s="52" t="s">
        <v>724</v>
      </c>
      <c r="AR277" s="52" t="s">
        <v>724</v>
      </c>
      <c r="AS277" s="52" t="s">
        <v>724</v>
      </c>
      <c r="AT277" s="52" t="s">
        <v>724</v>
      </c>
      <c r="AU277" s="52" t="s">
        <v>1998</v>
      </c>
      <c r="AV277" s="52" t="s">
        <v>2052</v>
      </c>
      <c r="AW277" s="52" t="s">
        <v>2053</v>
      </c>
      <c r="AX277" s="52" t="s">
        <v>2053</v>
      </c>
      <c r="AY277" s="49"/>
      <c r="AZ277" s="49"/>
      <c r="BA277" s="49"/>
    </row>
    <row r="278" spans="1:53" ht="11.25" hidden="1" customHeight="1">
      <c r="B278" s="36" t="s">
        <v>1900</v>
      </c>
      <c r="C278" s="52" t="s">
        <v>2023</v>
      </c>
      <c r="D278" s="52" t="s">
        <v>2023</v>
      </c>
      <c r="E278" s="52" t="s">
        <v>1998</v>
      </c>
      <c r="F278" s="52" t="s">
        <v>2052</v>
      </c>
      <c r="G278" s="52" t="s">
        <v>439</v>
      </c>
      <c r="H278" s="52" t="s">
        <v>439</v>
      </c>
      <c r="I278" s="52" t="s">
        <v>439</v>
      </c>
      <c r="J278" s="52" t="s">
        <v>439</v>
      </c>
      <c r="K278" s="52" t="s">
        <v>439</v>
      </c>
      <c r="L278" s="52" t="s">
        <v>7</v>
      </c>
      <c r="M278" s="52" t="s">
        <v>7</v>
      </c>
      <c r="N278" s="52" t="s">
        <v>7</v>
      </c>
      <c r="O278" s="52" t="s">
        <v>7</v>
      </c>
      <c r="P278" s="52" t="s">
        <v>7</v>
      </c>
      <c r="Q278" s="52" t="s">
        <v>573</v>
      </c>
      <c r="R278" s="52" t="s">
        <v>573</v>
      </c>
      <c r="S278" s="52" t="s">
        <v>573</v>
      </c>
      <c r="T278" s="52" t="s">
        <v>573</v>
      </c>
      <c r="U278" s="52" t="s">
        <v>573</v>
      </c>
      <c r="V278" s="52" t="s">
        <v>722</v>
      </c>
      <c r="W278" s="52" t="s">
        <v>722</v>
      </c>
      <c r="X278" s="52" t="s">
        <v>722</v>
      </c>
      <c r="Y278" s="52" t="s">
        <v>722</v>
      </c>
      <c r="Z278" s="52" t="s">
        <v>722</v>
      </c>
      <c r="AA278" s="52" t="s">
        <v>574</v>
      </c>
      <c r="AB278" s="52" t="s">
        <v>574</v>
      </c>
      <c r="AC278" s="52" t="s">
        <v>574</v>
      </c>
      <c r="AD278" s="52" t="s">
        <v>574</v>
      </c>
      <c r="AE278" s="52" t="s">
        <v>574</v>
      </c>
      <c r="AF278" s="52" t="s">
        <v>723</v>
      </c>
      <c r="AG278" s="52" t="s">
        <v>723</v>
      </c>
      <c r="AH278" s="52" t="s">
        <v>723</v>
      </c>
      <c r="AI278" s="52" t="s">
        <v>723</v>
      </c>
      <c r="AJ278" s="52" t="s">
        <v>723</v>
      </c>
      <c r="AK278" s="52" t="s">
        <v>575</v>
      </c>
      <c r="AL278" s="52" t="s">
        <v>575</v>
      </c>
      <c r="AM278" s="52" t="s">
        <v>575</v>
      </c>
      <c r="AN278" s="52" t="s">
        <v>575</v>
      </c>
      <c r="AO278" s="52" t="s">
        <v>575</v>
      </c>
      <c r="AP278" s="52" t="s">
        <v>724</v>
      </c>
      <c r="AQ278" s="52" t="s">
        <v>724</v>
      </c>
      <c r="AR278" s="52" t="s">
        <v>724</v>
      </c>
      <c r="AS278" s="52" t="s">
        <v>724</v>
      </c>
      <c r="AT278" s="52" t="s">
        <v>724</v>
      </c>
      <c r="AU278" s="52" t="s">
        <v>1998</v>
      </c>
      <c r="AV278" s="52" t="s">
        <v>2052</v>
      </c>
      <c r="AW278" s="52" t="s">
        <v>2053</v>
      </c>
      <c r="AX278" s="52" t="s">
        <v>2053</v>
      </c>
      <c r="AY278" s="49"/>
      <c r="AZ278" s="49"/>
      <c r="BA278" s="49"/>
    </row>
    <row r="279" spans="1:53" ht="11.25" hidden="1" customHeight="1">
      <c r="B279" s="36" t="s">
        <v>1949</v>
      </c>
      <c r="C279" s="52" t="s">
        <v>2023</v>
      </c>
      <c r="D279" s="52" t="s">
        <v>2023</v>
      </c>
      <c r="E279" s="52" t="s">
        <v>1998</v>
      </c>
      <c r="F279" s="52" t="s">
        <v>2052</v>
      </c>
      <c r="G279" s="52" t="s">
        <v>439</v>
      </c>
      <c r="H279" s="52" t="s">
        <v>439</v>
      </c>
      <c r="I279" s="52" t="s">
        <v>439</v>
      </c>
      <c r="J279" s="52" t="s">
        <v>439</v>
      </c>
      <c r="K279" s="52" t="s">
        <v>439</v>
      </c>
      <c r="L279" s="52" t="s">
        <v>7</v>
      </c>
      <c r="M279" s="52" t="s">
        <v>7</v>
      </c>
      <c r="N279" s="52" t="s">
        <v>7</v>
      </c>
      <c r="O279" s="52" t="s">
        <v>7</v>
      </c>
      <c r="P279" s="52" t="s">
        <v>7</v>
      </c>
      <c r="Q279" s="52" t="s">
        <v>573</v>
      </c>
      <c r="R279" s="52" t="s">
        <v>573</v>
      </c>
      <c r="S279" s="52" t="s">
        <v>573</v>
      </c>
      <c r="T279" s="52" t="s">
        <v>573</v>
      </c>
      <c r="U279" s="52" t="s">
        <v>573</v>
      </c>
      <c r="V279" s="52" t="s">
        <v>722</v>
      </c>
      <c r="W279" s="52" t="s">
        <v>722</v>
      </c>
      <c r="X279" s="52" t="s">
        <v>722</v>
      </c>
      <c r="Y279" s="52" t="s">
        <v>722</v>
      </c>
      <c r="Z279" s="52" t="s">
        <v>722</v>
      </c>
      <c r="AA279" s="52" t="s">
        <v>574</v>
      </c>
      <c r="AB279" s="52" t="s">
        <v>574</v>
      </c>
      <c r="AC279" s="52" t="s">
        <v>574</v>
      </c>
      <c r="AD279" s="52" t="s">
        <v>574</v>
      </c>
      <c r="AE279" s="52" t="s">
        <v>574</v>
      </c>
      <c r="AF279" s="52" t="s">
        <v>723</v>
      </c>
      <c r="AG279" s="52" t="s">
        <v>723</v>
      </c>
      <c r="AH279" s="52" t="s">
        <v>723</v>
      </c>
      <c r="AI279" s="52" t="s">
        <v>723</v>
      </c>
      <c r="AJ279" s="52" t="s">
        <v>723</v>
      </c>
      <c r="AK279" s="52" t="s">
        <v>575</v>
      </c>
      <c r="AL279" s="52" t="s">
        <v>575</v>
      </c>
      <c r="AM279" s="52" t="s">
        <v>575</v>
      </c>
      <c r="AN279" s="52" t="s">
        <v>575</v>
      </c>
      <c r="AO279" s="52" t="s">
        <v>575</v>
      </c>
      <c r="AP279" s="52" t="s">
        <v>724</v>
      </c>
      <c r="AQ279" s="52" t="s">
        <v>724</v>
      </c>
      <c r="AR279" s="52" t="s">
        <v>724</v>
      </c>
      <c r="AS279" s="52" t="s">
        <v>724</v>
      </c>
      <c r="AT279" s="52" t="s">
        <v>724</v>
      </c>
      <c r="AU279" s="52" t="s">
        <v>1998</v>
      </c>
      <c r="AV279" s="52" t="s">
        <v>2052</v>
      </c>
      <c r="AW279" s="52" t="s">
        <v>2053</v>
      </c>
      <c r="AX279" s="52" t="s">
        <v>2053</v>
      </c>
      <c r="AY279" s="49"/>
      <c r="AZ279" s="49"/>
      <c r="BA279" s="49"/>
    </row>
    <row r="280" spans="1:53" ht="11.25" customHeight="1">
      <c r="AY280" s="49"/>
      <c r="AZ280" s="49"/>
      <c r="BA280" s="49"/>
    </row>
    <row r="281" spans="1:53" s="61" customFormat="1" ht="11.25" customHeight="1">
      <c r="A281" s="61" t="s">
        <v>3031</v>
      </c>
      <c r="D281" s="62"/>
      <c r="H281" s="62"/>
    </row>
    <row r="282" spans="1:53" s="35" customFormat="1" ht="11.25" hidden="1" customHeight="1">
      <c r="A282" s="26"/>
      <c r="B282" s="26"/>
      <c r="C282" s="34"/>
      <c r="D282" s="34"/>
      <c r="H282" s="34"/>
    </row>
    <row r="283" spans="1:53" ht="11.25" hidden="1" customHeight="1">
      <c r="B283" s="1"/>
      <c r="C283" s="1">
        <v>1</v>
      </c>
      <c r="D283" s="1">
        <v>2</v>
      </c>
      <c r="E283" s="1">
        <v>3</v>
      </c>
      <c r="F283" s="1">
        <v>4</v>
      </c>
      <c r="G283" s="1">
        <v>5</v>
      </c>
      <c r="H283" s="1">
        <v>6</v>
      </c>
      <c r="I283"/>
      <c r="J283"/>
      <c r="K283"/>
      <c r="L283"/>
      <c r="M283"/>
      <c r="N283"/>
      <c r="O283" s="49"/>
      <c r="P283" s="49"/>
      <c r="Q283" s="49"/>
      <c r="R283" s="49"/>
      <c r="S283" s="49"/>
      <c r="T283" s="49"/>
      <c r="U283" s="49"/>
      <c r="V283" s="49"/>
      <c r="W283" s="49"/>
      <c r="X283" s="49"/>
      <c r="Y283" s="49"/>
      <c r="Z283" s="49"/>
    </row>
    <row r="284" spans="1:53" ht="11.25" hidden="1" customHeight="1">
      <c r="B284" s="1" t="s">
        <v>415</v>
      </c>
      <c r="C284" s="53"/>
      <c r="D284" s="53">
        <v>20</v>
      </c>
      <c r="E284" s="53">
        <v>20</v>
      </c>
      <c r="F284" s="53">
        <v>20</v>
      </c>
      <c r="G284" s="53">
        <v>20</v>
      </c>
      <c r="H284" s="53"/>
      <c r="I284"/>
      <c r="J284"/>
      <c r="K284"/>
      <c r="L284"/>
      <c r="M284"/>
      <c r="N284"/>
      <c r="O284" s="49"/>
      <c r="P284" s="49"/>
      <c r="Q284" s="49"/>
      <c r="R284" s="49"/>
      <c r="S284" s="49"/>
      <c r="T284" s="49"/>
      <c r="U284" s="49"/>
      <c r="V284" s="49"/>
      <c r="W284" s="49"/>
      <c r="X284" s="49"/>
      <c r="Y284" s="49"/>
      <c r="Z284" s="49"/>
    </row>
    <row r="285" spans="1:53" ht="11.25" hidden="1" customHeight="1">
      <c r="B285" s="1" t="s">
        <v>416</v>
      </c>
      <c r="C285" s="53"/>
      <c r="D285" s="53">
        <v>20</v>
      </c>
      <c r="E285" s="53">
        <v>20</v>
      </c>
      <c r="F285" s="53">
        <v>20</v>
      </c>
      <c r="G285" s="53">
        <v>20</v>
      </c>
      <c r="H285" s="53"/>
      <c r="I285"/>
      <c r="J285"/>
      <c r="K285"/>
      <c r="L285"/>
      <c r="M285"/>
      <c r="N285"/>
      <c r="O285" s="49"/>
      <c r="P285" s="49"/>
      <c r="Q285" s="49"/>
      <c r="R285" s="49"/>
      <c r="S285" s="49"/>
      <c r="T285" s="49"/>
      <c r="U285" s="49"/>
      <c r="V285" s="49"/>
      <c r="W285" s="49"/>
      <c r="X285" s="49"/>
      <c r="Y285" s="49"/>
      <c r="Z285" s="49"/>
    </row>
    <row r="286" spans="1:53" ht="11.25" hidden="1" customHeight="1">
      <c r="B286" s="1" t="s">
        <v>417</v>
      </c>
      <c r="C286" s="53"/>
      <c r="D286" s="53">
        <v>20</v>
      </c>
      <c r="E286" s="53">
        <v>20</v>
      </c>
      <c r="F286" s="53">
        <v>20</v>
      </c>
      <c r="G286" s="53">
        <v>20</v>
      </c>
      <c r="H286" s="53"/>
      <c r="I286"/>
      <c r="J286"/>
      <c r="K286"/>
      <c r="L286"/>
      <c r="M286"/>
      <c r="N286"/>
      <c r="O286" s="49"/>
      <c r="P286" s="49"/>
      <c r="Q286" s="49"/>
      <c r="R286" s="49"/>
      <c r="S286" s="49"/>
      <c r="T286" s="49"/>
      <c r="U286" s="49"/>
      <c r="V286" s="49"/>
      <c r="W286" s="49"/>
      <c r="X286" s="49"/>
      <c r="Y286" s="49"/>
      <c r="Z286" s="49"/>
    </row>
    <row r="287" spans="1:53" ht="11.25" hidden="1" customHeight="1">
      <c r="B287" s="1" t="s">
        <v>418</v>
      </c>
      <c r="C287" s="53"/>
      <c r="D287" s="53">
        <v>20</v>
      </c>
      <c r="E287" s="53">
        <v>20</v>
      </c>
      <c r="F287" s="53">
        <v>20</v>
      </c>
      <c r="G287" s="53">
        <v>20</v>
      </c>
      <c r="H287" s="53"/>
      <c r="I287"/>
      <c r="J287"/>
      <c r="K287"/>
      <c r="L287"/>
      <c r="M287"/>
      <c r="N287"/>
      <c r="O287" s="49"/>
      <c r="P287" s="49"/>
      <c r="Q287" s="49"/>
      <c r="R287" s="49"/>
      <c r="S287" s="49"/>
      <c r="T287" s="49"/>
      <c r="U287" s="49"/>
      <c r="V287" s="49"/>
      <c r="W287" s="49"/>
      <c r="X287" s="49"/>
      <c r="Y287" s="49"/>
      <c r="Z287" s="49"/>
    </row>
    <row r="289" spans="1:26" s="61" customFormat="1" ht="11.25" customHeight="1">
      <c r="A289" s="61" t="s">
        <v>2060</v>
      </c>
      <c r="D289" s="62"/>
      <c r="H289" s="62"/>
    </row>
    <row r="290" spans="1:26" s="35" customFormat="1" ht="11.25" hidden="1" customHeight="1">
      <c r="A290" s="26"/>
      <c r="B290" s="26"/>
      <c r="C290" s="34"/>
      <c r="D290" s="34"/>
      <c r="H290" s="34"/>
    </row>
    <row r="291" spans="1:26" ht="11.25" hidden="1" customHeight="1">
      <c r="B291" s="1"/>
      <c r="C291" s="1">
        <v>1</v>
      </c>
      <c r="D291" s="1">
        <v>2</v>
      </c>
      <c r="E291" s="1">
        <v>3</v>
      </c>
      <c r="F291" s="1">
        <v>4</v>
      </c>
      <c r="G291" s="1">
        <v>5</v>
      </c>
      <c r="H291" s="1">
        <v>6</v>
      </c>
      <c r="I291" s="1">
        <v>7</v>
      </c>
      <c r="J291" s="1">
        <v>8</v>
      </c>
      <c r="K291" s="1">
        <v>9</v>
      </c>
      <c r="L291" s="1">
        <v>10</v>
      </c>
      <c r="M291" s="1">
        <v>11</v>
      </c>
      <c r="N291" s="1">
        <v>12</v>
      </c>
      <c r="O291" s="49"/>
      <c r="P291" s="49"/>
      <c r="Q291" s="49"/>
      <c r="R291" s="49"/>
      <c r="S291" s="49"/>
      <c r="T291" s="49"/>
      <c r="U291" s="49"/>
      <c r="V291" s="49"/>
      <c r="W291" s="49"/>
      <c r="X291" s="49"/>
      <c r="Y291" s="49"/>
      <c r="Z291" s="49"/>
    </row>
    <row r="292" spans="1:26" ht="11.25" hidden="1" customHeight="1">
      <c r="B292" s="1" t="s">
        <v>415</v>
      </c>
      <c r="C292" s="9"/>
      <c r="D292" s="9">
        <v>20</v>
      </c>
      <c r="E292" s="9">
        <v>20</v>
      </c>
      <c r="F292" s="9">
        <v>20</v>
      </c>
      <c r="G292" s="9">
        <v>20</v>
      </c>
      <c r="H292" s="9">
        <v>20</v>
      </c>
      <c r="I292" s="9">
        <v>20</v>
      </c>
      <c r="J292" s="9">
        <v>20</v>
      </c>
      <c r="K292" s="9">
        <v>20</v>
      </c>
      <c r="L292" s="9">
        <v>20</v>
      </c>
      <c r="M292" s="9">
        <v>20</v>
      </c>
      <c r="N292" s="9"/>
      <c r="O292" s="49"/>
      <c r="P292" s="49"/>
      <c r="Q292" s="49"/>
      <c r="R292" s="49"/>
      <c r="S292" s="49"/>
      <c r="T292" s="49"/>
      <c r="U292" s="49"/>
      <c r="V292" s="49"/>
      <c r="W292" s="49"/>
      <c r="X292" s="49"/>
      <c r="Y292" s="49"/>
      <c r="Z292" s="49"/>
    </row>
    <row r="293" spans="1:26" ht="11.25" hidden="1" customHeight="1">
      <c r="B293" s="1" t="s">
        <v>416</v>
      </c>
      <c r="C293" s="9"/>
      <c r="D293" s="9">
        <v>20</v>
      </c>
      <c r="E293" s="9">
        <v>20</v>
      </c>
      <c r="F293" s="9">
        <v>20</v>
      </c>
      <c r="G293" s="9">
        <v>20</v>
      </c>
      <c r="H293" s="9">
        <v>20</v>
      </c>
      <c r="I293" s="9">
        <v>20</v>
      </c>
      <c r="J293" s="9">
        <v>20</v>
      </c>
      <c r="K293" s="9">
        <v>20</v>
      </c>
      <c r="L293" s="9">
        <v>20</v>
      </c>
      <c r="M293" s="9">
        <v>20</v>
      </c>
      <c r="N293" s="9"/>
      <c r="O293" s="49"/>
      <c r="P293" s="49"/>
      <c r="Q293" s="49"/>
      <c r="R293" s="49"/>
      <c r="S293" s="49"/>
      <c r="T293" s="49"/>
      <c r="U293" s="49"/>
      <c r="V293" s="49"/>
      <c r="W293" s="49"/>
      <c r="X293" s="49"/>
      <c r="Y293" s="49"/>
      <c r="Z293" s="49"/>
    </row>
    <row r="294" spans="1:26" ht="11.25" hidden="1" customHeight="1">
      <c r="B294" s="1" t="s">
        <v>417</v>
      </c>
      <c r="C294" s="9"/>
      <c r="D294" s="9">
        <v>20</v>
      </c>
      <c r="E294" s="9">
        <v>20</v>
      </c>
      <c r="F294" s="9">
        <v>20</v>
      </c>
      <c r="G294" s="9">
        <v>20</v>
      </c>
      <c r="H294" s="9">
        <v>20</v>
      </c>
      <c r="I294" s="9">
        <v>20</v>
      </c>
      <c r="J294" s="9">
        <v>20</v>
      </c>
      <c r="K294" s="9">
        <v>20</v>
      </c>
      <c r="L294" s="9">
        <v>20</v>
      </c>
      <c r="M294" s="9">
        <v>20</v>
      </c>
      <c r="N294" s="9"/>
      <c r="O294" s="49"/>
      <c r="P294" s="49"/>
      <c r="Q294" s="49"/>
      <c r="R294" s="49"/>
      <c r="S294" s="49"/>
      <c r="T294" s="49"/>
      <c r="U294" s="49"/>
      <c r="V294" s="49"/>
      <c r="W294" s="49"/>
      <c r="X294" s="49"/>
      <c r="Y294" s="49"/>
      <c r="Z294" s="49"/>
    </row>
    <row r="295" spans="1:26" ht="11.25" hidden="1" customHeight="1">
      <c r="B295" s="1" t="s">
        <v>418</v>
      </c>
      <c r="C295" s="9"/>
      <c r="D295" s="9">
        <v>20</v>
      </c>
      <c r="E295" s="9">
        <v>20</v>
      </c>
      <c r="F295" s="9">
        <v>20</v>
      </c>
      <c r="G295" s="9">
        <v>20</v>
      </c>
      <c r="H295" s="9">
        <v>20</v>
      </c>
      <c r="I295" s="9">
        <v>20</v>
      </c>
      <c r="J295" s="9">
        <v>20</v>
      </c>
      <c r="K295" s="9">
        <v>20</v>
      </c>
      <c r="L295" s="9">
        <v>20</v>
      </c>
      <c r="M295" s="9">
        <v>20</v>
      </c>
      <c r="N295" s="9"/>
      <c r="O295" s="49"/>
      <c r="P295" s="49"/>
      <c r="Q295" s="49"/>
      <c r="R295" s="49"/>
      <c r="S295" s="49"/>
      <c r="T295" s="49"/>
      <c r="U295" s="49"/>
      <c r="V295" s="49"/>
      <c r="W295" s="49"/>
      <c r="X295" s="49"/>
      <c r="Y295" s="49"/>
      <c r="Z295" s="49"/>
    </row>
    <row r="296" spans="1:26" ht="11.25" hidden="1" customHeight="1">
      <c r="B296" s="1" t="s">
        <v>419</v>
      </c>
      <c r="C296" s="9"/>
      <c r="D296" s="9">
        <v>20</v>
      </c>
      <c r="E296" s="9">
        <v>20</v>
      </c>
      <c r="F296" s="9">
        <v>20</v>
      </c>
      <c r="G296" s="9">
        <v>20</v>
      </c>
      <c r="H296" s="9">
        <v>20</v>
      </c>
      <c r="I296" s="9">
        <v>20</v>
      </c>
      <c r="J296" s="9">
        <v>20</v>
      </c>
      <c r="K296" s="9">
        <v>20</v>
      </c>
      <c r="L296" s="9">
        <v>20</v>
      </c>
      <c r="M296" s="9">
        <v>20</v>
      </c>
      <c r="N296" s="9"/>
      <c r="O296" s="49"/>
      <c r="P296" s="49"/>
      <c r="Q296" s="49"/>
      <c r="R296" s="49"/>
      <c r="S296" s="49"/>
      <c r="T296" s="49"/>
      <c r="U296" s="49"/>
      <c r="V296" s="49"/>
      <c r="W296" s="49"/>
      <c r="X296" s="49"/>
      <c r="Y296" s="49"/>
      <c r="Z296" s="49"/>
    </row>
    <row r="297" spans="1:26" ht="11.25" hidden="1" customHeight="1">
      <c r="B297" s="1" t="s">
        <v>420</v>
      </c>
      <c r="C297" s="9"/>
      <c r="D297" s="9">
        <v>20</v>
      </c>
      <c r="E297" s="9">
        <v>20</v>
      </c>
      <c r="F297" s="9">
        <v>20</v>
      </c>
      <c r="G297" s="9">
        <v>20</v>
      </c>
      <c r="H297" s="9">
        <v>20</v>
      </c>
      <c r="I297" s="9">
        <v>20</v>
      </c>
      <c r="J297" s="9">
        <v>20</v>
      </c>
      <c r="K297" s="9">
        <v>20</v>
      </c>
      <c r="L297" s="9">
        <v>20</v>
      </c>
      <c r="M297" s="9">
        <v>20</v>
      </c>
      <c r="N297" s="9"/>
      <c r="O297" s="49"/>
      <c r="P297" s="49"/>
      <c r="Q297" s="49"/>
      <c r="R297" s="49"/>
      <c r="S297" s="49"/>
      <c r="T297" s="49"/>
      <c r="U297" s="49"/>
      <c r="V297" s="49"/>
      <c r="W297" s="49"/>
      <c r="X297" s="49"/>
      <c r="Y297" s="49"/>
      <c r="Z297" s="49"/>
    </row>
    <row r="298" spans="1:26" ht="11.25" hidden="1" customHeight="1">
      <c r="B298" s="1" t="s">
        <v>421</v>
      </c>
      <c r="C298" s="9"/>
      <c r="D298" s="9">
        <v>20</v>
      </c>
      <c r="E298" s="9">
        <v>20</v>
      </c>
      <c r="F298" s="9">
        <v>20</v>
      </c>
      <c r="G298" s="9">
        <v>20</v>
      </c>
      <c r="H298" s="9">
        <v>20</v>
      </c>
      <c r="I298" s="9">
        <v>20</v>
      </c>
      <c r="J298" s="9">
        <v>20</v>
      </c>
      <c r="K298" s="9">
        <v>20</v>
      </c>
      <c r="L298" s="9">
        <v>20</v>
      </c>
      <c r="M298" s="9">
        <v>20</v>
      </c>
      <c r="N298" s="9"/>
      <c r="O298" s="49"/>
      <c r="P298" s="49"/>
      <c r="Q298" s="49"/>
      <c r="R298" s="49"/>
      <c r="S298" s="49"/>
      <c r="T298" s="49"/>
      <c r="U298" s="49"/>
      <c r="V298" s="49"/>
      <c r="W298" s="49"/>
      <c r="X298" s="49"/>
      <c r="Y298" s="49"/>
      <c r="Z298" s="49"/>
    </row>
    <row r="299" spans="1:26" ht="11.25" hidden="1" customHeight="1">
      <c r="B299" s="1" t="s">
        <v>422</v>
      </c>
      <c r="C299" s="9"/>
      <c r="D299" s="9">
        <v>20</v>
      </c>
      <c r="E299" s="9">
        <v>20</v>
      </c>
      <c r="F299" s="9">
        <v>20</v>
      </c>
      <c r="G299" s="9">
        <v>20</v>
      </c>
      <c r="H299" s="9">
        <v>20</v>
      </c>
      <c r="I299" s="9">
        <v>20</v>
      </c>
      <c r="J299" s="9">
        <v>20</v>
      </c>
      <c r="K299" s="9">
        <v>20</v>
      </c>
      <c r="L299" s="9">
        <v>20</v>
      </c>
      <c r="M299" s="9">
        <v>20</v>
      </c>
      <c r="N299" s="9"/>
      <c r="O299" s="49"/>
      <c r="P299" s="49"/>
      <c r="Q299" s="49"/>
      <c r="R299" s="49"/>
      <c r="S299" s="49"/>
      <c r="T299" s="49"/>
      <c r="U299" s="49"/>
      <c r="V299" s="49"/>
      <c r="W299" s="49"/>
      <c r="X299" s="49"/>
      <c r="Y299" s="49"/>
      <c r="Z299" s="49"/>
    </row>
    <row r="301" spans="1:26" s="61" customFormat="1" ht="11.25" customHeight="1">
      <c r="A301" s="61" t="s">
        <v>2045</v>
      </c>
      <c r="H301" s="62"/>
    </row>
    <row r="302" spans="1:26" s="35" customFormat="1" ht="11.25" hidden="1" customHeight="1">
      <c r="A302" s="26"/>
      <c r="B302" s="26"/>
      <c r="H302" s="34"/>
    </row>
    <row r="303" spans="1:26" ht="11.25" hidden="1" customHeight="1">
      <c r="B303" s="1"/>
      <c r="C303" s="1">
        <v>1</v>
      </c>
      <c r="D303" s="1">
        <v>2</v>
      </c>
      <c r="E303" s="1">
        <v>3</v>
      </c>
      <c r="F303" s="1">
        <v>4</v>
      </c>
      <c r="G303" s="1">
        <v>5</v>
      </c>
      <c r="H303" s="1">
        <v>6</v>
      </c>
      <c r="I303" s="1">
        <v>7</v>
      </c>
      <c r="J303" s="1">
        <v>8</v>
      </c>
      <c r="K303" s="1">
        <v>9</v>
      </c>
      <c r="L303" s="1">
        <v>10</v>
      </c>
      <c r="M303" s="1">
        <v>11</v>
      </c>
      <c r="N303" s="1">
        <v>12</v>
      </c>
      <c r="O303" s="1">
        <v>13</v>
      </c>
      <c r="P303" s="1">
        <v>14</v>
      </c>
      <c r="Q303" s="1">
        <v>15</v>
      </c>
      <c r="R303" s="1">
        <v>16</v>
      </c>
      <c r="S303" s="1">
        <v>17</v>
      </c>
      <c r="T303" s="1">
        <v>18</v>
      </c>
      <c r="U303" s="1">
        <v>19</v>
      </c>
      <c r="V303" s="1">
        <v>20</v>
      </c>
      <c r="W303" s="1">
        <v>21</v>
      </c>
      <c r="X303" s="1">
        <v>22</v>
      </c>
      <c r="Y303" s="1">
        <v>23</v>
      </c>
      <c r="Z303" s="1">
        <v>24</v>
      </c>
    </row>
    <row r="304" spans="1:26" ht="11.25" hidden="1" customHeight="1">
      <c r="B304" s="1" t="s">
        <v>415</v>
      </c>
      <c r="C304" s="2"/>
      <c r="D304" s="2"/>
      <c r="E304" s="2" t="s">
        <v>393</v>
      </c>
      <c r="F304" s="2" t="s">
        <v>393</v>
      </c>
      <c r="G304" s="2" t="s">
        <v>393</v>
      </c>
      <c r="H304" s="2" t="s">
        <v>393</v>
      </c>
      <c r="I304" s="2" t="s">
        <v>393</v>
      </c>
      <c r="J304" s="2" t="s">
        <v>393</v>
      </c>
      <c r="K304" s="2" t="s">
        <v>393</v>
      </c>
      <c r="L304" s="2" t="s">
        <v>393</v>
      </c>
      <c r="M304" s="2" t="s">
        <v>393</v>
      </c>
      <c r="N304" s="2" t="s">
        <v>393</v>
      </c>
      <c r="O304" s="2" t="s">
        <v>393</v>
      </c>
      <c r="P304" s="2" t="s">
        <v>393</v>
      </c>
      <c r="Q304" s="2" t="s">
        <v>393</v>
      </c>
      <c r="R304" s="2" t="s">
        <v>393</v>
      </c>
      <c r="S304" s="2" t="s">
        <v>393</v>
      </c>
      <c r="T304" s="2" t="s">
        <v>393</v>
      </c>
      <c r="U304" s="2" t="s">
        <v>393</v>
      </c>
      <c r="V304" s="2" t="s">
        <v>393</v>
      </c>
      <c r="W304" s="2" t="s">
        <v>393</v>
      </c>
      <c r="X304" s="2" t="s">
        <v>393</v>
      </c>
      <c r="Y304" s="2"/>
      <c r="Z304" s="2"/>
    </row>
    <row r="305" spans="2:26" ht="11.25" hidden="1" customHeight="1">
      <c r="B305" s="1" t="s">
        <v>416</v>
      </c>
      <c r="C305" s="2"/>
      <c r="D305" s="2"/>
      <c r="E305" s="2" t="s">
        <v>393</v>
      </c>
      <c r="F305" s="2" t="s">
        <v>393</v>
      </c>
      <c r="G305" s="2" t="s">
        <v>393</v>
      </c>
      <c r="H305" s="2" t="s">
        <v>393</v>
      </c>
      <c r="I305" s="2" t="s">
        <v>393</v>
      </c>
      <c r="J305" s="2" t="s">
        <v>393</v>
      </c>
      <c r="K305" s="2" t="s">
        <v>393</v>
      </c>
      <c r="L305" s="2" t="s">
        <v>393</v>
      </c>
      <c r="M305" s="2" t="s">
        <v>393</v>
      </c>
      <c r="N305" s="2" t="s">
        <v>393</v>
      </c>
      <c r="O305" s="2" t="s">
        <v>393</v>
      </c>
      <c r="P305" s="2" t="s">
        <v>393</v>
      </c>
      <c r="Q305" s="2" t="s">
        <v>393</v>
      </c>
      <c r="R305" s="2" t="s">
        <v>393</v>
      </c>
      <c r="S305" s="2" t="s">
        <v>393</v>
      </c>
      <c r="T305" s="2" t="s">
        <v>393</v>
      </c>
      <c r="U305" s="2" t="s">
        <v>393</v>
      </c>
      <c r="V305" s="2" t="s">
        <v>393</v>
      </c>
      <c r="W305" s="2" t="s">
        <v>393</v>
      </c>
      <c r="X305" s="2" t="s">
        <v>393</v>
      </c>
      <c r="Y305" s="2"/>
      <c r="Z305" s="2"/>
    </row>
    <row r="306" spans="2:26" ht="11.25" hidden="1" customHeight="1">
      <c r="B306" s="1" t="s">
        <v>417</v>
      </c>
      <c r="C306" s="2"/>
      <c r="D306" s="2"/>
      <c r="E306" s="2" t="s">
        <v>393</v>
      </c>
      <c r="F306" s="2" t="s">
        <v>393</v>
      </c>
      <c r="G306" s="2" t="s">
        <v>393</v>
      </c>
      <c r="H306" s="2" t="s">
        <v>393</v>
      </c>
      <c r="I306" s="2" t="s">
        <v>393</v>
      </c>
      <c r="J306" s="2" t="s">
        <v>393</v>
      </c>
      <c r="K306" s="2" t="s">
        <v>393</v>
      </c>
      <c r="L306" s="2" t="s">
        <v>393</v>
      </c>
      <c r="M306" s="2" t="s">
        <v>393</v>
      </c>
      <c r="N306" s="2" t="s">
        <v>393</v>
      </c>
      <c r="O306" s="2" t="s">
        <v>393</v>
      </c>
      <c r="P306" s="2" t="s">
        <v>393</v>
      </c>
      <c r="Q306" s="2" t="s">
        <v>393</v>
      </c>
      <c r="R306" s="2" t="s">
        <v>393</v>
      </c>
      <c r="S306" s="2" t="s">
        <v>393</v>
      </c>
      <c r="T306" s="2" t="s">
        <v>393</v>
      </c>
      <c r="U306" s="2" t="s">
        <v>393</v>
      </c>
      <c r="V306" s="2" t="s">
        <v>393</v>
      </c>
      <c r="W306" s="2" t="s">
        <v>393</v>
      </c>
      <c r="X306" s="2" t="s">
        <v>393</v>
      </c>
      <c r="Y306" s="2"/>
      <c r="Z306" s="2"/>
    </row>
    <row r="307" spans="2:26" ht="11.25" hidden="1" customHeight="1">
      <c r="B307" s="1" t="s">
        <v>418</v>
      </c>
      <c r="C307" s="2"/>
      <c r="D307" s="2"/>
      <c r="E307" s="2" t="s">
        <v>393</v>
      </c>
      <c r="F307" s="2" t="s">
        <v>393</v>
      </c>
      <c r="G307" s="2" t="s">
        <v>393</v>
      </c>
      <c r="H307" s="2" t="s">
        <v>393</v>
      </c>
      <c r="I307" s="2" t="s">
        <v>393</v>
      </c>
      <c r="J307" s="2" t="s">
        <v>393</v>
      </c>
      <c r="K307" s="2" t="s">
        <v>393</v>
      </c>
      <c r="L307" s="2" t="s">
        <v>393</v>
      </c>
      <c r="M307" s="2" t="s">
        <v>393</v>
      </c>
      <c r="N307" s="2" t="s">
        <v>393</v>
      </c>
      <c r="O307" s="2" t="s">
        <v>393</v>
      </c>
      <c r="P307" s="2" t="s">
        <v>393</v>
      </c>
      <c r="Q307" s="2" t="s">
        <v>393</v>
      </c>
      <c r="R307" s="2" t="s">
        <v>393</v>
      </c>
      <c r="S307" s="2" t="s">
        <v>393</v>
      </c>
      <c r="T307" s="2" t="s">
        <v>393</v>
      </c>
      <c r="U307" s="2" t="s">
        <v>393</v>
      </c>
      <c r="V307" s="2" t="s">
        <v>393</v>
      </c>
      <c r="W307" s="2" t="s">
        <v>393</v>
      </c>
      <c r="X307" s="2" t="s">
        <v>393</v>
      </c>
      <c r="Y307" s="2"/>
      <c r="Z307" s="2"/>
    </row>
    <row r="308" spans="2:26" ht="11.25" hidden="1" customHeight="1">
      <c r="B308" s="1" t="s">
        <v>419</v>
      </c>
      <c r="C308" s="2"/>
      <c r="D308" s="2"/>
      <c r="E308" s="2" t="s">
        <v>393</v>
      </c>
      <c r="F308" s="2" t="s">
        <v>393</v>
      </c>
      <c r="G308" s="2" t="s">
        <v>393</v>
      </c>
      <c r="H308" s="2" t="s">
        <v>393</v>
      </c>
      <c r="I308" s="2" t="s">
        <v>393</v>
      </c>
      <c r="J308" s="2" t="s">
        <v>393</v>
      </c>
      <c r="K308" s="2" t="s">
        <v>393</v>
      </c>
      <c r="L308" s="2" t="s">
        <v>393</v>
      </c>
      <c r="M308" s="2" t="s">
        <v>393</v>
      </c>
      <c r="N308" s="2" t="s">
        <v>393</v>
      </c>
      <c r="O308" s="2" t="s">
        <v>393</v>
      </c>
      <c r="P308" s="2" t="s">
        <v>393</v>
      </c>
      <c r="Q308" s="2" t="s">
        <v>393</v>
      </c>
      <c r="R308" s="2" t="s">
        <v>393</v>
      </c>
      <c r="S308" s="2" t="s">
        <v>393</v>
      </c>
      <c r="T308" s="2" t="s">
        <v>393</v>
      </c>
      <c r="U308" s="2" t="s">
        <v>393</v>
      </c>
      <c r="V308" s="2" t="s">
        <v>393</v>
      </c>
      <c r="W308" s="2" t="s">
        <v>393</v>
      </c>
      <c r="X308" s="2" t="s">
        <v>393</v>
      </c>
      <c r="Y308" s="2"/>
      <c r="Z308" s="2"/>
    </row>
    <row r="309" spans="2:26" ht="11.25" hidden="1" customHeight="1">
      <c r="B309" s="1" t="s">
        <v>420</v>
      </c>
      <c r="C309" s="2"/>
      <c r="D309" s="2"/>
      <c r="E309" s="2" t="s">
        <v>393</v>
      </c>
      <c r="F309" s="2" t="s">
        <v>393</v>
      </c>
      <c r="G309" s="2" t="s">
        <v>393</v>
      </c>
      <c r="H309" s="2" t="s">
        <v>393</v>
      </c>
      <c r="I309" s="2" t="s">
        <v>393</v>
      </c>
      <c r="J309" s="2" t="s">
        <v>393</v>
      </c>
      <c r="K309" s="2" t="s">
        <v>393</v>
      </c>
      <c r="L309" s="2" t="s">
        <v>393</v>
      </c>
      <c r="M309" s="2" t="s">
        <v>393</v>
      </c>
      <c r="N309" s="2" t="s">
        <v>393</v>
      </c>
      <c r="O309" s="2" t="s">
        <v>393</v>
      </c>
      <c r="P309" s="2" t="s">
        <v>393</v>
      </c>
      <c r="Q309" s="2" t="s">
        <v>393</v>
      </c>
      <c r="R309" s="2" t="s">
        <v>393</v>
      </c>
      <c r="S309" s="2" t="s">
        <v>393</v>
      </c>
      <c r="T309" s="2" t="s">
        <v>393</v>
      </c>
      <c r="U309" s="2" t="s">
        <v>393</v>
      </c>
      <c r="V309" s="2" t="s">
        <v>393</v>
      </c>
      <c r="W309" s="2" t="s">
        <v>393</v>
      </c>
      <c r="X309" s="2" t="s">
        <v>393</v>
      </c>
      <c r="Y309" s="2"/>
      <c r="Z309" s="2"/>
    </row>
    <row r="310" spans="2:26" ht="11.25" hidden="1" customHeight="1">
      <c r="B310" s="1" t="s">
        <v>421</v>
      </c>
      <c r="C310" s="2"/>
      <c r="D310" s="2"/>
      <c r="E310" s="2" t="s">
        <v>393</v>
      </c>
      <c r="F310" s="2" t="s">
        <v>393</v>
      </c>
      <c r="G310" s="2" t="s">
        <v>393</v>
      </c>
      <c r="H310" s="2" t="s">
        <v>393</v>
      </c>
      <c r="I310" s="2" t="s">
        <v>393</v>
      </c>
      <c r="J310" s="2" t="s">
        <v>393</v>
      </c>
      <c r="K310" s="2" t="s">
        <v>393</v>
      </c>
      <c r="L310" s="2" t="s">
        <v>393</v>
      </c>
      <c r="M310" s="2" t="s">
        <v>393</v>
      </c>
      <c r="N310" s="2" t="s">
        <v>393</v>
      </c>
      <c r="O310" s="2" t="s">
        <v>393</v>
      </c>
      <c r="P310" s="2" t="s">
        <v>393</v>
      </c>
      <c r="Q310" s="2" t="s">
        <v>393</v>
      </c>
      <c r="R310" s="2" t="s">
        <v>393</v>
      </c>
      <c r="S310" s="2" t="s">
        <v>393</v>
      </c>
      <c r="T310" s="2" t="s">
        <v>393</v>
      </c>
      <c r="U310" s="2" t="s">
        <v>393</v>
      </c>
      <c r="V310" s="2" t="s">
        <v>393</v>
      </c>
      <c r="W310" s="2" t="s">
        <v>393</v>
      </c>
      <c r="X310" s="2" t="s">
        <v>393</v>
      </c>
      <c r="Y310" s="2"/>
      <c r="Z310" s="2"/>
    </row>
    <row r="311" spans="2:26" ht="11.25" hidden="1" customHeight="1">
      <c r="B311" s="1" t="s">
        <v>422</v>
      </c>
      <c r="C311" s="2"/>
      <c r="D311" s="2"/>
      <c r="E311" s="2" t="s">
        <v>393</v>
      </c>
      <c r="F311" s="2" t="s">
        <v>393</v>
      </c>
      <c r="G311" s="2" t="s">
        <v>393</v>
      </c>
      <c r="H311" s="2" t="s">
        <v>393</v>
      </c>
      <c r="I311" s="2" t="s">
        <v>393</v>
      </c>
      <c r="J311" s="2" t="s">
        <v>393</v>
      </c>
      <c r="K311" s="2" t="s">
        <v>393</v>
      </c>
      <c r="L311" s="2" t="s">
        <v>393</v>
      </c>
      <c r="M311" s="2" t="s">
        <v>393</v>
      </c>
      <c r="N311" s="2" t="s">
        <v>393</v>
      </c>
      <c r="O311" s="2" t="s">
        <v>393</v>
      </c>
      <c r="P311" s="2" t="s">
        <v>393</v>
      </c>
      <c r="Q311" s="2" t="s">
        <v>393</v>
      </c>
      <c r="R311" s="2" t="s">
        <v>393</v>
      </c>
      <c r="S311" s="2" t="s">
        <v>393</v>
      </c>
      <c r="T311" s="2" t="s">
        <v>393</v>
      </c>
      <c r="U311" s="2" t="s">
        <v>393</v>
      </c>
      <c r="V311" s="2" t="s">
        <v>393</v>
      </c>
      <c r="W311" s="2" t="s">
        <v>393</v>
      </c>
      <c r="X311" s="2" t="s">
        <v>393</v>
      </c>
      <c r="Y311" s="2"/>
      <c r="Z311" s="2"/>
    </row>
    <row r="312" spans="2:26" ht="11.25" hidden="1" customHeight="1">
      <c r="B312" s="1" t="s">
        <v>423</v>
      </c>
      <c r="C312" s="2"/>
      <c r="D312" s="2"/>
      <c r="E312" s="2" t="s">
        <v>393</v>
      </c>
      <c r="F312" s="2" t="s">
        <v>393</v>
      </c>
      <c r="G312" s="2" t="s">
        <v>393</v>
      </c>
      <c r="H312" s="2" t="s">
        <v>393</v>
      </c>
      <c r="I312" s="2" t="s">
        <v>393</v>
      </c>
      <c r="J312" s="2" t="s">
        <v>393</v>
      </c>
      <c r="K312" s="2" t="s">
        <v>393</v>
      </c>
      <c r="L312" s="2" t="s">
        <v>393</v>
      </c>
      <c r="M312" s="2" t="s">
        <v>393</v>
      </c>
      <c r="N312" s="2" t="s">
        <v>393</v>
      </c>
      <c r="O312" s="2" t="s">
        <v>393</v>
      </c>
      <c r="P312" s="2" t="s">
        <v>393</v>
      </c>
      <c r="Q312" s="2" t="s">
        <v>393</v>
      </c>
      <c r="R312" s="2" t="s">
        <v>393</v>
      </c>
      <c r="S312" s="2" t="s">
        <v>393</v>
      </c>
      <c r="T312" s="2" t="s">
        <v>393</v>
      </c>
      <c r="U312" s="2" t="s">
        <v>393</v>
      </c>
      <c r="V312" s="2" t="s">
        <v>393</v>
      </c>
      <c r="W312" s="2" t="s">
        <v>393</v>
      </c>
      <c r="X312" s="2" t="s">
        <v>393</v>
      </c>
      <c r="Y312" s="2"/>
      <c r="Z312" s="2"/>
    </row>
    <row r="313" spans="2:26" ht="11.25" hidden="1" customHeight="1">
      <c r="B313" s="1" t="s">
        <v>424</v>
      </c>
      <c r="C313" s="2"/>
      <c r="D313" s="2"/>
      <c r="E313" s="2" t="s">
        <v>393</v>
      </c>
      <c r="F313" s="2" t="s">
        <v>393</v>
      </c>
      <c r="G313" s="2" t="s">
        <v>393</v>
      </c>
      <c r="H313" s="2" t="s">
        <v>393</v>
      </c>
      <c r="I313" s="2" t="s">
        <v>393</v>
      </c>
      <c r="J313" s="2" t="s">
        <v>393</v>
      </c>
      <c r="K313" s="2" t="s">
        <v>393</v>
      </c>
      <c r="L313" s="2" t="s">
        <v>393</v>
      </c>
      <c r="M313" s="2" t="s">
        <v>393</v>
      </c>
      <c r="N313" s="2" t="s">
        <v>393</v>
      </c>
      <c r="O313" s="2" t="s">
        <v>393</v>
      </c>
      <c r="P313" s="2" t="s">
        <v>393</v>
      </c>
      <c r="Q313" s="2" t="s">
        <v>393</v>
      </c>
      <c r="R313" s="2" t="s">
        <v>393</v>
      </c>
      <c r="S313" s="2" t="s">
        <v>393</v>
      </c>
      <c r="T313" s="2" t="s">
        <v>393</v>
      </c>
      <c r="U313" s="2" t="s">
        <v>393</v>
      </c>
      <c r="V313" s="2" t="s">
        <v>393</v>
      </c>
      <c r="W313" s="2" t="s">
        <v>393</v>
      </c>
      <c r="X313" s="2" t="s">
        <v>393</v>
      </c>
      <c r="Y313" s="2"/>
      <c r="Z313" s="2"/>
    </row>
    <row r="314" spans="2:26" ht="11.25" hidden="1" customHeight="1">
      <c r="B314" s="1" t="s">
        <v>425</v>
      </c>
      <c r="C314" s="2"/>
      <c r="D314" s="2"/>
      <c r="E314" s="2" t="s">
        <v>393</v>
      </c>
      <c r="F314" s="2" t="s">
        <v>393</v>
      </c>
      <c r="G314" s="2" t="s">
        <v>393</v>
      </c>
      <c r="H314" s="2" t="s">
        <v>393</v>
      </c>
      <c r="I314" s="2" t="s">
        <v>393</v>
      </c>
      <c r="J314" s="2" t="s">
        <v>393</v>
      </c>
      <c r="K314" s="2" t="s">
        <v>393</v>
      </c>
      <c r="L314" s="2" t="s">
        <v>393</v>
      </c>
      <c r="M314" s="2" t="s">
        <v>393</v>
      </c>
      <c r="N314" s="2" t="s">
        <v>393</v>
      </c>
      <c r="O314" s="2" t="s">
        <v>393</v>
      </c>
      <c r="P314" s="2" t="s">
        <v>393</v>
      </c>
      <c r="Q314" s="2" t="s">
        <v>393</v>
      </c>
      <c r="R314" s="2" t="s">
        <v>393</v>
      </c>
      <c r="S314" s="2" t="s">
        <v>393</v>
      </c>
      <c r="T314" s="2" t="s">
        <v>393</v>
      </c>
      <c r="U314" s="2" t="s">
        <v>393</v>
      </c>
      <c r="V314" s="2" t="s">
        <v>393</v>
      </c>
      <c r="W314" s="2" t="s">
        <v>393</v>
      </c>
      <c r="X314" s="2" t="s">
        <v>393</v>
      </c>
      <c r="Y314" s="2"/>
      <c r="Z314" s="2"/>
    </row>
    <row r="315" spans="2:26" ht="11.25" hidden="1" customHeight="1">
      <c r="B315" s="1" t="s">
        <v>426</v>
      </c>
      <c r="C315" s="2"/>
      <c r="D315" s="2"/>
      <c r="E315" s="2" t="s">
        <v>393</v>
      </c>
      <c r="F315" s="2" t="s">
        <v>393</v>
      </c>
      <c r="G315" s="2" t="s">
        <v>393</v>
      </c>
      <c r="H315" s="2" t="s">
        <v>393</v>
      </c>
      <c r="I315" s="2" t="s">
        <v>393</v>
      </c>
      <c r="J315" s="2" t="s">
        <v>393</v>
      </c>
      <c r="K315" s="2" t="s">
        <v>393</v>
      </c>
      <c r="L315" s="2" t="s">
        <v>393</v>
      </c>
      <c r="M315" s="2" t="s">
        <v>393</v>
      </c>
      <c r="N315" s="2" t="s">
        <v>393</v>
      </c>
      <c r="O315" s="2" t="s">
        <v>393</v>
      </c>
      <c r="P315" s="2" t="s">
        <v>393</v>
      </c>
      <c r="Q315" s="2" t="s">
        <v>393</v>
      </c>
      <c r="R315" s="2" t="s">
        <v>393</v>
      </c>
      <c r="S315" s="2" t="s">
        <v>393</v>
      </c>
      <c r="T315" s="2" t="s">
        <v>393</v>
      </c>
      <c r="U315" s="2" t="s">
        <v>393</v>
      </c>
      <c r="V315" s="2" t="s">
        <v>393</v>
      </c>
      <c r="W315" s="2" t="s">
        <v>393</v>
      </c>
      <c r="X315" s="2" t="s">
        <v>393</v>
      </c>
      <c r="Y315" s="2"/>
      <c r="Z315" s="2"/>
    </row>
    <row r="316" spans="2:26" ht="11.25" hidden="1" customHeight="1">
      <c r="B316" s="1" t="s">
        <v>427</v>
      </c>
      <c r="C316" s="2"/>
      <c r="D316" s="2"/>
      <c r="E316" s="2" t="s">
        <v>393</v>
      </c>
      <c r="F316" s="2" t="s">
        <v>393</v>
      </c>
      <c r="G316" s="2" t="s">
        <v>393</v>
      </c>
      <c r="H316" s="2" t="s">
        <v>393</v>
      </c>
      <c r="I316" s="2" t="s">
        <v>393</v>
      </c>
      <c r="J316" s="2" t="s">
        <v>393</v>
      </c>
      <c r="K316" s="2" t="s">
        <v>393</v>
      </c>
      <c r="L316" s="2" t="s">
        <v>393</v>
      </c>
      <c r="M316" s="2" t="s">
        <v>393</v>
      </c>
      <c r="N316" s="2" t="s">
        <v>393</v>
      </c>
      <c r="O316" s="2" t="s">
        <v>393</v>
      </c>
      <c r="P316" s="2" t="s">
        <v>393</v>
      </c>
      <c r="Q316" s="2" t="s">
        <v>393</v>
      </c>
      <c r="R316" s="2" t="s">
        <v>393</v>
      </c>
      <c r="S316" s="2" t="s">
        <v>393</v>
      </c>
      <c r="T316" s="2" t="s">
        <v>393</v>
      </c>
      <c r="U316" s="2" t="s">
        <v>393</v>
      </c>
      <c r="V316" s="2" t="s">
        <v>393</v>
      </c>
      <c r="W316" s="2" t="s">
        <v>393</v>
      </c>
      <c r="X316" s="2" t="s">
        <v>393</v>
      </c>
      <c r="Y316" s="2"/>
      <c r="Z316" s="2"/>
    </row>
    <row r="317" spans="2:26" ht="11.25" hidden="1" customHeight="1">
      <c r="B317" s="1" t="s">
        <v>428</v>
      </c>
      <c r="C317" s="2"/>
      <c r="D317" s="2"/>
      <c r="E317" s="2" t="s">
        <v>393</v>
      </c>
      <c r="F317" s="2" t="s">
        <v>393</v>
      </c>
      <c r="G317" s="2" t="s">
        <v>393</v>
      </c>
      <c r="H317" s="2" t="s">
        <v>393</v>
      </c>
      <c r="I317" s="2" t="s">
        <v>393</v>
      </c>
      <c r="J317" s="2" t="s">
        <v>393</v>
      </c>
      <c r="K317" s="2" t="s">
        <v>393</v>
      </c>
      <c r="L317" s="2" t="s">
        <v>393</v>
      </c>
      <c r="M317" s="2" t="s">
        <v>393</v>
      </c>
      <c r="N317" s="2" t="s">
        <v>393</v>
      </c>
      <c r="O317" s="2" t="s">
        <v>393</v>
      </c>
      <c r="P317" s="2" t="s">
        <v>393</v>
      </c>
      <c r="Q317" s="2" t="s">
        <v>393</v>
      </c>
      <c r="R317" s="2" t="s">
        <v>393</v>
      </c>
      <c r="S317" s="2" t="s">
        <v>393</v>
      </c>
      <c r="T317" s="2" t="s">
        <v>393</v>
      </c>
      <c r="U317" s="2" t="s">
        <v>393</v>
      </c>
      <c r="V317" s="2" t="s">
        <v>393</v>
      </c>
      <c r="W317" s="2" t="s">
        <v>393</v>
      </c>
      <c r="X317" s="2" t="s">
        <v>393</v>
      </c>
      <c r="Y317" s="2"/>
      <c r="Z317" s="2"/>
    </row>
    <row r="318" spans="2:26" ht="11.25" hidden="1" customHeight="1">
      <c r="B318" s="1" t="s">
        <v>429</v>
      </c>
      <c r="C318" s="2"/>
      <c r="D318" s="2"/>
      <c r="E318" s="2" t="s">
        <v>393</v>
      </c>
      <c r="F318" s="2" t="s">
        <v>393</v>
      </c>
      <c r="G318" s="2" t="s">
        <v>393</v>
      </c>
      <c r="H318" s="2" t="s">
        <v>393</v>
      </c>
      <c r="I318" s="2" t="s">
        <v>393</v>
      </c>
      <c r="J318" s="2" t="s">
        <v>393</v>
      </c>
      <c r="K318" s="2" t="s">
        <v>393</v>
      </c>
      <c r="L318" s="2" t="s">
        <v>393</v>
      </c>
      <c r="M318" s="2" t="s">
        <v>393</v>
      </c>
      <c r="N318" s="2" t="s">
        <v>393</v>
      </c>
      <c r="O318" s="2" t="s">
        <v>393</v>
      </c>
      <c r="P318" s="2" t="s">
        <v>393</v>
      </c>
      <c r="Q318" s="2" t="s">
        <v>393</v>
      </c>
      <c r="R318" s="2" t="s">
        <v>393</v>
      </c>
      <c r="S318" s="2" t="s">
        <v>393</v>
      </c>
      <c r="T318" s="2" t="s">
        <v>393</v>
      </c>
      <c r="U318" s="2" t="s">
        <v>393</v>
      </c>
      <c r="V318" s="2" t="s">
        <v>393</v>
      </c>
      <c r="W318" s="2" t="s">
        <v>393</v>
      </c>
      <c r="X318" s="2" t="s">
        <v>393</v>
      </c>
      <c r="Y318" s="2"/>
      <c r="Z318" s="2"/>
    </row>
    <row r="319" spans="2:26" ht="11.25" hidden="1" customHeight="1">
      <c r="B319" s="1" t="s">
        <v>430</v>
      </c>
      <c r="C319" s="2"/>
      <c r="D319" s="2"/>
      <c r="E319" s="2" t="s">
        <v>393</v>
      </c>
      <c r="F319" s="2" t="s">
        <v>393</v>
      </c>
      <c r="G319" s="2" t="s">
        <v>393</v>
      </c>
      <c r="H319" s="2" t="s">
        <v>393</v>
      </c>
      <c r="I319" s="2" t="s">
        <v>393</v>
      </c>
      <c r="J319" s="2" t="s">
        <v>393</v>
      </c>
      <c r="K319" s="2" t="s">
        <v>393</v>
      </c>
      <c r="L319" s="2" t="s">
        <v>393</v>
      </c>
      <c r="M319" s="2" t="s">
        <v>393</v>
      </c>
      <c r="N319" s="2" t="s">
        <v>393</v>
      </c>
      <c r="O319" s="2" t="s">
        <v>393</v>
      </c>
      <c r="P319" s="2" t="s">
        <v>393</v>
      </c>
      <c r="Q319" s="2" t="s">
        <v>393</v>
      </c>
      <c r="R319" s="2" t="s">
        <v>393</v>
      </c>
      <c r="S319" s="2" t="s">
        <v>393</v>
      </c>
      <c r="T319" s="2" t="s">
        <v>393</v>
      </c>
      <c r="U319" s="2" t="s">
        <v>393</v>
      </c>
      <c r="V319" s="2" t="s">
        <v>393</v>
      </c>
      <c r="W319" s="2" t="s">
        <v>393</v>
      </c>
      <c r="X319" s="2" t="s">
        <v>393</v>
      </c>
      <c r="Y319" s="2"/>
      <c r="Z319" s="2"/>
    </row>
    <row r="321" spans="1:26" s="61" customFormat="1" ht="11.25" customHeight="1">
      <c r="A321" s="61" t="s">
        <v>2009</v>
      </c>
      <c r="H321" s="62"/>
    </row>
    <row r="322" spans="1:26" s="35" customFormat="1" ht="11.25" hidden="1" customHeight="1">
      <c r="A322" s="26"/>
      <c r="B322" s="26"/>
      <c r="H322" s="34"/>
    </row>
    <row r="323" spans="1:26" ht="11.25" hidden="1" customHeight="1">
      <c r="B323" s="1"/>
      <c r="C323" s="1">
        <v>1</v>
      </c>
      <c r="D323" s="1">
        <v>2</v>
      </c>
      <c r="E323" s="1">
        <v>3</v>
      </c>
      <c r="F323" s="1">
        <v>4</v>
      </c>
      <c r="G323" s="1">
        <v>5</v>
      </c>
      <c r="H323" s="1">
        <v>6</v>
      </c>
      <c r="I323" s="1">
        <v>7</v>
      </c>
      <c r="J323" s="1">
        <v>8</v>
      </c>
      <c r="K323" s="1">
        <v>9</v>
      </c>
      <c r="L323" s="1">
        <v>10</v>
      </c>
      <c r="M323" s="1">
        <v>11</v>
      </c>
      <c r="N323" s="1">
        <v>12</v>
      </c>
      <c r="O323" s="1">
        <v>13</v>
      </c>
      <c r="P323" s="1">
        <v>14</v>
      </c>
      <c r="Q323" s="1">
        <v>15</v>
      </c>
      <c r="R323" s="1">
        <v>16</v>
      </c>
      <c r="S323" s="1">
        <v>17</v>
      </c>
      <c r="T323" s="1">
        <v>18</v>
      </c>
      <c r="U323" s="1">
        <v>19</v>
      </c>
      <c r="V323" s="1">
        <v>20</v>
      </c>
      <c r="W323" s="1">
        <v>21</v>
      </c>
      <c r="X323" s="1">
        <v>22</v>
      </c>
      <c r="Y323" s="1">
        <v>23</v>
      </c>
      <c r="Z323" s="1">
        <v>24</v>
      </c>
    </row>
    <row r="324" spans="1:26" ht="11.25" hidden="1" customHeight="1">
      <c r="B324" s="1" t="s">
        <v>415</v>
      </c>
      <c r="C324" s="2"/>
      <c r="D324" s="2"/>
      <c r="E324" s="2" t="s">
        <v>2012</v>
      </c>
      <c r="F324" s="2" t="s">
        <v>828</v>
      </c>
      <c r="G324" s="2" t="s">
        <v>827</v>
      </c>
      <c r="H324" s="2" t="s">
        <v>2010</v>
      </c>
      <c r="I324" s="2" t="s">
        <v>2011</v>
      </c>
      <c r="J324" s="2" t="s">
        <v>829</v>
      </c>
      <c r="K324" s="2" t="s">
        <v>828</v>
      </c>
      <c r="L324" s="2" t="s">
        <v>827</v>
      </c>
      <c r="M324" s="2" t="s">
        <v>2010</v>
      </c>
      <c r="N324" s="2" t="s">
        <v>2011</v>
      </c>
      <c r="O324" s="2" t="s">
        <v>829</v>
      </c>
      <c r="P324" s="2" t="s">
        <v>828</v>
      </c>
      <c r="Q324" s="2" t="s">
        <v>827</v>
      </c>
      <c r="R324" s="2" t="s">
        <v>2010</v>
      </c>
      <c r="S324" s="2" t="s">
        <v>2011</v>
      </c>
      <c r="T324" s="2" t="s">
        <v>829</v>
      </c>
      <c r="U324" s="2" t="s">
        <v>828</v>
      </c>
      <c r="V324" s="2" t="s">
        <v>827</v>
      </c>
      <c r="W324" s="2" t="s">
        <v>2010</v>
      </c>
      <c r="X324" s="2" t="s">
        <v>2011</v>
      </c>
      <c r="Y324" s="2"/>
      <c r="Z324" s="2"/>
    </row>
    <row r="325" spans="1:26" ht="11.25" hidden="1" customHeight="1">
      <c r="B325" s="1" t="s">
        <v>416</v>
      </c>
      <c r="C325" s="2"/>
      <c r="D325" s="2"/>
      <c r="E325" s="2" t="s">
        <v>829</v>
      </c>
      <c r="F325" s="2" t="s">
        <v>828</v>
      </c>
      <c r="G325" s="2" t="s">
        <v>827</v>
      </c>
      <c r="H325" s="2" t="s">
        <v>2010</v>
      </c>
      <c r="I325" s="2" t="s">
        <v>2011</v>
      </c>
      <c r="J325" s="2" t="s">
        <v>829</v>
      </c>
      <c r="K325" s="2" t="s">
        <v>828</v>
      </c>
      <c r="L325" s="2" t="s">
        <v>827</v>
      </c>
      <c r="M325" s="2" t="s">
        <v>2010</v>
      </c>
      <c r="N325" s="2" t="s">
        <v>2011</v>
      </c>
      <c r="O325" s="2" t="s">
        <v>829</v>
      </c>
      <c r="P325" s="2" t="s">
        <v>828</v>
      </c>
      <c r="Q325" s="2" t="s">
        <v>827</v>
      </c>
      <c r="R325" s="2" t="s">
        <v>2010</v>
      </c>
      <c r="S325" s="2" t="s">
        <v>2011</v>
      </c>
      <c r="T325" s="2" t="s">
        <v>829</v>
      </c>
      <c r="U325" s="2" t="s">
        <v>828</v>
      </c>
      <c r="V325" s="2" t="s">
        <v>827</v>
      </c>
      <c r="W325" s="2" t="s">
        <v>2010</v>
      </c>
      <c r="X325" s="2" t="s">
        <v>2011</v>
      </c>
      <c r="Y325" s="2"/>
      <c r="Z325" s="2"/>
    </row>
    <row r="326" spans="1:26" ht="11.25" hidden="1" customHeight="1">
      <c r="B326" s="1" t="s">
        <v>417</v>
      </c>
      <c r="C326" s="2"/>
      <c r="D326" s="2"/>
      <c r="E326" s="2" t="s">
        <v>829</v>
      </c>
      <c r="F326" s="2" t="s">
        <v>828</v>
      </c>
      <c r="G326" s="2" t="s">
        <v>827</v>
      </c>
      <c r="H326" s="2" t="s">
        <v>2010</v>
      </c>
      <c r="I326" s="2" t="s">
        <v>2011</v>
      </c>
      <c r="J326" s="2" t="s">
        <v>829</v>
      </c>
      <c r="K326" s="2" t="s">
        <v>828</v>
      </c>
      <c r="L326" s="2" t="s">
        <v>827</v>
      </c>
      <c r="M326" s="2" t="s">
        <v>2010</v>
      </c>
      <c r="N326" s="2" t="s">
        <v>2011</v>
      </c>
      <c r="O326" s="2" t="s">
        <v>829</v>
      </c>
      <c r="P326" s="2" t="s">
        <v>828</v>
      </c>
      <c r="Q326" s="2" t="s">
        <v>827</v>
      </c>
      <c r="R326" s="2" t="s">
        <v>2010</v>
      </c>
      <c r="S326" s="2" t="s">
        <v>2011</v>
      </c>
      <c r="T326" s="2" t="s">
        <v>829</v>
      </c>
      <c r="U326" s="2" t="s">
        <v>828</v>
      </c>
      <c r="V326" s="2" t="s">
        <v>827</v>
      </c>
      <c r="W326" s="2" t="s">
        <v>2010</v>
      </c>
      <c r="X326" s="2" t="s">
        <v>2011</v>
      </c>
      <c r="Y326" s="2"/>
      <c r="Z326" s="2"/>
    </row>
    <row r="327" spans="1:26" ht="11.25" hidden="1" customHeight="1">
      <c r="B327" s="1" t="s">
        <v>418</v>
      </c>
      <c r="C327" s="2"/>
      <c r="D327" s="2"/>
      <c r="E327" s="2" t="s">
        <v>829</v>
      </c>
      <c r="F327" s="2" t="s">
        <v>828</v>
      </c>
      <c r="G327" s="2" t="s">
        <v>827</v>
      </c>
      <c r="H327" s="2" t="s">
        <v>2010</v>
      </c>
      <c r="I327" s="2" t="s">
        <v>2011</v>
      </c>
      <c r="J327" s="2" t="s">
        <v>829</v>
      </c>
      <c r="K327" s="2" t="s">
        <v>828</v>
      </c>
      <c r="L327" s="2" t="s">
        <v>827</v>
      </c>
      <c r="M327" s="2" t="s">
        <v>2010</v>
      </c>
      <c r="N327" s="2" t="s">
        <v>2011</v>
      </c>
      <c r="O327" s="2" t="s">
        <v>829</v>
      </c>
      <c r="P327" s="2" t="s">
        <v>828</v>
      </c>
      <c r="Q327" s="2" t="s">
        <v>827</v>
      </c>
      <c r="R327" s="2" t="s">
        <v>2010</v>
      </c>
      <c r="S327" s="2" t="s">
        <v>2011</v>
      </c>
      <c r="T327" s="2" t="s">
        <v>829</v>
      </c>
      <c r="U327" s="2" t="s">
        <v>828</v>
      </c>
      <c r="V327" s="2" t="s">
        <v>827</v>
      </c>
      <c r="W327" s="2" t="s">
        <v>2010</v>
      </c>
      <c r="X327" s="2" t="s">
        <v>2011</v>
      </c>
      <c r="Y327" s="2"/>
      <c r="Z327" s="2"/>
    </row>
    <row r="328" spans="1:26" ht="11.25" hidden="1" customHeight="1">
      <c r="B328" s="1" t="s">
        <v>419</v>
      </c>
      <c r="C328" s="2"/>
      <c r="D328" s="2"/>
      <c r="E328" s="2" t="s">
        <v>829</v>
      </c>
      <c r="F328" s="2" t="s">
        <v>828</v>
      </c>
      <c r="G328" s="2" t="s">
        <v>827</v>
      </c>
      <c r="H328" s="2" t="s">
        <v>2010</v>
      </c>
      <c r="I328" s="2" t="s">
        <v>2011</v>
      </c>
      <c r="J328" s="2" t="s">
        <v>829</v>
      </c>
      <c r="K328" s="2" t="s">
        <v>828</v>
      </c>
      <c r="L328" s="2" t="s">
        <v>827</v>
      </c>
      <c r="M328" s="2" t="s">
        <v>2010</v>
      </c>
      <c r="N328" s="2" t="s">
        <v>2011</v>
      </c>
      <c r="O328" s="2" t="s">
        <v>829</v>
      </c>
      <c r="P328" s="2" t="s">
        <v>828</v>
      </c>
      <c r="Q328" s="2" t="s">
        <v>827</v>
      </c>
      <c r="R328" s="2" t="s">
        <v>2010</v>
      </c>
      <c r="S328" s="2" t="s">
        <v>2011</v>
      </c>
      <c r="T328" s="2" t="s">
        <v>829</v>
      </c>
      <c r="U328" s="2" t="s">
        <v>828</v>
      </c>
      <c r="V328" s="2" t="s">
        <v>827</v>
      </c>
      <c r="W328" s="2" t="s">
        <v>2010</v>
      </c>
      <c r="X328" s="2" t="s">
        <v>2011</v>
      </c>
      <c r="Y328" s="2"/>
      <c r="Z328" s="2"/>
    </row>
    <row r="329" spans="1:26" ht="11.25" hidden="1" customHeight="1">
      <c r="B329" s="1" t="s">
        <v>420</v>
      </c>
      <c r="C329" s="2"/>
      <c r="D329" s="2"/>
      <c r="E329" s="2" t="s">
        <v>829</v>
      </c>
      <c r="F329" s="2" t="s">
        <v>828</v>
      </c>
      <c r="G329" s="2" t="s">
        <v>827</v>
      </c>
      <c r="H329" s="2" t="s">
        <v>2010</v>
      </c>
      <c r="I329" s="2" t="s">
        <v>2011</v>
      </c>
      <c r="J329" s="2" t="s">
        <v>829</v>
      </c>
      <c r="K329" s="2" t="s">
        <v>828</v>
      </c>
      <c r="L329" s="2" t="s">
        <v>827</v>
      </c>
      <c r="M329" s="2" t="s">
        <v>2010</v>
      </c>
      <c r="N329" s="2" t="s">
        <v>2011</v>
      </c>
      <c r="O329" s="2" t="s">
        <v>829</v>
      </c>
      <c r="P329" s="2" t="s">
        <v>828</v>
      </c>
      <c r="Q329" s="2" t="s">
        <v>827</v>
      </c>
      <c r="R329" s="2" t="s">
        <v>2010</v>
      </c>
      <c r="S329" s="2" t="s">
        <v>2011</v>
      </c>
      <c r="T329" s="2" t="s">
        <v>829</v>
      </c>
      <c r="U329" s="2" t="s">
        <v>828</v>
      </c>
      <c r="V329" s="2" t="s">
        <v>827</v>
      </c>
      <c r="W329" s="2" t="s">
        <v>2010</v>
      </c>
      <c r="X329" s="2" t="s">
        <v>2011</v>
      </c>
      <c r="Y329" s="2"/>
      <c r="Z329" s="2"/>
    </row>
    <row r="330" spans="1:26" ht="11.25" hidden="1" customHeight="1">
      <c r="B330" s="1" t="s">
        <v>421</v>
      </c>
      <c r="C330" s="2"/>
      <c r="D330" s="2"/>
      <c r="E330" s="2" t="s">
        <v>829</v>
      </c>
      <c r="F330" s="2" t="s">
        <v>828</v>
      </c>
      <c r="G330" s="2" t="s">
        <v>827</v>
      </c>
      <c r="H330" s="2" t="s">
        <v>2010</v>
      </c>
      <c r="I330" s="2" t="s">
        <v>2011</v>
      </c>
      <c r="J330" s="2" t="s">
        <v>829</v>
      </c>
      <c r="K330" s="2" t="s">
        <v>828</v>
      </c>
      <c r="L330" s="2" t="s">
        <v>827</v>
      </c>
      <c r="M330" s="2" t="s">
        <v>2010</v>
      </c>
      <c r="N330" s="2" t="s">
        <v>2011</v>
      </c>
      <c r="O330" s="2" t="s">
        <v>829</v>
      </c>
      <c r="P330" s="2" t="s">
        <v>828</v>
      </c>
      <c r="Q330" s="2" t="s">
        <v>827</v>
      </c>
      <c r="R330" s="2" t="s">
        <v>2010</v>
      </c>
      <c r="S330" s="2" t="s">
        <v>2011</v>
      </c>
      <c r="T330" s="2" t="s">
        <v>829</v>
      </c>
      <c r="U330" s="2" t="s">
        <v>828</v>
      </c>
      <c r="V330" s="2" t="s">
        <v>827</v>
      </c>
      <c r="W330" s="2" t="s">
        <v>2010</v>
      </c>
      <c r="X330" s="2" t="s">
        <v>2011</v>
      </c>
      <c r="Y330" s="2"/>
      <c r="Z330" s="2"/>
    </row>
    <row r="331" spans="1:26" ht="11.25" hidden="1" customHeight="1">
      <c r="B331" s="1" t="s">
        <v>422</v>
      </c>
      <c r="C331" s="2"/>
      <c r="D331" s="2"/>
      <c r="E331" s="2" t="s">
        <v>829</v>
      </c>
      <c r="F331" s="2" t="s">
        <v>828</v>
      </c>
      <c r="G331" s="2" t="s">
        <v>827</v>
      </c>
      <c r="H331" s="2" t="s">
        <v>2010</v>
      </c>
      <c r="I331" s="2" t="s">
        <v>2011</v>
      </c>
      <c r="J331" s="2" t="s">
        <v>829</v>
      </c>
      <c r="K331" s="2" t="s">
        <v>828</v>
      </c>
      <c r="L331" s="2" t="s">
        <v>827</v>
      </c>
      <c r="M331" s="2" t="s">
        <v>2010</v>
      </c>
      <c r="N331" s="2" t="s">
        <v>2011</v>
      </c>
      <c r="O331" s="2" t="s">
        <v>829</v>
      </c>
      <c r="P331" s="2" t="s">
        <v>828</v>
      </c>
      <c r="Q331" s="2" t="s">
        <v>827</v>
      </c>
      <c r="R331" s="2" t="s">
        <v>2010</v>
      </c>
      <c r="S331" s="2" t="s">
        <v>2011</v>
      </c>
      <c r="T331" s="2" t="s">
        <v>829</v>
      </c>
      <c r="U331" s="2" t="s">
        <v>828</v>
      </c>
      <c r="V331" s="2" t="s">
        <v>827</v>
      </c>
      <c r="W331" s="2" t="s">
        <v>2010</v>
      </c>
      <c r="X331" s="2" t="s">
        <v>2011</v>
      </c>
      <c r="Y331" s="2"/>
      <c r="Z331" s="2"/>
    </row>
    <row r="332" spans="1:26" ht="11.25" hidden="1" customHeight="1">
      <c r="B332" s="1" t="s">
        <v>423</v>
      </c>
      <c r="C332" s="2"/>
      <c r="D332" s="2"/>
      <c r="E332" s="2" t="s">
        <v>829</v>
      </c>
      <c r="F332" s="2" t="s">
        <v>828</v>
      </c>
      <c r="G332" s="2" t="s">
        <v>827</v>
      </c>
      <c r="H332" s="2" t="s">
        <v>2010</v>
      </c>
      <c r="I332" s="2" t="s">
        <v>2011</v>
      </c>
      <c r="J332" s="2" t="s">
        <v>829</v>
      </c>
      <c r="K332" s="2" t="s">
        <v>828</v>
      </c>
      <c r="L332" s="2" t="s">
        <v>827</v>
      </c>
      <c r="M332" s="2" t="s">
        <v>2010</v>
      </c>
      <c r="N332" s="2" t="s">
        <v>2011</v>
      </c>
      <c r="O332" s="2" t="s">
        <v>829</v>
      </c>
      <c r="P332" s="2" t="s">
        <v>828</v>
      </c>
      <c r="Q332" s="2" t="s">
        <v>827</v>
      </c>
      <c r="R332" s="2" t="s">
        <v>2010</v>
      </c>
      <c r="S332" s="2" t="s">
        <v>2011</v>
      </c>
      <c r="T332" s="2" t="s">
        <v>829</v>
      </c>
      <c r="U332" s="2" t="s">
        <v>828</v>
      </c>
      <c r="V332" s="2" t="s">
        <v>827</v>
      </c>
      <c r="W332" s="2" t="s">
        <v>2010</v>
      </c>
      <c r="X332" s="2" t="s">
        <v>2011</v>
      </c>
      <c r="Y332" s="2"/>
      <c r="Z332" s="2"/>
    </row>
    <row r="333" spans="1:26" ht="11.25" hidden="1" customHeight="1">
      <c r="B333" s="1" t="s">
        <v>424</v>
      </c>
      <c r="C333" s="2"/>
      <c r="D333" s="2"/>
      <c r="E333" s="2" t="s">
        <v>829</v>
      </c>
      <c r="F333" s="2" t="s">
        <v>828</v>
      </c>
      <c r="G333" s="2" t="s">
        <v>827</v>
      </c>
      <c r="H333" s="2" t="s">
        <v>2010</v>
      </c>
      <c r="I333" s="2" t="s">
        <v>2011</v>
      </c>
      <c r="J333" s="2" t="s">
        <v>829</v>
      </c>
      <c r="K333" s="2" t="s">
        <v>828</v>
      </c>
      <c r="L333" s="2" t="s">
        <v>827</v>
      </c>
      <c r="M333" s="2" t="s">
        <v>2010</v>
      </c>
      <c r="N333" s="2" t="s">
        <v>2011</v>
      </c>
      <c r="O333" s="2" t="s">
        <v>829</v>
      </c>
      <c r="P333" s="2" t="s">
        <v>828</v>
      </c>
      <c r="Q333" s="2" t="s">
        <v>827</v>
      </c>
      <c r="R333" s="2" t="s">
        <v>2010</v>
      </c>
      <c r="S333" s="2" t="s">
        <v>2011</v>
      </c>
      <c r="T333" s="2" t="s">
        <v>829</v>
      </c>
      <c r="U333" s="2" t="s">
        <v>828</v>
      </c>
      <c r="V333" s="2" t="s">
        <v>827</v>
      </c>
      <c r="W333" s="2" t="s">
        <v>2010</v>
      </c>
      <c r="X333" s="2" t="s">
        <v>2011</v>
      </c>
      <c r="Y333" s="2"/>
      <c r="Z333" s="2"/>
    </row>
    <row r="334" spans="1:26" ht="11.25" hidden="1" customHeight="1">
      <c r="B334" s="1" t="s">
        <v>425</v>
      </c>
      <c r="C334" s="2"/>
      <c r="D334" s="2"/>
      <c r="E334" s="2" t="s">
        <v>829</v>
      </c>
      <c r="F334" s="2" t="s">
        <v>828</v>
      </c>
      <c r="G334" s="2" t="s">
        <v>827</v>
      </c>
      <c r="H334" s="2" t="s">
        <v>2010</v>
      </c>
      <c r="I334" s="2" t="s">
        <v>2011</v>
      </c>
      <c r="J334" s="2" t="s">
        <v>829</v>
      </c>
      <c r="K334" s="2" t="s">
        <v>828</v>
      </c>
      <c r="L334" s="2" t="s">
        <v>827</v>
      </c>
      <c r="M334" s="2" t="s">
        <v>2010</v>
      </c>
      <c r="N334" s="2" t="s">
        <v>2011</v>
      </c>
      <c r="O334" s="2" t="s">
        <v>829</v>
      </c>
      <c r="P334" s="2" t="s">
        <v>828</v>
      </c>
      <c r="Q334" s="2" t="s">
        <v>827</v>
      </c>
      <c r="R334" s="2" t="s">
        <v>2010</v>
      </c>
      <c r="S334" s="2" t="s">
        <v>2011</v>
      </c>
      <c r="T334" s="2" t="s">
        <v>829</v>
      </c>
      <c r="U334" s="2" t="s">
        <v>828</v>
      </c>
      <c r="V334" s="2" t="s">
        <v>827</v>
      </c>
      <c r="W334" s="2" t="s">
        <v>2010</v>
      </c>
      <c r="X334" s="2" t="s">
        <v>2011</v>
      </c>
      <c r="Y334" s="2"/>
      <c r="Z334" s="2"/>
    </row>
    <row r="335" spans="1:26" ht="11.25" hidden="1" customHeight="1">
      <c r="B335" s="1" t="s">
        <v>426</v>
      </c>
      <c r="C335" s="2"/>
      <c r="D335" s="2"/>
      <c r="E335" s="2" t="s">
        <v>829</v>
      </c>
      <c r="F335" s="2" t="s">
        <v>828</v>
      </c>
      <c r="G335" s="2" t="s">
        <v>827</v>
      </c>
      <c r="H335" s="2" t="s">
        <v>2010</v>
      </c>
      <c r="I335" s="2" t="s">
        <v>2011</v>
      </c>
      <c r="J335" s="2" t="s">
        <v>829</v>
      </c>
      <c r="K335" s="2" t="s">
        <v>828</v>
      </c>
      <c r="L335" s="2" t="s">
        <v>827</v>
      </c>
      <c r="M335" s="2" t="s">
        <v>2010</v>
      </c>
      <c r="N335" s="2" t="s">
        <v>2011</v>
      </c>
      <c r="O335" s="2" t="s">
        <v>829</v>
      </c>
      <c r="P335" s="2" t="s">
        <v>828</v>
      </c>
      <c r="Q335" s="2" t="s">
        <v>827</v>
      </c>
      <c r="R335" s="2" t="s">
        <v>2010</v>
      </c>
      <c r="S335" s="2" t="s">
        <v>2011</v>
      </c>
      <c r="T335" s="2" t="s">
        <v>829</v>
      </c>
      <c r="U335" s="2" t="s">
        <v>828</v>
      </c>
      <c r="V335" s="2" t="s">
        <v>827</v>
      </c>
      <c r="W335" s="2" t="s">
        <v>2010</v>
      </c>
      <c r="X335" s="2" t="s">
        <v>2011</v>
      </c>
      <c r="Y335" s="2"/>
      <c r="Z335" s="2"/>
    </row>
    <row r="336" spans="1:26" ht="11.25" hidden="1" customHeight="1">
      <c r="B336" s="1" t="s">
        <v>427</v>
      </c>
      <c r="C336" s="2"/>
      <c r="D336" s="2"/>
      <c r="E336" s="2" t="s">
        <v>829</v>
      </c>
      <c r="F336" s="2" t="s">
        <v>828</v>
      </c>
      <c r="G336" s="2" t="s">
        <v>827</v>
      </c>
      <c r="H336" s="2" t="s">
        <v>2010</v>
      </c>
      <c r="I336" s="2" t="s">
        <v>2011</v>
      </c>
      <c r="J336" s="2" t="s">
        <v>829</v>
      </c>
      <c r="K336" s="2" t="s">
        <v>828</v>
      </c>
      <c r="L336" s="2" t="s">
        <v>827</v>
      </c>
      <c r="M336" s="2" t="s">
        <v>2010</v>
      </c>
      <c r="N336" s="2" t="s">
        <v>2011</v>
      </c>
      <c r="O336" s="2" t="s">
        <v>829</v>
      </c>
      <c r="P336" s="2" t="s">
        <v>828</v>
      </c>
      <c r="Q336" s="2" t="s">
        <v>827</v>
      </c>
      <c r="R336" s="2" t="s">
        <v>2010</v>
      </c>
      <c r="S336" s="2" t="s">
        <v>2011</v>
      </c>
      <c r="T336" s="2" t="s">
        <v>829</v>
      </c>
      <c r="U336" s="2" t="s">
        <v>828</v>
      </c>
      <c r="V336" s="2" t="s">
        <v>827</v>
      </c>
      <c r="W336" s="2" t="s">
        <v>2010</v>
      </c>
      <c r="X336" s="2" t="s">
        <v>2011</v>
      </c>
      <c r="Y336" s="2"/>
      <c r="Z336" s="2"/>
    </row>
    <row r="337" spans="1:53" ht="11.25" hidden="1" customHeight="1">
      <c r="B337" s="1" t="s">
        <v>428</v>
      </c>
      <c r="C337" s="2"/>
      <c r="D337" s="2"/>
      <c r="E337" s="2" t="s">
        <v>829</v>
      </c>
      <c r="F337" s="2" t="s">
        <v>828</v>
      </c>
      <c r="G337" s="2" t="s">
        <v>827</v>
      </c>
      <c r="H337" s="2" t="s">
        <v>2010</v>
      </c>
      <c r="I337" s="2" t="s">
        <v>2011</v>
      </c>
      <c r="J337" s="2" t="s">
        <v>829</v>
      </c>
      <c r="K337" s="2" t="s">
        <v>828</v>
      </c>
      <c r="L337" s="2" t="s">
        <v>827</v>
      </c>
      <c r="M337" s="2" t="s">
        <v>2010</v>
      </c>
      <c r="N337" s="2" t="s">
        <v>2011</v>
      </c>
      <c r="O337" s="2" t="s">
        <v>829</v>
      </c>
      <c r="P337" s="2" t="s">
        <v>828</v>
      </c>
      <c r="Q337" s="2" t="s">
        <v>827</v>
      </c>
      <c r="R337" s="2" t="s">
        <v>2010</v>
      </c>
      <c r="S337" s="2" t="s">
        <v>2011</v>
      </c>
      <c r="T337" s="2" t="s">
        <v>829</v>
      </c>
      <c r="U337" s="2" t="s">
        <v>828</v>
      </c>
      <c r="V337" s="2" t="s">
        <v>827</v>
      </c>
      <c r="W337" s="2" t="s">
        <v>2010</v>
      </c>
      <c r="X337" s="2" t="s">
        <v>2011</v>
      </c>
      <c r="Y337" s="2"/>
      <c r="Z337" s="2"/>
    </row>
    <row r="338" spans="1:53" ht="11.25" hidden="1" customHeight="1">
      <c r="B338" s="1" t="s">
        <v>429</v>
      </c>
      <c r="C338" s="2"/>
      <c r="D338" s="2"/>
      <c r="E338" s="2" t="s">
        <v>829</v>
      </c>
      <c r="F338" s="2" t="s">
        <v>828</v>
      </c>
      <c r="G338" s="2" t="s">
        <v>827</v>
      </c>
      <c r="H338" s="2" t="s">
        <v>2010</v>
      </c>
      <c r="I338" s="2" t="s">
        <v>2011</v>
      </c>
      <c r="J338" s="2" t="s">
        <v>829</v>
      </c>
      <c r="K338" s="2" t="s">
        <v>828</v>
      </c>
      <c r="L338" s="2" t="s">
        <v>827</v>
      </c>
      <c r="M338" s="2" t="s">
        <v>2010</v>
      </c>
      <c r="N338" s="2" t="s">
        <v>2011</v>
      </c>
      <c r="O338" s="2" t="s">
        <v>829</v>
      </c>
      <c r="P338" s="2" t="s">
        <v>828</v>
      </c>
      <c r="Q338" s="2" t="s">
        <v>827</v>
      </c>
      <c r="R338" s="2" t="s">
        <v>2010</v>
      </c>
      <c r="S338" s="2" t="s">
        <v>2011</v>
      </c>
      <c r="T338" s="2" t="s">
        <v>829</v>
      </c>
      <c r="U338" s="2" t="s">
        <v>828</v>
      </c>
      <c r="V338" s="2" t="s">
        <v>827</v>
      </c>
      <c r="W338" s="2" t="s">
        <v>2010</v>
      </c>
      <c r="X338" s="2" t="s">
        <v>2011</v>
      </c>
      <c r="Y338" s="2"/>
      <c r="Z338" s="2"/>
    </row>
    <row r="339" spans="1:53" ht="11.25" hidden="1" customHeight="1">
      <c r="B339" s="1" t="s">
        <v>430</v>
      </c>
      <c r="C339" s="2"/>
      <c r="D339" s="2"/>
      <c r="E339" s="2" t="s">
        <v>829</v>
      </c>
      <c r="F339" s="2" t="s">
        <v>828</v>
      </c>
      <c r="G339" s="2" t="s">
        <v>827</v>
      </c>
      <c r="H339" s="2" t="s">
        <v>2010</v>
      </c>
      <c r="I339" s="2" t="s">
        <v>2011</v>
      </c>
      <c r="J339" s="2" t="s">
        <v>829</v>
      </c>
      <c r="K339" s="2" t="s">
        <v>828</v>
      </c>
      <c r="L339" s="2" t="s">
        <v>827</v>
      </c>
      <c r="M339" s="2" t="s">
        <v>2010</v>
      </c>
      <c r="N339" s="2" t="s">
        <v>2011</v>
      </c>
      <c r="O339" s="2" t="s">
        <v>829</v>
      </c>
      <c r="P339" s="2" t="s">
        <v>828</v>
      </c>
      <c r="Q339" s="2" t="s">
        <v>827</v>
      </c>
      <c r="R339" s="2" t="s">
        <v>2010</v>
      </c>
      <c r="S339" s="2" t="s">
        <v>2011</v>
      </c>
      <c r="T339" s="2" t="s">
        <v>829</v>
      </c>
      <c r="U339" s="2" t="s">
        <v>828</v>
      </c>
      <c r="V339" s="2" t="s">
        <v>827</v>
      </c>
      <c r="W339" s="2" t="s">
        <v>2010</v>
      </c>
      <c r="X339" s="2" t="s">
        <v>2011</v>
      </c>
      <c r="Y339" s="2"/>
      <c r="Z339" s="2"/>
    </row>
    <row r="341" spans="1:53" s="61" customFormat="1" ht="11.25" customHeight="1">
      <c r="A341" s="61" t="s">
        <v>2061</v>
      </c>
      <c r="D341" s="62"/>
      <c r="H341" s="62"/>
    </row>
    <row r="342" spans="1:53" s="35" customFormat="1" ht="11.25" hidden="1" customHeight="1">
      <c r="A342" s="26"/>
      <c r="B342" s="26"/>
      <c r="C342" s="34"/>
      <c r="D342" s="34"/>
      <c r="H342" s="34"/>
    </row>
    <row r="343" spans="1:53" ht="11.25" hidden="1" customHeight="1">
      <c r="B343" s="36" t="s">
        <v>392</v>
      </c>
      <c r="C343" s="37">
        <v>1</v>
      </c>
      <c r="D343" s="37">
        <v>2</v>
      </c>
      <c r="E343" s="37">
        <v>3</v>
      </c>
      <c r="F343" s="37">
        <v>4</v>
      </c>
      <c r="G343" s="37">
        <v>5</v>
      </c>
      <c r="H343" s="37">
        <v>6</v>
      </c>
      <c r="I343" s="37">
        <v>7</v>
      </c>
      <c r="J343" s="37">
        <v>8</v>
      </c>
      <c r="K343" s="37">
        <v>9</v>
      </c>
      <c r="L343" s="37">
        <v>10</v>
      </c>
      <c r="M343" s="37">
        <v>11</v>
      </c>
      <c r="N343" s="37">
        <v>12</v>
      </c>
      <c r="O343" s="37">
        <v>13</v>
      </c>
      <c r="P343" s="37">
        <v>14</v>
      </c>
      <c r="Q343" s="37">
        <v>15</v>
      </c>
      <c r="R343" s="37">
        <v>16</v>
      </c>
      <c r="S343" s="37">
        <v>17</v>
      </c>
      <c r="T343" s="37">
        <v>18</v>
      </c>
      <c r="U343" s="37">
        <v>19</v>
      </c>
      <c r="V343" s="37">
        <v>20</v>
      </c>
      <c r="W343" s="37">
        <v>21</v>
      </c>
      <c r="X343" s="37">
        <v>22</v>
      </c>
      <c r="Y343" s="37">
        <v>23</v>
      </c>
      <c r="Z343" s="37">
        <v>24</v>
      </c>
      <c r="AA343" s="37">
        <v>25</v>
      </c>
      <c r="AB343" s="37">
        <v>26</v>
      </c>
      <c r="AC343" s="37">
        <v>27</v>
      </c>
      <c r="AD343" s="37">
        <v>28</v>
      </c>
      <c r="AE343" s="37">
        <v>29</v>
      </c>
      <c r="AF343" s="37">
        <v>30</v>
      </c>
      <c r="AG343" s="37">
        <v>31</v>
      </c>
      <c r="AH343" s="37">
        <v>32</v>
      </c>
      <c r="AI343" s="37">
        <v>33</v>
      </c>
      <c r="AJ343" s="37">
        <v>34</v>
      </c>
      <c r="AK343" s="37">
        <v>35</v>
      </c>
      <c r="AL343" s="37">
        <v>36</v>
      </c>
      <c r="AM343" s="37">
        <v>37</v>
      </c>
      <c r="AN343" s="37">
        <v>38</v>
      </c>
      <c r="AO343" s="37">
        <v>39</v>
      </c>
      <c r="AP343" s="37">
        <v>40</v>
      </c>
      <c r="AQ343" s="37">
        <v>41</v>
      </c>
      <c r="AR343" s="37">
        <v>42</v>
      </c>
      <c r="AS343" s="37">
        <v>43</v>
      </c>
      <c r="AT343" s="37">
        <v>44</v>
      </c>
      <c r="AU343" s="37">
        <v>45</v>
      </c>
      <c r="AV343" s="37">
        <v>46</v>
      </c>
      <c r="AW343" s="37">
        <v>47</v>
      </c>
      <c r="AX343" s="37">
        <v>48</v>
      </c>
      <c r="AY343" s="49"/>
      <c r="AZ343" s="49"/>
      <c r="BA343" s="49"/>
    </row>
    <row r="344" spans="1:53" ht="11.25" hidden="1" customHeight="1">
      <c r="B344" s="36" t="s">
        <v>399</v>
      </c>
      <c r="C344" s="42"/>
      <c r="D344" s="42"/>
      <c r="E344" s="42"/>
      <c r="F344" s="42"/>
      <c r="G344" s="42">
        <v>20</v>
      </c>
      <c r="H344" s="42">
        <v>20</v>
      </c>
      <c r="I344" s="42">
        <v>20</v>
      </c>
      <c r="J344" s="42">
        <v>20</v>
      </c>
      <c r="K344" s="42">
        <v>20</v>
      </c>
      <c r="L344" s="42">
        <v>20</v>
      </c>
      <c r="M344" s="42">
        <v>20</v>
      </c>
      <c r="N344" s="42">
        <v>20</v>
      </c>
      <c r="O344" s="42">
        <v>20</v>
      </c>
      <c r="P344" s="42">
        <v>20</v>
      </c>
      <c r="Q344" s="42">
        <v>20</v>
      </c>
      <c r="R344" s="42">
        <v>20</v>
      </c>
      <c r="S344" s="42">
        <v>20</v>
      </c>
      <c r="T344" s="42">
        <v>20</v>
      </c>
      <c r="U344" s="42">
        <v>20</v>
      </c>
      <c r="V344" s="42">
        <v>20</v>
      </c>
      <c r="W344" s="42">
        <v>20</v>
      </c>
      <c r="X344" s="42">
        <v>20</v>
      </c>
      <c r="Y344" s="42">
        <v>20</v>
      </c>
      <c r="Z344" s="42">
        <v>20</v>
      </c>
      <c r="AA344" s="42">
        <v>20</v>
      </c>
      <c r="AB344" s="42">
        <v>20</v>
      </c>
      <c r="AC344" s="42">
        <v>20</v>
      </c>
      <c r="AD344" s="42">
        <v>20</v>
      </c>
      <c r="AE344" s="42">
        <v>20</v>
      </c>
      <c r="AF344" s="42">
        <v>20</v>
      </c>
      <c r="AG344" s="42">
        <v>20</v>
      </c>
      <c r="AH344" s="42">
        <v>20</v>
      </c>
      <c r="AI344" s="42">
        <v>20</v>
      </c>
      <c r="AJ344" s="42">
        <v>20</v>
      </c>
      <c r="AK344" s="42">
        <v>20</v>
      </c>
      <c r="AL344" s="42">
        <v>20</v>
      </c>
      <c r="AM344" s="42">
        <v>20</v>
      </c>
      <c r="AN344" s="42">
        <v>20</v>
      </c>
      <c r="AO344" s="42">
        <v>20</v>
      </c>
      <c r="AP344" s="42">
        <v>20</v>
      </c>
      <c r="AQ344" s="42">
        <v>20</v>
      </c>
      <c r="AR344" s="42">
        <v>20</v>
      </c>
      <c r="AS344" s="42">
        <v>20</v>
      </c>
      <c r="AT344" s="42">
        <v>20</v>
      </c>
      <c r="AU344" s="42"/>
      <c r="AV344" s="42"/>
      <c r="AW344" s="42"/>
      <c r="AX344" s="42"/>
      <c r="AY344" s="49"/>
      <c r="AZ344" s="49"/>
      <c r="BA344" s="49"/>
    </row>
    <row r="345" spans="1:53" ht="11.25" hidden="1" customHeight="1">
      <c r="B345" s="36" t="s">
        <v>400</v>
      </c>
      <c r="C345" s="42"/>
      <c r="D345" s="42"/>
      <c r="E345" s="42"/>
      <c r="F345" s="42"/>
      <c r="G345" s="42">
        <v>20</v>
      </c>
      <c r="H345" s="42">
        <v>20</v>
      </c>
      <c r="I345" s="42">
        <v>20</v>
      </c>
      <c r="J345" s="42">
        <v>20</v>
      </c>
      <c r="K345" s="42">
        <v>20</v>
      </c>
      <c r="L345" s="42">
        <v>20</v>
      </c>
      <c r="M345" s="42">
        <v>20</v>
      </c>
      <c r="N345" s="42">
        <v>20</v>
      </c>
      <c r="O345" s="42">
        <v>20</v>
      </c>
      <c r="P345" s="42">
        <v>20</v>
      </c>
      <c r="Q345" s="42">
        <v>20</v>
      </c>
      <c r="R345" s="42">
        <v>20</v>
      </c>
      <c r="S345" s="42">
        <v>20</v>
      </c>
      <c r="T345" s="42">
        <v>20</v>
      </c>
      <c r="U345" s="42">
        <v>20</v>
      </c>
      <c r="V345" s="42">
        <v>20</v>
      </c>
      <c r="W345" s="42">
        <v>20</v>
      </c>
      <c r="X345" s="42">
        <v>20</v>
      </c>
      <c r="Y345" s="42">
        <v>20</v>
      </c>
      <c r="Z345" s="42">
        <v>20</v>
      </c>
      <c r="AA345" s="42">
        <v>20</v>
      </c>
      <c r="AB345" s="42">
        <v>20</v>
      </c>
      <c r="AC345" s="42">
        <v>20</v>
      </c>
      <c r="AD345" s="42">
        <v>20</v>
      </c>
      <c r="AE345" s="42">
        <v>20</v>
      </c>
      <c r="AF345" s="42">
        <v>20</v>
      </c>
      <c r="AG345" s="42">
        <v>20</v>
      </c>
      <c r="AH345" s="42">
        <v>20</v>
      </c>
      <c r="AI345" s="42">
        <v>20</v>
      </c>
      <c r="AJ345" s="42">
        <v>20</v>
      </c>
      <c r="AK345" s="42">
        <v>20</v>
      </c>
      <c r="AL345" s="42">
        <v>20</v>
      </c>
      <c r="AM345" s="42">
        <v>20</v>
      </c>
      <c r="AN345" s="42">
        <v>20</v>
      </c>
      <c r="AO345" s="42">
        <v>20</v>
      </c>
      <c r="AP345" s="42">
        <v>20</v>
      </c>
      <c r="AQ345" s="42">
        <v>20</v>
      </c>
      <c r="AR345" s="42">
        <v>20</v>
      </c>
      <c r="AS345" s="42">
        <v>20</v>
      </c>
      <c r="AT345" s="42">
        <v>20</v>
      </c>
      <c r="AU345" s="42"/>
      <c r="AV345" s="42"/>
      <c r="AW345" s="42"/>
      <c r="AX345" s="42"/>
      <c r="AY345" s="49"/>
      <c r="AZ345" s="49"/>
      <c r="BA345" s="49"/>
    </row>
    <row r="346" spans="1:53" ht="11.25" hidden="1" customHeight="1">
      <c r="B346" s="36" t="s">
        <v>401</v>
      </c>
      <c r="C346" s="42"/>
      <c r="D346" s="42"/>
      <c r="E346" s="42"/>
      <c r="F346" s="42"/>
      <c r="G346" s="42">
        <v>20</v>
      </c>
      <c r="H346" s="42">
        <v>20</v>
      </c>
      <c r="I346" s="42">
        <v>20</v>
      </c>
      <c r="J346" s="42">
        <v>20</v>
      </c>
      <c r="K346" s="42">
        <v>20</v>
      </c>
      <c r="L346" s="42">
        <v>20</v>
      </c>
      <c r="M346" s="42">
        <v>20</v>
      </c>
      <c r="N346" s="42">
        <v>20</v>
      </c>
      <c r="O346" s="42">
        <v>20</v>
      </c>
      <c r="P346" s="42">
        <v>20</v>
      </c>
      <c r="Q346" s="42">
        <v>20</v>
      </c>
      <c r="R346" s="42">
        <v>20</v>
      </c>
      <c r="S346" s="42">
        <v>20</v>
      </c>
      <c r="T346" s="42">
        <v>20</v>
      </c>
      <c r="U346" s="42">
        <v>20</v>
      </c>
      <c r="V346" s="42">
        <v>20</v>
      </c>
      <c r="W346" s="42">
        <v>20</v>
      </c>
      <c r="X346" s="42">
        <v>20</v>
      </c>
      <c r="Y346" s="42">
        <v>20</v>
      </c>
      <c r="Z346" s="42">
        <v>20</v>
      </c>
      <c r="AA346" s="42">
        <v>20</v>
      </c>
      <c r="AB346" s="42">
        <v>20</v>
      </c>
      <c r="AC346" s="42">
        <v>20</v>
      </c>
      <c r="AD346" s="42">
        <v>20</v>
      </c>
      <c r="AE346" s="42">
        <v>20</v>
      </c>
      <c r="AF346" s="42">
        <v>20</v>
      </c>
      <c r="AG346" s="42">
        <v>20</v>
      </c>
      <c r="AH346" s="42">
        <v>20</v>
      </c>
      <c r="AI346" s="42">
        <v>20</v>
      </c>
      <c r="AJ346" s="42">
        <v>20</v>
      </c>
      <c r="AK346" s="42">
        <v>20</v>
      </c>
      <c r="AL346" s="42">
        <v>20</v>
      </c>
      <c r="AM346" s="42">
        <v>20</v>
      </c>
      <c r="AN346" s="42">
        <v>20</v>
      </c>
      <c r="AO346" s="42">
        <v>20</v>
      </c>
      <c r="AP346" s="42">
        <v>20</v>
      </c>
      <c r="AQ346" s="42">
        <v>20</v>
      </c>
      <c r="AR346" s="42">
        <v>20</v>
      </c>
      <c r="AS346" s="42">
        <v>20</v>
      </c>
      <c r="AT346" s="42">
        <v>20</v>
      </c>
      <c r="AU346" s="42"/>
      <c r="AV346" s="42"/>
      <c r="AW346" s="42"/>
      <c r="AX346" s="42"/>
      <c r="AY346" s="49"/>
      <c r="AZ346" s="49"/>
      <c r="BA346" s="49"/>
    </row>
    <row r="347" spans="1:53" ht="11.25" hidden="1" customHeight="1">
      <c r="B347" s="36" t="s">
        <v>402</v>
      </c>
      <c r="C347" s="42"/>
      <c r="D347" s="42"/>
      <c r="E347" s="42"/>
      <c r="F347" s="42"/>
      <c r="G347" s="42">
        <v>20</v>
      </c>
      <c r="H347" s="42">
        <v>20</v>
      </c>
      <c r="I347" s="42">
        <v>20</v>
      </c>
      <c r="J347" s="42">
        <v>20</v>
      </c>
      <c r="K347" s="42">
        <v>20</v>
      </c>
      <c r="L347" s="42">
        <v>20</v>
      </c>
      <c r="M347" s="42">
        <v>20</v>
      </c>
      <c r="N347" s="42">
        <v>20</v>
      </c>
      <c r="O347" s="42">
        <v>20</v>
      </c>
      <c r="P347" s="42">
        <v>20</v>
      </c>
      <c r="Q347" s="42">
        <v>20</v>
      </c>
      <c r="R347" s="42">
        <v>20</v>
      </c>
      <c r="S347" s="42">
        <v>20</v>
      </c>
      <c r="T347" s="42">
        <v>20</v>
      </c>
      <c r="U347" s="42">
        <v>20</v>
      </c>
      <c r="V347" s="42">
        <v>20</v>
      </c>
      <c r="W347" s="42">
        <v>20</v>
      </c>
      <c r="X347" s="42">
        <v>20</v>
      </c>
      <c r="Y347" s="42">
        <v>20</v>
      </c>
      <c r="Z347" s="42">
        <v>20</v>
      </c>
      <c r="AA347" s="42">
        <v>20</v>
      </c>
      <c r="AB347" s="42">
        <v>20</v>
      </c>
      <c r="AC347" s="42">
        <v>20</v>
      </c>
      <c r="AD347" s="42">
        <v>20</v>
      </c>
      <c r="AE347" s="42">
        <v>20</v>
      </c>
      <c r="AF347" s="42">
        <v>20</v>
      </c>
      <c r="AG347" s="42">
        <v>20</v>
      </c>
      <c r="AH347" s="42">
        <v>20</v>
      </c>
      <c r="AI347" s="42">
        <v>20</v>
      </c>
      <c r="AJ347" s="42">
        <v>20</v>
      </c>
      <c r="AK347" s="42">
        <v>20</v>
      </c>
      <c r="AL347" s="42">
        <v>20</v>
      </c>
      <c r="AM347" s="42">
        <v>20</v>
      </c>
      <c r="AN347" s="42">
        <v>20</v>
      </c>
      <c r="AO347" s="42">
        <v>20</v>
      </c>
      <c r="AP347" s="42">
        <v>20</v>
      </c>
      <c r="AQ347" s="42">
        <v>20</v>
      </c>
      <c r="AR347" s="42">
        <v>20</v>
      </c>
      <c r="AS347" s="42">
        <v>20</v>
      </c>
      <c r="AT347" s="42">
        <v>20</v>
      </c>
      <c r="AU347" s="42"/>
      <c r="AV347" s="42"/>
      <c r="AW347" s="42"/>
      <c r="AX347" s="42"/>
      <c r="AY347" s="49"/>
      <c r="AZ347" s="49"/>
      <c r="BA347" s="49"/>
    </row>
    <row r="348" spans="1:53" ht="11.25" hidden="1" customHeight="1">
      <c r="B348" s="36" t="s">
        <v>403</v>
      </c>
      <c r="C348" s="42"/>
      <c r="D348" s="42"/>
      <c r="E348" s="42"/>
      <c r="F348" s="42"/>
      <c r="G348" s="42">
        <v>20</v>
      </c>
      <c r="H348" s="42">
        <v>20</v>
      </c>
      <c r="I348" s="42">
        <v>20</v>
      </c>
      <c r="J348" s="42">
        <v>20</v>
      </c>
      <c r="K348" s="42">
        <v>20</v>
      </c>
      <c r="L348" s="42">
        <v>20</v>
      </c>
      <c r="M348" s="42">
        <v>20</v>
      </c>
      <c r="N348" s="42">
        <v>20</v>
      </c>
      <c r="O348" s="42">
        <v>20</v>
      </c>
      <c r="P348" s="42">
        <v>20</v>
      </c>
      <c r="Q348" s="42">
        <v>20</v>
      </c>
      <c r="R348" s="42">
        <v>20</v>
      </c>
      <c r="S348" s="42">
        <v>20</v>
      </c>
      <c r="T348" s="42">
        <v>20</v>
      </c>
      <c r="U348" s="42">
        <v>20</v>
      </c>
      <c r="V348" s="42">
        <v>20</v>
      </c>
      <c r="W348" s="42">
        <v>20</v>
      </c>
      <c r="X348" s="42">
        <v>20</v>
      </c>
      <c r="Y348" s="42">
        <v>20</v>
      </c>
      <c r="Z348" s="42">
        <v>20</v>
      </c>
      <c r="AA348" s="42">
        <v>20</v>
      </c>
      <c r="AB348" s="42">
        <v>20</v>
      </c>
      <c r="AC348" s="42">
        <v>20</v>
      </c>
      <c r="AD348" s="42">
        <v>20</v>
      </c>
      <c r="AE348" s="42">
        <v>20</v>
      </c>
      <c r="AF348" s="42">
        <v>20</v>
      </c>
      <c r="AG348" s="42">
        <v>20</v>
      </c>
      <c r="AH348" s="42">
        <v>20</v>
      </c>
      <c r="AI348" s="42">
        <v>20</v>
      </c>
      <c r="AJ348" s="42">
        <v>20</v>
      </c>
      <c r="AK348" s="42">
        <v>20</v>
      </c>
      <c r="AL348" s="42">
        <v>20</v>
      </c>
      <c r="AM348" s="42">
        <v>20</v>
      </c>
      <c r="AN348" s="42">
        <v>20</v>
      </c>
      <c r="AO348" s="42">
        <v>20</v>
      </c>
      <c r="AP348" s="42">
        <v>20</v>
      </c>
      <c r="AQ348" s="42">
        <v>20</v>
      </c>
      <c r="AR348" s="42">
        <v>20</v>
      </c>
      <c r="AS348" s="42">
        <v>20</v>
      </c>
      <c r="AT348" s="42">
        <v>20</v>
      </c>
      <c r="AU348" s="42"/>
      <c r="AV348" s="42"/>
      <c r="AW348" s="42"/>
      <c r="AX348" s="42"/>
      <c r="AY348" s="49"/>
      <c r="AZ348" s="49"/>
      <c r="BA348" s="49"/>
    </row>
    <row r="349" spans="1:53" ht="11.25" hidden="1" customHeight="1">
      <c r="B349" s="36" t="s">
        <v>404</v>
      </c>
      <c r="C349" s="42"/>
      <c r="D349" s="42"/>
      <c r="E349" s="42"/>
      <c r="F349" s="42"/>
      <c r="G349" s="42">
        <v>20</v>
      </c>
      <c r="H349" s="42">
        <v>20</v>
      </c>
      <c r="I349" s="42">
        <v>20</v>
      </c>
      <c r="J349" s="42">
        <v>20</v>
      </c>
      <c r="K349" s="42">
        <v>20</v>
      </c>
      <c r="L349" s="42">
        <v>20</v>
      </c>
      <c r="M349" s="42">
        <v>20</v>
      </c>
      <c r="N349" s="42">
        <v>20</v>
      </c>
      <c r="O349" s="42">
        <v>20</v>
      </c>
      <c r="P349" s="42">
        <v>20</v>
      </c>
      <c r="Q349" s="42">
        <v>20</v>
      </c>
      <c r="R349" s="42">
        <v>20</v>
      </c>
      <c r="S349" s="42">
        <v>20</v>
      </c>
      <c r="T349" s="42">
        <v>20</v>
      </c>
      <c r="U349" s="42">
        <v>20</v>
      </c>
      <c r="V349" s="42">
        <v>20</v>
      </c>
      <c r="W349" s="42">
        <v>20</v>
      </c>
      <c r="X349" s="42">
        <v>20</v>
      </c>
      <c r="Y349" s="42">
        <v>20</v>
      </c>
      <c r="Z349" s="42">
        <v>20</v>
      </c>
      <c r="AA349" s="42">
        <v>20</v>
      </c>
      <c r="AB349" s="42">
        <v>20</v>
      </c>
      <c r="AC349" s="42">
        <v>20</v>
      </c>
      <c r="AD349" s="42">
        <v>20</v>
      </c>
      <c r="AE349" s="42">
        <v>20</v>
      </c>
      <c r="AF349" s="42">
        <v>20</v>
      </c>
      <c r="AG349" s="42">
        <v>20</v>
      </c>
      <c r="AH349" s="42">
        <v>20</v>
      </c>
      <c r="AI349" s="42">
        <v>20</v>
      </c>
      <c r="AJ349" s="42">
        <v>20</v>
      </c>
      <c r="AK349" s="42">
        <v>20</v>
      </c>
      <c r="AL349" s="42">
        <v>20</v>
      </c>
      <c r="AM349" s="42">
        <v>20</v>
      </c>
      <c r="AN349" s="42">
        <v>20</v>
      </c>
      <c r="AO349" s="42">
        <v>20</v>
      </c>
      <c r="AP349" s="42">
        <v>20</v>
      </c>
      <c r="AQ349" s="42">
        <v>20</v>
      </c>
      <c r="AR349" s="42">
        <v>20</v>
      </c>
      <c r="AS349" s="42">
        <v>20</v>
      </c>
      <c r="AT349" s="42">
        <v>20</v>
      </c>
      <c r="AU349" s="42"/>
      <c r="AV349" s="42"/>
      <c r="AW349" s="42"/>
      <c r="AX349" s="42"/>
      <c r="AY349" s="49"/>
      <c r="AZ349" s="49"/>
      <c r="BA349" s="49"/>
    </row>
    <row r="350" spans="1:53" ht="11.25" hidden="1" customHeight="1">
      <c r="B350" s="36" t="s">
        <v>405</v>
      </c>
      <c r="C350" s="42"/>
      <c r="D350" s="42"/>
      <c r="E350" s="42"/>
      <c r="F350" s="42"/>
      <c r="G350" s="42">
        <v>20</v>
      </c>
      <c r="H350" s="42">
        <v>20</v>
      </c>
      <c r="I350" s="42">
        <v>20</v>
      </c>
      <c r="J350" s="42">
        <v>20</v>
      </c>
      <c r="K350" s="42">
        <v>20</v>
      </c>
      <c r="L350" s="42">
        <v>20</v>
      </c>
      <c r="M350" s="42">
        <v>20</v>
      </c>
      <c r="N350" s="42">
        <v>20</v>
      </c>
      <c r="O350" s="42">
        <v>20</v>
      </c>
      <c r="P350" s="42">
        <v>20</v>
      </c>
      <c r="Q350" s="42">
        <v>20</v>
      </c>
      <c r="R350" s="42">
        <v>20</v>
      </c>
      <c r="S350" s="42">
        <v>20</v>
      </c>
      <c r="T350" s="42">
        <v>20</v>
      </c>
      <c r="U350" s="42">
        <v>20</v>
      </c>
      <c r="V350" s="42">
        <v>20</v>
      </c>
      <c r="W350" s="42">
        <v>20</v>
      </c>
      <c r="X350" s="42">
        <v>20</v>
      </c>
      <c r="Y350" s="42">
        <v>20</v>
      </c>
      <c r="Z350" s="42">
        <v>20</v>
      </c>
      <c r="AA350" s="42">
        <v>20</v>
      </c>
      <c r="AB350" s="42">
        <v>20</v>
      </c>
      <c r="AC350" s="42">
        <v>20</v>
      </c>
      <c r="AD350" s="42">
        <v>20</v>
      </c>
      <c r="AE350" s="42">
        <v>20</v>
      </c>
      <c r="AF350" s="42">
        <v>20</v>
      </c>
      <c r="AG350" s="42">
        <v>20</v>
      </c>
      <c r="AH350" s="42">
        <v>20</v>
      </c>
      <c r="AI350" s="42">
        <v>20</v>
      </c>
      <c r="AJ350" s="42">
        <v>20</v>
      </c>
      <c r="AK350" s="42">
        <v>20</v>
      </c>
      <c r="AL350" s="42">
        <v>20</v>
      </c>
      <c r="AM350" s="42">
        <v>20</v>
      </c>
      <c r="AN350" s="42">
        <v>20</v>
      </c>
      <c r="AO350" s="42">
        <v>20</v>
      </c>
      <c r="AP350" s="42">
        <v>20</v>
      </c>
      <c r="AQ350" s="42">
        <v>20</v>
      </c>
      <c r="AR350" s="42">
        <v>20</v>
      </c>
      <c r="AS350" s="42">
        <v>20</v>
      </c>
      <c r="AT350" s="42">
        <v>20</v>
      </c>
      <c r="AU350" s="42"/>
      <c r="AV350" s="42"/>
      <c r="AW350" s="42"/>
      <c r="AX350" s="42"/>
      <c r="AY350" s="49"/>
      <c r="AZ350" s="49"/>
      <c r="BA350" s="49"/>
    </row>
    <row r="351" spans="1:53" ht="11.25" hidden="1" customHeight="1">
      <c r="B351" s="36" t="s">
        <v>406</v>
      </c>
      <c r="C351" s="42"/>
      <c r="D351" s="42"/>
      <c r="E351" s="42"/>
      <c r="F351" s="42"/>
      <c r="G351" s="42">
        <v>20</v>
      </c>
      <c r="H351" s="42">
        <v>20</v>
      </c>
      <c r="I351" s="42">
        <v>20</v>
      </c>
      <c r="J351" s="42">
        <v>20</v>
      </c>
      <c r="K351" s="42">
        <v>20</v>
      </c>
      <c r="L351" s="42">
        <v>20</v>
      </c>
      <c r="M351" s="42">
        <v>20</v>
      </c>
      <c r="N351" s="42">
        <v>20</v>
      </c>
      <c r="O351" s="42">
        <v>20</v>
      </c>
      <c r="P351" s="42">
        <v>20</v>
      </c>
      <c r="Q351" s="42">
        <v>20</v>
      </c>
      <c r="R351" s="42">
        <v>20</v>
      </c>
      <c r="S351" s="42">
        <v>20</v>
      </c>
      <c r="T351" s="42">
        <v>20</v>
      </c>
      <c r="U351" s="42">
        <v>20</v>
      </c>
      <c r="V351" s="42">
        <v>20</v>
      </c>
      <c r="W351" s="42">
        <v>20</v>
      </c>
      <c r="X351" s="42">
        <v>20</v>
      </c>
      <c r="Y351" s="42">
        <v>20</v>
      </c>
      <c r="Z351" s="42">
        <v>20</v>
      </c>
      <c r="AA351" s="42">
        <v>20</v>
      </c>
      <c r="AB351" s="42">
        <v>20</v>
      </c>
      <c r="AC351" s="42">
        <v>20</v>
      </c>
      <c r="AD351" s="42">
        <v>20</v>
      </c>
      <c r="AE351" s="42">
        <v>20</v>
      </c>
      <c r="AF351" s="42">
        <v>20</v>
      </c>
      <c r="AG351" s="42">
        <v>20</v>
      </c>
      <c r="AH351" s="42">
        <v>20</v>
      </c>
      <c r="AI351" s="42">
        <v>20</v>
      </c>
      <c r="AJ351" s="42">
        <v>20</v>
      </c>
      <c r="AK351" s="42">
        <v>20</v>
      </c>
      <c r="AL351" s="42">
        <v>20</v>
      </c>
      <c r="AM351" s="42">
        <v>20</v>
      </c>
      <c r="AN351" s="42">
        <v>20</v>
      </c>
      <c r="AO351" s="42">
        <v>20</v>
      </c>
      <c r="AP351" s="42">
        <v>20</v>
      </c>
      <c r="AQ351" s="42">
        <v>20</v>
      </c>
      <c r="AR351" s="42">
        <v>20</v>
      </c>
      <c r="AS351" s="42">
        <v>20</v>
      </c>
      <c r="AT351" s="42">
        <v>20</v>
      </c>
      <c r="AU351" s="42"/>
      <c r="AV351" s="42"/>
      <c r="AW351" s="42"/>
      <c r="AX351" s="42"/>
      <c r="AY351" s="49"/>
      <c r="AZ351" s="49"/>
      <c r="BA351" s="49"/>
    </row>
    <row r="352" spans="1:53" ht="11.25" hidden="1" customHeight="1">
      <c r="B352" s="36" t="s">
        <v>407</v>
      </c>
      <c r="C352" s="42"/>
      <c r="D352" s="42"/>
      <c r="E352" s="42"/>
      <c r="F352" s="42"/>
      <c r="G352" s="42">
        <v>20</v>
      </c>
      <c r="H352" s="42">
        <v>20</v>
      </c>
      <c r="I352" s="42">
        <v>20</v>
      </c>
      <c r="J352" s="42">
        <v>20</v>
      </c>
      <c r="K352" s="42">
        <v>20</v>
      </c>
      <c r="L352" s="42">
        <v>20</v>
      </c>
      <c r="M352" s="42">
        <v>20</v>
      </c>
      <c r="N352" s="42">
        <v>20</v>
      </c>
      <c r="O352" s="42">
        <v>20</v>
      </c>
      <c r="P352" s="42">
        <v>20</v>
      </c>
      <c r="Q352" s="42">
        <v>20</v>
      </c>
      <c r="R352" s="42">
        <v>20</v>
      </c>
      <c r="S352" s="42">
        <v>20</v>
      </c>
      <c r="T352" s="42">
        <v>20</v>
      </c>
      <c r="U352" s="42">
        <v>20</v>
      </c>
      <c r="V352" s="42">
        <v>20</v>
      </c>
      <c r="W352" s="42">
        <v>20</v>
      </c>
      <c r="X352" s="42">
        <v>20</v>
      </c>
      <c r="Y352" s="42">
        <v>20</v>
      </c>
      <c r="Z352" s="42">
        <v>20</v>
      </c>
      <c r="AA352" s="42">
        <v>20</v>
      </c>
      <c r="AB352" s="42">
        <v>20</v>
      </c>
      <c r="AC352" s="42">
        <v>20</v>
      </c>
      <c r="AD352" s="42">
        <v>20</v>
      </c>
      <c r="AE352" s="42">
        <v>20</v>
      </c>
      <c r="AF352" s="42">
        <v>20</v>
      </c>
      <c r="AG352" s="42">
        <v>20</v>
      </c>
      <c r="AH352" s="42">
        <v>20</v>
      </c>
      <c r="AI352" s="42">
        <v>20</v>
      </c>
      <c r="AJ352" s="42">
        <v>20</v>
      </c>
      <c r="AK352" s="42">
        <v>20</v>
      </c>
      <c r="AL352" s="42">
        <v>20</v>
      </c>
      <c r="AM352" s="42">
        <v>20</v>
      </c>
      <c r="AN352" s="42">
        <v>20</v>
      </c>
      <c r="AO352" s="42">
        <v>20</v>
      </c>
      <c r="AP352" s="42">
        <v>20</v>
      </c>
      <c r="AQ352" s="42">
        <v>20</v>
      </c>
      <c r="AR352" s="42">
        <v>20</v>
      </c>
      <c r="AS352" s="42">
        <v>20</v>
      </c>
      <c r="AT352" s="42">
        <v>20</v>
      </c>
      <c r="AU352" s="42"/>
      <c r="AV352" s="42"/>
      <c r="AW352" s="42"/>
      <c r="AX352" s="42"/>
      <c r="AY352" s="49"/>
      <c r="AZ352" s="49"/>
      <c r="BA352" s="49"/>
    </row>
    <row r="353" spans="2:53" ht="11.25" hidden="1" customHeight="1">
      <c r="B353" s="36" t="s">
        <v>408</v>
      </c>
      <c r="C353" s="42"/>
      <c r="D353" s="42"/>
      <c r="E353" s="42"/>
      <c r="F353" s="42"/>
      <c r="G353" s="42">
        <v>20</v>
      </c>
      <c r="H353" s="42">
        <v>20</v>
      </c>
      <c r="I353" s="42">
        <v>20</v>
      </c>
      <c r="J353" s="42">
        <v>20</v>
      </c>
      <c r="K353" s="42">
        <v>20</v>
      </c>
      <c r="L353" s="42">
        <v>20</v>
      </c>
      <c r="M353" s="42">
        <v>20</v>
      </c>
      <c r="N353" s="42">
        <v>20</v>
      </c>
      <c r="O353" s="42">
        <v>20</v>
      </c>
      <c r="P353" s="42">
        <v>20</v>
      </c>
      <c r="Q353" s="42">
        <v>20</v>
      </c>
      <c r="R353" s="42">
        <v>20</v>
      </c>
      <c r="S353" s="42">
        <v>20</v>
      </c>
      <c r="T353" s="42">
        <v>20</v>
      </c>
      <c r="U353" s="42">
        <v>20</v>
      </c>
      <c r="V353" s="42">
        <v>20</v>
      </c>
      <c r="W353" s="42">
        <v>20</v>
      </c>
      <c r="X353" s="42">
        <v>20</v>
      </c>
      <c r="Y353" s="42">
        <v>20</v>
      </c>
      <c r="Z353" s="42">
        <v>20</v>
      </c>
      <c r="AA353" s="42">
        <v>20</v>
      </c>
      <c r="AB353" s="42">
        <v>20</v>
      </c>
      <c r="AC353" s="42">
        <v>20</v>
      </c>
      <c r="AD353" s="42">
        <v>20</v>
      </c>
      <c r="AE353" s="42">
        <v>20</v>
      </c>
      <c r="AF353" s="42">
        <v>20</v>
      </c>
      <c r="AG353" s="42">
        <v>20</v>
      </c>
      <c r="AH353" s="42">
        <v>20</v>
      </c>
      <c r="AI353" s="42">
        <v>20</v>
      </c>
      <c r="AJ353" s="42">
        <v>20</v>
      </c>
      <c r="AK353" s="42">
        <v>20</v>
      </c>
      <c r="AL353" s="42">
        <v>20</v>
      </c>
      <c r="AM353" s="42">
        <v>20</v>
      </c>
      <c r="AN353" s="42">
        <v>20</v>
      </c>
      <c r="AO353" s="42">
        <v>20</v>
      </c>
      <c r="AP353" s="42">
        <v>20</v>
      </c>
      <c r="AQ353" s="42">
        <v>20</v>
      </c>
      <c r="AR353" s="42">
        <v>20</v>
      </c>
      <c r="AS353" s="42">
        <v>20</v>
      </c>
      <c r="AT353" s="42">
        <v>20</v>
      </c>
      <c r="AU353" s="42"/>
      <c r="AV353" s="42"/>
      <c r="AW353" s="42"/>
      <c r="AX353" s="42"/>
      <c r="AY353" s="49"/>
      <c r="AZ353" s="49"/>
      <c r="BA353" s="49"/>
    </row>
    <row r="354" spans="2:53" ht="11.25" hidden="1" customHeight="1">
      <c r="B354" s="36" t="s">
        <v>409</v>
      </c>
      <c r="C354" s="42"/>
      <c r="D354" s="42"/>
      <c r="E354" s="42"/>
      <c r="F354" s="42"/>
      <c r="G354" s="42">
        <v>20</v>
      </c>
      <c r="H354" s="42">
        <v>20</v>
      </c>
      <c r="I354" s="42">
        <v>20</v>
      </c>
      <c r="J354" s="42">
        <v>20</v>
      </c>
      <c r="K354" s="42">
        <v>20</v>
      </c>
      <c r="L354" s="42">
        <v>20</v>
      </c>
      <c r="M354" s="42">
        <v>20</v>
      </c>
      <c r="N354" s="42">
        <v>20</v>
      </c>
      <c r="O354" s="42">
        <v>20</v>
      </c>
      <c r="P354" s="42">
        <v>20</v>
      </c>
      <c r="Q354" s="42">
        <v>20</v>
      </c>
      <c r="R354" s="42">
        <v>20</v>
      </c>
      <c r="S354" s="42">
        <v>20</v>
      </c>
      <c r="T354" s="42">
        <v>20</v>
      </c>
      <c r="U354" s="42">
        <v>20</v>
      </c>
      <c r="V354" s="42">
        <v>20</v>
      </c>
      <c r="W354" s="42">
        <v>20</v>
      </c>
      <c r="X354" s="42">
        <v>20</v>
      </c>
      <c r="Y354" s="42">
        <v>20</v>
      </c>
      <c r="Z354" s="42">
        <v>20</v>
      </c>
      <c r="AA354" s="42">
        <v>20</v>
      </c>
      <c r="AB354" s="42">
        <v>20</v>
      </c>
      <c r="AC354" s="42">
        <v>20</v>
      </c>
      <c r="AD354" s="42">
        <v>20</v>
      </c>
      <c r="AE354" s="42">
        <v>20</v>
      </c>
      <c r="AF354" s="42">
        <v>20</v>
      </c>
      <c r="AG354" s="42">
        <v>20</v>
      </c>
      <c r="AH354" s="42">
        <v>20</v>
      </c>
      <c r="AI354" s="42">
        <v>20</v>
      </c>
      <c r="AJ354" s="42">
        <v>20</v>
      </c>
      <c r="AK354" s="42">
        <v>20</v>
      </c>
      <c r="AL354" s="42">
        <v>20</v>
      </c>
      <c r="AM354" s="42">
        <v>20</v>
      </c>
      <c r="AN354" s="42">
        <v>20</v>
      </c>
      <c r="AO354" s="42">
        <v>20</v>
      </c>
      <c r="AP354" s="42">
        <v>20</v>
      </c>
      <c r="AQ354" s="42">
        <v>20</v>
      </c>
      <c r="AR354" s="42">
        <v>20</v>
      </c>
      <c r="AS354" s="42">
        <v>20</v>
      </c>
      <c r="AT354" s="42">
        <v>20</v>
      </c>
      <c r="AU354" s="42"/>
      <c r="AV354" s="42"/>
      <c r="AW354" s="42"/>
      <c r="AX354" s="42"/>
      <c r="AY354" s="49"/>
      <c r="AZ354" s="49"/>
      <c r="BA354" s="49"/>
    </row>
    <row r="355" spans="2:53" ht="11.25" hidden="1" customHeight="1">
      <c r="B355" s="36" t="s">
        <v>410</v>
      </c>
      <c r="C355" s="42"/>
      <c r="D355" s="42"/>
      <c r="E355" s="42"/>
      <c r="F355" s="42"/>
      <c r="G355" s="42">
        <v>20</v>
      </c>
      <c r="H355" s="42">
        <v>20</v>
      </c>
      <c r="I355" s="42">
        <v>20</v>
      </c>
      <c r="J355" s="42">
        <v>20</v>
      </c>
      <c r="K355" s="42">
        <v>20</v>
      </c>
      <c r="L355" s="42">
        <v>20</v>
      </c>
      <c r="M355" s="42">
        <v>20</v>
      </c>
      <c r="N355" s="42">
        <v>20</v>
      </c>
      <c r="O355" s="42">
        <v>20</v>
      </c>
      <c r="P355" s="42">
        <v>20</v>
      </c>
      <c r="Q355" s="42">
        <v>20</v>
      </c>
      <c r="R355" s="42">
        <v>20</v>
      </c>
      <c r="S355" s="42">
        <v>20</v>
      </c>
      <c r="T355" s="42">
        <v>20</v>
      </c>
      <c r="U355" s="42">
        <v>20</v>
      </c>
      <c r="V355" s="42">
        <v>20</v>
      </c>
      <c r="W355" s="42">
        <v>20</v>
      </c>
      <c r="X355" s="42">
        <v>20</v>
      </c>
      <c r="Y355" s="42">
        <v>20</v>
      </c>
      <c r="Z355" s="42">
        <v>20</v>
      </c>
      <c r="AA355" s="42">
        <v>20</v>
      </c>
      <c r="AB355" s="42">
        <v>20</v>
      </c>
      <c r="AC355" s="42">
        <v>20</v>
      </c>
      <c r="AD355" s="42">
        <v>20</v>
      </c>
      <c r="AE355" s="42">
        <v>20</v>
      </c>
      <c r="AF355" s="42">
        <v>20</v>
      </c>
      <c r="AG355" s="42">
        <v>20</v>
      </c>
      <c r="AH355" s="42">
        <v>20</v>
      </c>
      <c r="AI355" s="42">
        <v>20</v>
      </c>
      <c r="AJ355" s="42">
        <v>20</v>
      </c>
      <c r="AK355" s="42">
        <v>20</v>
      </c>
      <c r="AL355" s="42">
        <v>20</v>
      </c>
      <c r="AM355" s="42">
        <v>20</v>
      </c>
      <c r="AN355" s="42">
        <v>20</v>
      </c>
      <c r="AO355" s="42">
        <v>20</v>
      </c>
      <c r="AP355" s="42">
        <v>20</v>
      </c>
      <c r="AQ355" s="42">
        <v>20</v>
      </c>
      <c r="AR355" s="42">
        <v>20</v>
      </c>
      <c r="AS355" s="42">
        <v>20</v>
      </c>
      <c r="AT355" s="42">
        <v>20</v>
      </c>
      <c r="AU355" s="42"/>
      <c r="AV355" s="42"/>
      <c r="AW355" s="42"/>
      <c r="AX355" s="42"/>
      <c r="AY355" s="49"/>
      <c r="AZ355" s="49"/>
      <c r="BA355" s="49"/>
    </row>
    <row r="356" spans="2:53" ht="11.25" hidden="1" customHeight="1">
      <c r="B356" s="36" t="s">
        <v>411</v>
      </c>
      <c r="C356" s="42"/>
      <c r="D356" s="42"/>
      <c r="E356" s="42"/>
      <c r="F356" s="42"/>
      <c r="G356" s="42">
        <v>20</v>
      </c>
      <c r="H356" s="42">
        <v>20</v>
      </c>
      <c r="I356" s="42">
        <v>20</v>
      </c>
      <c r="J356" s="42">
        <v>20</v>
      </c>
      <c r="K356" s="42">
        <v>20</v>
      </c>
      <c r="L356" s="42">
        <v>20</v>
      </c>
      <c r="M356" s="42">
        <v>20</v>
      </c>
      <c r="N356" s="42">
        <v>20</v>
      </c>
      <c r="O356" s="42">
        <v>20</v>
      </c>
      <c r="P356" s="42">
        <v>20</v>
      </c>
      <c r="Q356" s="42">
        <v>20</v>
      </c>
      <c r="R356" s="42">
        <v>20</v>
      </c>
      <c r="S356" s="42">
        <v>20</v>
      </c>
      <c r="T356" s="42">
        <v>20</v>
      </c>
      <c r="U356" s="42">
        <v>20</v>
      </c>
      <c r="V356" s="42">
        <v>20</v>
      </c>
      <c r="W356" s="42">
        <v>20</v>
      </c>
      <c r="X356" s="42">
        <v>20</v>
      </c>
      <c r="Y356" s="42">
        <v>20</v>
      </c>
      <c r="Z356" s="42">
        <v>20</v>
      </c>
      <c r="AA356" s="42">
        <v>20</v>
      </c>
      <c r="AB356" s="42">
        <v>20</v>
      </c>
      <c r="AC356" s="42">
        <v>20</v>
      </c>
      <c r="AD356" s="42">
        <v>20</v>
      </c>
      <c r="AE356" s="42">
        <v>20</v>
      </c>
      <c r="AF356" s="42">
        <v>20</v>
      </c>
      <c r="AG356" s="42">
        <v>20</v>
      </c>
      <c r="AH356" s="42">
        <v>20</v>
      </c>
      <c r="AI356" s="42">
        <v>20</v>
      </c>
      <c r="AJ356" s="42">
        <v>20</v>
      </c>
      <c r="AK356" s="42">
        <v>20</v>
      </c>
      <c r="AL356" s="42">
        <v>20</v>
      </c>
      <c r="AM356" s="42">
        <v>20</v>
      </c>
      <c r="AN356" s="42">
        <v>20</v>
      </c>
      <c r="AO356" s="42">
        <v>20</v>
      </c>
      <c r="AP356" s="42">
        <v>20</v>
      </c>
      <c r="AQ356" s="42">
        <v>20</v>
      </c>
      <c r="AR356" s="42">
        <v>20</v>
      </c>
      <c r="AS356" s="42">
        <v>20</v>
      </c>
      <c r="AT356" s="42">
        <v>20</v>
      </c>
      <c r="AU356" s="42"/>
      <c r="AV356" s="42"/>
      <c r="AW356" s="42"/>
      <c r="AX356" s="42"/>
      <c r="AY356" s="49"/>
      <c r="AZ356" s="49"/>
      <c r="BA356" s="49"/>
    </row>
    <row r="357" spans="2:53" ht="11.25" hidden="1" customHeight="1">
      <c r="B357" s="36" t="s">
        <v>412</v>
      </c>
      <c r="C357" s="42"/>
      <c r="D357" s="42"/>
      <c r="E357" s="42"/>
      <c r="F357" s="42"/>
      <c r="G357" s="42">
        <v>20</v>
      </c>
      <c r="H357" s="42">
        <v>20</v>
      </c>
      <c r="I357" s="42">
        <v>20</v>
      </c>
      <c r="J357" s="42">
        <v>20</v>
      </c>
      <c r="K357" s="42">
        <v>20</v>
      </c>
      <c r="L357" s="42">
        <v>20</v>
      </c>
      <c r="M357" s="42">
        <v>20</v>
      </c>
      <c r="N357" s="42">
        <v>20</v>
      </c>
      <c r="O357" s="42">
        <v>20</v>
      </c>
      <c r="P357" s="42">
        <v>20</v>
      </c>
      <c r="Q357" s="42">
        <v>20</v>
      </c>
      <c r="R357" s="42">
        <v>20</v>
      </c>
      <c r="S357" s="42">
        <v>20</v>
      </c>
      <c r="T357" s="42">
        <v>20</v>
      </c>
      <c r="U357" s="42">
        <v>20</v>
      </c>
      <c r="V357" s="42">
        <v>20</v>
      </c>
      <c r="W357" s="42">
        <v>20</v>
      </c>
      <c r="X357" s="42">
        <v>20</v>
      </c>
      <c r="Y357" s="42">
        <v>20</v>
      </c>
      <c r="Z357" s="42">
        <v>20</v>
      </c>
      <c r="AA357" s="42">
        <v>20</v>
      </c>
      <c r="AB357" s="42">
        <v>20</v>
      </c>
      <c r="AC357" s="42">
        <v>20</v>
      </c>
      <c r="AD357" s="42">
        <v>20</v>
      </c>
      <c r="AE357" s="42">
        <v>20</v>
      </c>
      <c r="AF357" s="42">
        <v>20</v>
      </c>
      <c r="AG357" s="42">
        <v>20</v>
      </c>
      <c r="AH357" s="42">
        <v>20</v>
      </c>
      <c r="AI357" s="42">
        <v>20</v>
      </c>
      <c r="AJ357" s="42">
        <v>20</v>
      </c>
      <c r="AK357" s="42">
        <v>20</v>
      </c>
      <c r="AL357" s="42">
        <v>20</v>
      </c>
      <c r="AM357" s="42">
        <v>20</v>
      </c>
      <c r="AN357" s="42">
        <v>20</v>
      </c>
      <c r="AO357" s="42">
        <v>20</v>
      </c>
      <c r="AP357" s="42">
        <v>20</v>
      </c>
      <c r="AQ357" s="42">
        <v>20</v>
      </c>
      <c r="AR357" s="42">
        <v>20</v>
      </c>
      <c r="AS357" s="42">
        <v>20</v>
      </c>
      <c r="AT357" s="42">
        <v>20</v>
      </c>
      <c r="AU357" s="42"/>
      <c r="AV357" s="42"/>
      <c r="AW357" s="42"/>
      <c r="AX357" s="42"/>
      <c r="AY357" s="49"/>
      <c r="AZ357" s="49"/>
      <c r="BA357" s="49"/>
    </row>
    <row r="358" spans="2:53" ht="11.25" hidden="1" customHeight="1">
      <c r="B358" s="36" t="s">
        <v>413</v>
      </c>
      <c r="C358" s="42"/>
      <c r="D358" s="42"/>
      <c r="E358" s="42"/>
      <c r="F358" s="42"/>
      <c r="G358" s="42">
        <v>20</v>
      </c>
      <c r="H358" s="42">
        <v>20</v>
      </c>
      <c r="I358" s="42">
        <v>20</v>
      </c>
      <c r="J358" s="42">
        <v>20</v>
      </c>
      <c r="K358" s="42">
        <v>20</v>
      </c>
      <c r="L358" s="42">
        <v>20</v>
      </c>
      <c r="M358" s="42">
        <v>20</v>
      </c>
      <c r="N358" s="42">
        <v>20</v>
      </c>
      <c r="O358" s="42">
        <v>20</v>
      </c>
      <c r="P358" s="42">
        <v>20</v>
      </c>
      <c r="Q358" s="42">
        <v>20</v>
      </c>
      <c r="R358" s="42">
        <v>20</v>
      </c>
      <c r="S358" s="42">
        <v>20</v>
      </c>
      <c r="T358" s="42">
        <v>20</v>
      </c>
      <c r="U358" s="42">
        <v>20</v>
      </c>
      <c r="V358" s="42">
        <v>20</v>
      </c>
      <c r="W358" s="42">
        <v>20</v>
      </c>
      <c r="X358" s="42">
        <v>20</v>
      </c>
      <c r="Y358" s="42">
        <v>20</v>
      </c>
      <c r="Z358" s="42">
        <v>20</v>
      </c>
      <c r="AA358" s="42">
        <v>20</v>
      </c>
      <c r="AB358" s="42">
        <v>20</v>
      </c>
      <c r="AC358" s="42">
        <v>20</v>
      </c>
      <c r="AD358" s="42">
        <v>20</v>
      </c>
      <c r="AE358" s="42">
        <v>20</v>
      </c>
      <c r="AF358" s="42">
        <v>20</v>
      </c>
      <c r="AG358" s="42">
        <v>20</v>
      </c>
      <c r="AH358" s="42">
        <v>20</v>
      </c>
      <c r="AI358" s="42">
        <v>20</v>
      </c>
      <c r="AJ358" s="42">
        <v>20</v>
      </c>
      <c r="AK358" s="42">
        <v>20</v>
      </c>
      <c r="AL358" s="42">
        <v>20</v>
      </c>
      <c r="AM358" s="42">
        <v>20</v>
      </c>
      <c r="AN358" s="42">
        <v>20</v>
      </c>
      <c r="AO358" s="42">
        <v>20</v>
      </c>
      <c r="AP358" s="42">
        <v>20</v>
      </c>
      <c r="AQ358" s="42">
        <v>20</v>
      </c>
      <c r="AR358" s="42">
        <v>20</v>
      </c>
      <c r="AS358" s="42">
        <v>20</v>
      </c>
      <c r="AT358" s="42">
        <v>20</v>
      </c>
      <c r="AU358" s="42"/>
      <c r="AV358" s="42"/>
      <c r="AW358" s="42"/>
      <c r="AX358" s="42"/>
      <c r="AY358" s="49"/>
      <c r="AZ358" s="49"/>
      <c r="BA358" s="49"/>
    </row>
    <row r="359" spans="2:53" ht="11.25" hidden="1" customHeight="1">
      <c r="B359" s="36" t="s">
        <v>414</v>
      </c>
      <c r="C359" s="42"/>
      <c r="D359" s="42"/>
      <c r="E359" s="42"/>
      <c r="F359" s="42"/>
      <c r="G359" s="42">
        <v>20</v>
      </c>
      <c r="H359" s="42">
        <v>20</v>
      </c>
      <c r="I359" s="42">
        <v>20</v>
      </c>
      <c r="J359" s="42">
        <v>20</v>
      </c>
      <c r="K359" s="42">
        <v>20</v>
      </c>
      <c r="L359" s="42">
        <v>20</v>
      </c>
      <c r="M359" s="42">
        <v>20</v>
      </c>
      <c r="N359" s="42">
        <v>20</v>
      </c>
      <c r="O359" s="42">
        <v>20</v>
      </c>
      <c r="P359" s="42">
        <v>20</v>
      </c>
      <c r="Q359" s="42">
        <v>20</v>
      </c>
      <c r="R359" s="42">
        <v>20</v>
      </c>
      <c r="S359" s="42">
        <v>20</v>
      </c>
      <c r="T359" s="42">
        <v>20</v>
      </c>
      <c r="U359" s="42">
        <v>20</v>
      </c>
      <c r="V359" s="42">
        <v>20</v>
      </c>
      <c r="W359" s="42">
        <v>20</v>
      </c>
      <c r="X359" s="42">
        <v>20</v>
      </c>
      <c r="Y359" s="42">
        <v>20</v>
      </c>
      <c r="Z359" s="42">
        <v>20</v>
      </c>
      <c r="AA359" s="42">
        <v>20</v>
      </c>
      <c r="AB359" s="42">
        <v>20</v>
      </c>
      <c r="AC359" s="42">
        <v>20</v>
      </c>
      <c r="AD359" s="42">
        <v>20</v>
      </c>
      <c r="AE359" s="42">
        <v>20</v>
      </c>
      <c r="AF359" s="42">
        <v>20</v>
      </c>
      <c r="AG359" s="42">
        <v>20</v>
      </c>
      <c r="AH359" s="42">
        <v>20</v>
      </c>
      <c r="AI359" s="42">
        <v>20</v>
      </c>
      <c r="AJ359" s="42">
        <v>20</v>
      </c>
      <c r="AK359" s="42">
        <v>20</v>
      </c>
      <c r="AL359" s="42">
        <v>20</v>
      </c>
      <c r="AM359" s="42">
        <v>20</v>
      </c>
      <c r="AN359" s="42">
        <v>20</v>
      </c>
      <c r="AO359" s="42">
        <v>20</v>
      </c>
      <c r="AP359" s="42">
        <v>20</v>
      </c>
      <c r="AQ359" s="42">
        <v>20</v>
      </c>
      <c r="AR359" s="42">
        <v>20</v>
      </c>
      <c r="AS359" s="42">
        <v>20</v>
      </c>
      <c r="AT359" s="42">
        <v>20</v>
      </c>
      <c r="AU359" s="42"/>
      <c r="AV359" s="42"/>
      <c r="AW359" s="42"/>
      <c r="AX359" s="42"/>
      <c r="AY359" s="49"/>
      <c r="AZ359" s="49"/>
      <c r="BA359" s="49"/>
    </row>
    <row r="360" spans="2:53" ht="11.25" hidden="1" customHeight="1">
      <c r="B360" s="36" t="s">
        <v>1214</v>
      </c>
      <c r="C360" s="42"/>
      <c r="D360" s="42"/>
      <c r="E360" s="42"/>
      <c r="F360" s="42"/>
      <c r="G360" s="42">
        <v>20</v>
      </c>
      <c r="H360" s="42">
        <v>20</v>
      </c>
      <c r="I360" s="42">
        <v>20</v>
      </c>
      <c r="J360" s="42">
        <v>20</v>
      </c>
      <c r="K360" s="42">
        <v>20</v>
      </c>
      <c r="L360" s="42">
        <v>20</v>
      </c>
      <c r="M360" s="42">
        <v>20</v>
      </c>
      <c r="N360" s="42">
        <v>20</v>
      </c>
      <c r="O360" s="42">
        <v>20</v>
      </c>
      <c r="P360" s="42">
        <v>20</v>
      </c>
      <c r="Q360" s="42">
        <v>20</v>
      </c>
      <c r="R360" s="42">
        <v>20</v>
      </c>
      <c r="S360" s="42">
        <v>20</v>
      </c>
      <c r="T360" s="42">
        <v>20</v>
      </c>
      <c r="U360" s="42">
        <v>20</v>
      </c>
      <c r="V360" s="42">
        <v>20</v>
      </c>
      <c r="W360" s="42">
        <v>20</v>
      </c>
      <c r="X360" s="42">
        <v>20</v>
      </c>
      <c r="Y360" s="42">
        <v>20</v>
      </c>
      <c r="Z360" s="42">
        <v>20</v>
      </c>
      <c r="AA360" s="42">
        <v>20</v>
      </c>
      <c r="AB360" s="42">
        <v>20</v>
      </c>
      <c r="AC360" s="42">
        <v>20</v>
      </c>
      <c r="AD360" s="42">
        <v>20</v>
      </c>
      <c r="AE360" s="42">
        <v>20</v>
      </c>
      <c r="AF360" s="42">
        <v>20</v>
      </c>
      <c r="AG360" s="42">
        <v>20</v>
      </c>
      <c r="AH360" s="42">
        <v>20</v>
      </c>
      <c r="AI360" s="42">
        <v>20</v>
      </c>
      <c r="AJ360" s="42">
        <v>20</v>
      </c>
      <c r="AK360" s="42">
        <v>20</v>
      </c>
      <c r="AL360" s="42">
        <v>20</v>
      </c>
      <c r="AM360" s="42">
        <v>20</v>
      </c>
      <c r="AN360" s="42">
        <v>20</v>
      </c>
      <c r="AO360" s="42">
        <v>20</v>
      </c>
      <c r="AP360" s="42">
        <v>20</v>
      </c>
      <c r="AQ360" s="42">
        <v>20</v>
      </c>
      <c r="AR360" s="42">
        <v>20</v>
      </c>
      <c r="AS360" s="42">
        <v>20</v>
      </c>
      <c r="AT360" s="42">
        <v>20</v>
      </c>
      <c r="AU360" s="42"/>
      <c r="AV360" s="42"/>
      <c r="AW360" s="42"/>
      <c r="AX360" s="42"/>
      <c r="AY360" s="49"/>
      <c r="AZ360" s="49"/>
      <c r="BA360" s="49"/>
    </row>
    <row r="361" spans="2:53" ht="11.25" hidden="1" customHeight="1">
      <c r="B361" s="36" t="s">
        <v>1263</v>
      </c>
      <c r="C361" s="42"/>
      <c r="D361" s="42"/>
      <c r="E361" s="42"/>
      <c r="F361" s="42"/>
      <c r="G361" s="42">
        <v>20</v>
      </c>
      <c r="H361" s="42">
        <v>20</v>
      </c>
      <c r="I361" s="42">
        <v>20</v>
      </c>
      <c r="J361" s="42">
        <v>20</v>
      </c>
      <c r="K361" s="42">
        <v>20</v>
      </c>
      <c r="L361" s="42">
        <v>20</v>
      </c>
      <c r="M361" s="42">
        <v>20</v>
      </c>
      <c r="N361" s="42">
        <v>20</v>
      </c>
      <c r="O361" s="42">
        <v>20</v>
      </c>
      <c r="P361" s="42">
        <v>20</v>
      </c>
      <c r="Q361" s="42">
        <v>20</v>
      </c>
      <c r="R361" s="42">
        <v>20</v>
      </c>
      <c r="S361" s="42">
        <v>20</v>
      </c>
      <c r="T361" s="42">
        <v>20</v>
      </c>
      <c r="U361" s="42">
        <v>20</v>
      </c>
      <c r="V361" s="42">
        <v>20</v>
      </c>
      <c r="W361" s="42">
        <v>20</v>
      </c>
      <c r="X361" s="42">
        <v>20</v>
      </c>
      <c r="Y361" s="42">
        <v>20</v>
      </c>
      <c r="Z361" s="42">
        <v>20</v>
      </c>
      <c r="AA361" s="42">
        <v>20</v>
      </c>
      <c r="AB361" s="42">
        <v>20</v>
      </c>
      <c r="AC361" s="42">
        <v>20</v>
      </c>
      <c r="AD361" s="42">
        <v>20</v>
      </c>
      <c r="AE361" s="42">
        <v>20</v>
      </c>
      <c r="AF361" s="42">
        <v>20</v>
      </c>
      <c r="AG361" s="42">
        <v>20</v>
      </c>
      <c r="AH361" s="42">
        <v>20</v>
      </c>
      <c r="AI361" s="42">
        <v>20</v>
      </c>
      <c r="AJ361" s="42">
        <v>20</v>
      </c>
      <c r="AK361" s="42">
        <v>20</v>
      </c>
      <c r="AL361" s="42">
        <v>20</v>
      </c>
      <c r="AM361" s="42">
        <v>20</v>
      </c>
      <c r="AN361" s="42">
        <v>20</v>
      </c>
      <c r="AO361" s="42">
        <v>20</v>
      </c>
      <c r="AP361" s="42">
        <v>20</v>
      </c>
      <c r="AQ361" s="42">
        <v>20</v>
      </c>
      <c r="AR361" s="42">
        <v>20</v>
      </c>
      <c r="AS361" s="42">
        <v>20</v>
      </c>
      <c r="AT361" s="42">
        <v>20</v>
      </c>
      <c r="AU361" s="42"/>
      <c r="AV361" s="42"/>
      <c r="AW361" s="42"/>
      <c r="AX361" s="42"/>
      <c r="AY361" s="49"/>
      <c r="AZ361" s="49"/>
      <c r="BA361" s="49"/>
    </row>
    <row r="362" spans="2:53" ht="11.25" hidden="1" customHeight="1">
      <c r="B362" s="36" t="s">
        <v>1312</v>
      </c>
      <c r="C362" s="42"/>
      <c r="D362" s="42"/>
      <c r="E362" s="42"/>
      <c r="F362" s="42"/>
      <c r="G362" s="42">
        <v>20</v>
      </c>
      <c r="H362" s="42">
        <v>20</v>
      </c>
      <c r="I362" s="42">
        <v>20</v>
      </c>
      <c r="J362" s="42">
        <v>20</v>
      </c>
      <c r="K362" s="42">
        <v>20</v>
      </c>
      <c r="L362" s="42">
        <v>20</v>
      </c>
      <c r="M362" s="42">
        <v>20</v>
      </c>
      <c r="N362" s="42">
        <v>20</v>
      </c>
      <c r="O362" s="42">
        <v>20</v>
      </c>
      <c r="P362" s="42">
        <v>20</v>
      </c>
      <c r="Q362" s="42">
        <v>20</v>
      </c>
      <c r="R362" s="42">
        <v>20</v>
      </c>
      <c r="S362" s="42">
        <v>20</v>
      </c>
      <c r="T362" s="42">
        <v>20</v>
      </c>
      <c r="U362" s="42">
        <v>20</v>
      </c>
      <c r="V362" s="42">
        <v>20</v>
      </c>
      <c r="W362" s="42">
        <v>20</v>
      </c>
      <c r="X362" s="42">
        <v>20</v>
      </c>
      <c r="Y362" s="42">
        <v>20</v>
      </c>
      <c r="Z362" s="42">
        <v>20</v>
      </c>
      <c r="AA362" s="42">
        <v>20</v>
      </c>
      <c r="AB362" s="42">
        <v>20</v>
      </c>
      <c r="AC362" s="42">
        <v>20</v>
      </c>
      <c r="AD362" s="42">
        <v>20</v>
      </c>
      <c r="AE362" s="42">
        <v>20</v>
      </c>
      <c r="AF362" s="42">
        <v>20</v>
      </c>
      <c r="AG362" s="42">
        <v>20</v>
      </c>
      <c r="AH362" s="42">
        <v>20</v>
      </c>
      <c r="AI362" s="42">
        <v>20</v>
      </c>
      <c r="AJ362" s="42">
        <v>20</v>
      </c>
      <c r="AK362" s="42">
        <v>20</v>
      </c>
      <c r="AL362" s="42">
        <v>20</v>
      </c>
      <c r="AM362" s="42">
        <v>20</v>
      </c>
      <c r="AN362" s="42">
        <v>20</v>
      </c>
      <c r="AO362" s="42">
        <v>20</v>
      </c>
      <c r="AP362" s="42">
        <v>20</v>
      </c>
      <c r="AQ362" s="42">
        <v>20</v>
      </c>
      <c r="AR362" s="42">
        <v>20</v>
      </c>
      <c r="AS362" s="42">
        <v>20</v>
      </c>
      <c r="AT362" s="42">
        <v>20</v>
      </c>
      <c r="AU362" s="42"/>
      <c r="AV362" s="42"/>
      <c r="AW362" s="42"/>
      <c r="AX362" s="42"/>
      <c r="AY362" s="49"/>
      <c r="AZ362" s="49"/>
      <c r="BA362" s="49"/>
    </row>
    <row r="363" spans="2:53" ht="11.25" hidden="1" customHeight="1">
      <c r="B363" s="36" t="s">
        <v>1361</v>
      </c>
      <c r="C363" s="42"/>
      <c r="D363" s="42"/>
      <c r="E363" s="42"/>
      <c r="F363" s="42"/>
      <c r="G363" s="42">
        <v>20</v>
      </c>
      <c r="H363" s="42">
        <v>20</v>
      </c>
      <c r="I363" s="42">
        <v>20</v>
      </c>
      <c r="J363" s="42">
        <v>20</v>
      </c>
      <c r="K363" s="42">
        <v>20</v>
      </c>
      <c r="L363" s="42">
        <v>20</v>
      </c>
      <c r="M363" s="42">
        <v>20</v>
      </c>
      <c r="N363" s="42">
        <v>20</v>
      </c>
      <c r="O363" s="42">
        <v>20</v>
      </c>
      <c r="P363" s="42">
        <v>20</v>
      </c>
      <c r="Q363" s="42">
        <v>20</v>
      </c>
      <c r="R363" s="42">
        <v>20</v>
      </c>
      <c r="S363" s="42">
        <v>20</v>
      </c>
      <c r="T363" s="42">
        <v>20</v>
      </c>
      <c r="U363" s="42">
        <v>20</v>
      </c>
      <c r="V363" s="42">
        <v>20</v>
      </c>
      <c r="W363" s="42">
        <v>20</v>
      </c>
      <c r="X363" s="42">
        <v>20</v>
      </c>
      <c r="Y363" s="42">
        <v>20</v>
      </c>
      <c r="Z363" s="42">
        <v>20</v>
      </c>
      <c r="AA363" s="42">
        <v>20</v>
      </c>
      <c r="AB363" s="42">
        <v>20</v>
      </c>
      <c r="AC363" s="42">
        <v>20</v>
      </c>
      <c r="AD363" s="42">
        <v>20</v>
      </c>
      <c r="AE363" s="42">
        <v>20</v>
      </c>
      <c r="AF363" s="42">
        <v>20</v>
      </c>
      <c r="AG363" s="42">
        <v>20</v>
      </c>
      <c r="AH363" s="42">
        <v>20</v>
      </c>
      <c r="AI363" s="42">
        <v>20</v>
      </c>
      <c r="AJ363" s="42">
        <v>20</v>
      </c>
      <c r="AK363" s="42">
        <v>20</v>
      </c>
      <c r="AL363" s="42">
        <v>20</v>
      </c>
      <c r="AM363" s="42">
        <v>20</v>
      </c>
      <c r="AN363" s="42">
        <v>20</v>
      </c>
      <c r="AO363" s="42">
        <v>20</v>
      </c>
      <c r="AP363" s="42">
        <v>20</v>
      </c>
      <c r="AQ363" s="42">
        <v>20</v>
      </c>
      <c r="AR363" s="42">
        <v>20</v>
      </c>
      <c r="AS363" s="42">
        <v>20</v>
      </c>
      <c r="AT363" s="42">
        <v>20</v>
      </c>
      <c r="AU363" s="42"/>
      <c r="AV363" s="42"/>
      <c r="AW363" s="42"/>
      <c r="AX363" s="42"/>
      <c r="AY363" s="49"/>
      <c r="AZ363" s="49"/>
      <c r="BA363" s="49"/>
    </row>
    <row r="364" spans="2:53" ht="11.25" hidden="1" customHeight="1">
      <c r="B364" s="36" t="s">
        <v>1410</v>
      </c>
      <c r="C364" s="42"/>
      <c r="D364" s="42"/>
      <c r="E364" s="42"/>
      <c r="F364" s="42"/>
      <c r="G364" s="42">
        <v>20</v>
      </c>
      <c r="H364" s="42">
        <v>20</v>
      </c>
      <c r="I364" s="42">
        <v>20</v>
      </c>
      <c r="J364" s="42">
        <v>20</v>
      </c>
      <c r="K364" s="42">
        <v>20</v>
      </c>
      <c r="L364" s="42">
        <v>20</v>
      </c>
      <c r="M364" s="42">
        <v>20</v>
      </c>
      <c r="N364" s="42">
        <v>20</v>
      </c>
      <c r="O364" s="42">
        <v>20</v>
      </c>
      <c r="P364" s="42">
        <v>20</v>
      </c>
      <c r="Q364" s="42">
        <v>20</v>
      </c>
      <c r="R364" s="42">
        <v>20</v>
      </c>
      <c r="S364" s="42">
        <v>20</v>
      </c>
      <c r="T364" s="42">
        <v>20</v>
      </c>
      <c r="U364" s="42">
        <v>20</v>
      </c>
      <c r="V364" s="42">
        <v>20</v>
      </c>
      <c r="W364" s="42">
        <v>20</v>
      </c>
      <c r="X364" s="42">
        <v>20</v>
      </c>
      <c r="Y364" s="42">
        <v>20</v>
      </c>
      <c r="Z364" s="42">
        <v>20</v>
      </c>
      <c r="AA364" s="42">
        <v>20</v>
      </c>
      <c r="AB364" s="42">
        <v>20</v>
      </c>
      <c r="AC364" s="42">
        <v>20</v>
      </c>
      <c r="AD364" s="42">
        <v>20</v>
      </c>
      <c r="AE364" s="42">
        <v>20</v>
      </c>
      <c r="AF364" s="42">
        <v>20</v>
      </c>
      <c r="AG364" s="42">
        <v>20</v>
      </c>
      <c r="AH364" s="42">
        <v>20</v>
      </c>
      <c r="AI364" s="42">
        <v>20</v>
      </c>
      <c r="AJ364" s="42">
        <v>20</v>
      </c>
      <c r="AK364" s="42">
        <v>20</v>
      </c>
      <c r="AL364" s="42">
        <v>20</v>
      </c>
      <c r="AM364" s="42">
        <v>20</v>
      </c>
      <c r="AN364" s="42">
        <v>20</v>
      </c>
      <c r="AO364" s="42">
        <v>20</v>
      </c>
      <c r="AP364" s="42">
        <v>20</v>
      </c>
      <c r="AQ364" s="42">
        <v>20</v>
      </c>
      <c r="AR364" s="42">
        <v>20</v>
      </c>
      <c r="AS364" s="42">
        <v>20</v>
      </c>
      <c r="AT364" s="42">
        <v>20</v>
      </c>
      <c r="AU364" s="42"/>
      <c r="AV364" s="42"/>
      <c r="AW364" s="42"/>
      <c r="AX364" s="42"/>
      <c r="AY364" s="49"/>
      <c r="AZ364" s="49"/>
      <c r="BA364" s="49"/>
    </row>
    <row r="365" spans="2:53" ht="11.25" hidden="1" customHeight="1">
      <c r="B365" s="36" t="s">
        <v>1459</v>
      </c>
      <c r="C365" s="42"/>
      <c r="D365" s="42"/>
      <c r="E365" s="42"/>
      <c r="F365" s="42"/>
      <c r="G365" s="42">
        <v>20</v>
      </c>
      <c r="H365" s="42">
        <v>20</v>
      </c>
      <c r="I365" s="42">
        <v>20</v>
      </c>
      <c r="J365" s="42">
        <v>20</v>
      </c>
      <c r="K365" s="42">
        <v>20</v>
      </c>
      <c r="L365" s="42">
        <v>20</v>
      </c>
      <c r="M365" s="42">
        <v>20</v>
      </c>
      <c r="N365" s="42">
        <v>20</v>
      </c>
      <c r="O365" s="42">
        <v>20</v>
      </c>
      <c r="P365" s="42">
        <v>20</v>
      </c>
      <c r="Q365" s="42">
        <v>20</v>
      </c>
      <c r="R365" s="42">
        <v>20</v>
      </c>
      <c r="S365" s="42">
        <v>20</v>
      </c>
      <c r="T365" s="42">
        <v>20</v>
      </c>
      <c r="U365" s="42">
        <v>20</v>
      </c>
      <c r="V365" s="42">
        <v>20</v>
      </c>
      <c r="W365" s="42">
        <v>20</v>
      </c>
      <c r="X365" s="42">
        <v>20</v>
      </c>
      <c r="Y365" s="42">
        <v>20</v>
      </c>
      <c r="Z365" s="42">
        <v>20</v>
      </c>
      <c r="AA365" s="42">
        <v>20</v>
      </c>
      <c r="AB365" s="42">
        <v>20</v>
      </c>
      <c r="AC365" s="42">
        <v>20</v>
      </c>
      <c r="AD365" s="42">
        <v>20</v>
      </c>
      <c r="AE365" s="42">
        <v>20</v>
      </c>
      <c r="AF365" s="42">
        <v>20</v>
      </c>
      <c r="AG365" s="42">
        <v>20</v>
      </c>
      <c r="AH365" s="42">
        <v>20</v>
      </c>
      <c r="AI365" s="42">
        <v>20</v>
      </c>
      <c r="AJ365" s="42">
        <v>20</v>
      </c>
      <c r="AK365" s="42">
        <v>20</v>
      </c>
      <c r="AL365" s="42">
        <v>20</v>
      </c>
      <c r="AM365" s="42">
        <v>20</v>
      </c>
      <c r="AN365" s="42">
        <v>20</v>
      </c>
      <c r="AO365" s="42">
        <v>20</v>
      </c>
      <c r="AP365" s="42">
        <v>20</v>
      </c>
      <c r="AQ365" s="42">
        <v>20</v>
      </c>
      <c r="AR365" s="42">
        <v>20</v>
      </c>
      <c r="AS365" s="42">
        <v>20</v>
      </c>
      <c r="AT365" s="42">
        <v>20</v>
      </c>
      <c r="AU365" s="42"/>
      <c r="AV365" s="42"/>
      <c r="AW365" s="42"/>
      <c r="AX365" s="42"/>
      <c r="AY365" s="49"/>
      <c r="AZ365" s="49"/>
      <c r="BA365" s="49"/>
    </row>
    <row r="366" spans="2:53" ht="11.25" hidden="1" customHeight="1">
      <c r="B366" s="36" t="s">
        <v>1508</v>
      </c>
      <c r="C366" s="42"/>
      <c r="D366" s="42"/>
      <c r="E366" s="42"/>
      <c r="F366" s="42"/>
      <c r="G366" s="42">
        <v>20</v>
      </c>
      <c r="H366" s="42">
        <v>20</v>
      </c>
      <c r="I366" s="42">
        <v>20</v>
      </c>
      <c r="J366" s="42">
        <v>20</v>
      </c>
      <c r="K366" s="42">
        <v>20</v>
      </c>
      <c r="L366" s="42">
        <v>20</v>
      </c>
      <c r="M366" s="42">
        <v>20</v>
      </c>
      <c r="N366" s="42">
        <v>20</v>
      </c>
      <c r="O366" s="42">
        <v>20</v>
      </c>
      <c r="P366" s="42">
        <v>20</v>
      </c>
      <c r="Q366" s="42">
        <v>20</v>
      </c>
      <c r="R366" s="42">
        <v>20</v>
      </c>
      <c r="S366" s="42">
        <v>20</v>
      </c>
      <c r="T366" s="42">
        <v>20</v>
      </c>
      <c r="U366" s="42">
        <v>20</v>
      </c>
      <c r="V366" s="42">
        <v>20</v>
      </c>
      <c r="W366" s="42">
        <v>20</v>
      </c>
      <c r="X366" s="42">
        <v>20</v>
      </c>
      <c r="Y366" s="42">
        <v>20</v>
      </c>
      <c r="Z366" s="42">
        <v>20</v>
      </c>
      <c r="AA366" s="42">
        <v>20</v>
      </c>
      <c r="AB366" s="42">
        <v>20</v>
      </c>
      <c r="AC366" s="42">
        <v>20</v>
      </c>
      <c r="AD366" s="42">
        <v>20</v>
      </c>
      <c r="AE366" s="42">
        <v>20</v>
      </c>
      <c r="AF366" s="42">
        <v>20</v>
      </c>
      <c r="AG366" s="42">
        <v>20</v>
      </c>
      <c r="AH366" s="42">
        <v>20</v>
      </c>
      <c r="AI366" s="42">
        <v>20</v>
      </c>
      <c r="AJ366" s="42">
        <v>20</v>
      </c>
      <c r="AK366" s="42">
        <v>20</v>
      </c>
      <c r="AL366" s="42">
        <v>20</v>
      </c>
      <c r="AM366" s="42">
        <v>20</v>
      </c>
      <c r="AN366" s="42">
        <v>20</v>
      </c>
      <c r="AO366" s="42">
        <v>20</v>
      </c>
      <c r="AP366" s="42">
        <v>20</v>
      </c>
      <c r="AQ366" s="42">
        <v>20</v>
      </c>
      <c r="AR366" s="42">
        <v>20</v>
      </c>
      <c r="AS366" s="42">
        <v>20</v>
      </c>
      <c r="AT366" s="42">
        <v>20</v>
      </c>
      <c r="AU366" s="42"/>
      <c r="AV366" s="42"/>
      <c r="AW366" s="42"/>
      <c r="AX366" s="42"/>
      <c r="AY366" s="49"/>
      <c r="AZ366" s="49"/>
      <c r="BA366" s="49"/>
    </row>
    <row r="367" spans="2:53" ht="11.25" hidden="1" customHeight="1">
      <c r="B367" s="36" t="s">
        <v>1557</v>
      </c>
      <c r="C367" s="42"/>
      <c r="D367" s="42"/>
      <c r="E367" s="42"/>
      <c r="F367" s="42"/>
      <c r="G367" s="42">
        <v>20</v>
      </c>
      <c r="H367" s="42">
        <v>20</v>
      </c>
      <c r="I367" s="42">
        <v>20</v>
      </c>
      <c r="J367" s="42">
        <v>20</v>
      </c>
      <c r="K367" s="42">
        <v>20</v>
      </c>
      <c r="L367" s="42">
        <v>20</v>
      </c>
      <c r="M367" s="42">
        <v>20</v>
      </c>
      <c r="N367" s="42">
        <v>20</v>
      </c>
      <c r="O367" s="42">
        <v>20</v>
      </c>
      <c r="P367" s="42">
        <v>20</v>
      </c>
      <c r="Q367" s="42">
        <v>20</v>
      </c>
      <c r="R367" s="42">
        <v>20</v>
      </c>
      <c r="S367" s="42">
        <v>20</v>
      </c>
      <c r="T367" s="42">
        <v>20</v>
      </c>
      <c r="U367" s="42">
        <v>20</v>
      </c>
      <c r="V367" s="42">
        <v>20</v>
      </c>
      <c r="W367" s="42">
        <v>20</v>
      </c>
      <c r="X367" s="42">
        <v>20</v>
      </c>
      <c r="Y367" s="42">
        <v>20</v>
      </c>
      <c r="Z367" s="42">
        <v>20</v>
      </c>
      <c r="AA367" s="42">
        <v>20</v>
      </c>
      <c r="AB367" s="42">
        <v>20</v>
      </c>
      <c r="AC367" s="42">
        <v>20</v>
      </c>
      <c r="AD367" s="42">
        <v>20</v>
      </c>
      <c r="AE367" s="42">
        <v>20</v>
      </c>
      <c r="AF367" s="42">
        <v>20</v>
      </c>
      <c r="AG367" s="42">
        <v>20</v>
      </c>
      <c r="AH367" s="42">
        <v>20</v>
      </c>
      <c r="AI367" s="42">
        <v>20</v>
      </c>
      <c r="AJ367" s="42">
        <v>20</v>
      </c>
      <c r="AK367" s="42">
        <v>20</v>
      </c>
      <c r="AL367" s="42">
        <v>20</v>
      </c>
      <c r="AM367" s="42">
        <v>20</v>
      </c>
      <c r="AN367" s="42">
        <v>20</v>
      </c>
      <c r="AO367" s="42">
        <v>20</v>
      </c>
      <c r="AP367" s="42">
        <v>20</v>
      </c>
      <c r="AQ367" s="42">
        <v>20</v>
      </c>
      <c r="AR367" s="42">
        <v>20</v>
      </c>
      <c r="AS367" s="42">
        <v>20</v>
      </c>
      <c r="AT367" s="42">
        <v>20</v>
      </c>
      <c r="AU367" s="42"/>
      <c r="AV367" s="42"/>
      <c r="AW367" s="42"/>
      <c r="AX367" s="42"/>
      <c r="AY367" s="49"/>
      <c r="AZ367" s="49"/>
      <c r="BA367" s="49"/>
    </row>
    <row r="368" spans="2:53" ht="11.25" hidden="1" customHeight="1">
      <c r="B368" s="36" t="s">
        <v>1606</v>
      </c>
      <c r="C368" s="42"/>
      <c r="D368" s="42"/>
      <c r="E368" s="42"/>
      <c r="F368" s="42"/>
      <c r="G368" s="42">
        <v>20</v>
      </c>
      <c r="H368" s="42">
        <v>20</v>
      </c>
      <c r="I368" s="42">
        <v>20</v>
      </c>
      <c r="J368" s="42">
        <v>20</v>
      </c>
      <c r="K368" s="42">
        <v>20</v>
      </c>
      <c r="L368" s="42">
        <v>20</v>
      </c>
      <c r="M368" s="42">
        <v>20</v>
      </c>
      <c r="N368" s="42">
        <v>20</v>
      </c>
      <c r="O368" s="42">
        <v>20</v>
      </c>
      <c r="P368" s="42">
        <v>20</v>
      </c>
      <c r="Q368" s="42">
        <v>20</v>
      </c>
      <c r="R368" s="42">
        <v>20</v>
      </c>
      <c r="S368" s="42">
        <v>20</v>
      </c>
      <c r="T368" s="42">
        <v>20</v>
      </c>
      <c r="U368" s="42">
        <v>20</v>
      </c>
      <c r="V368" s="42">
        <v>20</v>
      </c>
      <c r="W368" s="42">
        <v>20</v>
      </c>
      <c r="X368" s="42">
        <v>20</v>
      </c>
      <c r="Y368" s="42">
        <v>20</v>
      </c>
      <c r="Z368" s="42">
        <v>20</v>
      </c>
      <c r="AA368" s="42">
        <v>20</v>
      </c>
      <c r="AB368" s="42">
        <v>20</v>
      </c>
      <c r="AC368" s="42">
        <v>20</v>
      </c>
      <c r="AD368" s="42">
        <v>20</v>
      </c>
      <c r="AE368" s="42">
        <v>20</v>
      </c>
      <c r="AF368" s="42">
        <v>20</v>
      </c>
      <c r="AG368" s="42">
        <v>20</v>
      </c>
      <c r="AH368" s="42">
        <v>20</v>
      </c>
      <c r="AI368" s="42">
        <v>20</v>
      </c>
      <c r="AJ368" s="42">
        <v>20</v>
      </c>
      <c r="AK368" s="42">
        <v>20</v>
      </c>
      <c r="AL368" s="42">
        <v>20</v>
      </c>
      <c r="AM368" s="42">
        <v>20</v>
      </c>
      <c r="AN368" s="42">
        <v>20</v>
      </c>
      <c r="AO368" s="42">
        <v>20</v>
      </c>
      <c r="AP368" s="42">
        <v>20</v>
      </c>
      <c r="AQ368" s="42">
        <v>20</v>
      </c>
      <c r="AR368" s="42">
        <v>20</v>
      </c>
      <c r="AS368" s="42">
        <v>20</v>
      </c>
      <c r="AT368" s="42">
        <v>20</v>
      </c>
      <c r="AU368" s="42"/>
      <c r="AV368" s="42"/>
      <c r="AW368" s="42"/>
      <c r="AX368" s="42"/>
      <c r="AY368" s="49"/>
      <c r="AZ368" s="49"/>
      <c r="BA368" s="49"/>
    </row>
    <row r="369" spans="1:53" ht="11.25" hidden="1" customHeight="1">
      <c r="B369" s="36" t="s">
        <v>1655</v>
      </c>
      <c r="C369" s="42"/>
      <c r="D369" s="42"/>
      <c r="E369" s="42"/>
      <c r="F369" s="42"/>
      <c r="G369" s="42">
        <v>20</v>
      </c>
      <c r="H369" s="42">
        <v>20</v>
      </c>
      <c r="I369" s="42">
        <v>20</v>
      </c>
      <c r="J369" s="42">
        <v>20</v>
      </c>
      <c r="K369" s="42">
        <v>20</v>
      </c>
      <c r="L369" s="42">
        <v>20</v>
      </c>
      <c r="M369" s="42">
        <v>20</v>
      </c>
      <c r="N369" s="42">
        <v>20</v>
      </c>
      <c r="O369" s="42">
        <v>20</v>
      </c>
      <c r="P369" s="42">
        <v>20</v>
      </c>
      <c r="Q369" s="42">
        <v>20</v>
      </c>
      <c r="R369" s="42">
        <v>20</v>
      </c>
      <c r="S369" s="42">
        <v>20</v>
      </c>
      <c r="T369" s="42">
        <v>20</v>
      </c>
      <c r="U369" s="42">
        <v>20</v>
      </c>
      <c r="V369" s="42">
        <v>20</v>
      </c>
      <c r="W369" s="42">
        <v>20</v>
      </c>
      <c r="X369" s="42">
        <v>20</v>
      </c>
      <c r="Y369" s="42">
        <v>20</v>
      </c>
      <c r="Z369" s="42">
        <v>20</v>
      </c>
      <c r="AA369" s="42">
        <v>20</v>
      </c>
      <c r="AB369" s="42">
        <v>20</v>
      </c>
      <c r="AC369" s="42">
        <v>20</v>
      </c>
      <c r="AD369" s="42">
        <v>20</v>
      </c>
      <c r="AE369" s="42">
        <v>20</v>
      </c>
      <c r="AF369" s="42">
        <v>20</v>
      </c>
      <c r="AG369" s="42">
        <v>20</v>
      </c>
      <c r="AH369" s="42">
        <v>20</v>
      </c>
      <c r="AI369" s="42">
        <v>20</v>
      </c>
      <c r="AJ369" s="42">
        <v>20</v>
      </c>
      <c r="AK369" s="42">
        <v>20</v>
      </c>
      <c r="AL369" s="42">
        <v>20</v>
      </c>
      <c r="AM369" s="42">
        <v>20</v>
      </c>
      <c r="AN369" s="42">
        <v>20</v>
      </c>
      <c r="AO369" s="42">
        <v>20</v>
      </c>
      <c r="AP369" s="42">
        <v>20</v>
      </c>
      <c r="AQ369" s="42">
        <v>20</v>
      </c>
      <c r="AR369" s="42">
        <v>20</v>
      </c>
      <c r="AS369" s="42">
        <v>20</v>
      </c>
      <c r="AT369" s="42">
        <v>20</v>
      </c>
      <c r="AU369" s="42"/>
      <c r="AV369" s="42"/>
      <c r="AW369" s="42"/>
      <c r="AX369" s="42"/>
      <c r="AY369" s="49"/>
      <c r="AZ369" s="49"/>
      <c r="BA369" s="49"/>
    </row>
    <row r="370" spans="1:53" ht="11.25" hidden="1" customHeight="1">
      <c r="B370" s="36" t="s">
        <v>1704</v>
      </c>
      <c r="C370" s="42"/>
      <c r="D370" s="42"/>
      <c r="E370" s="42"/>
      <c r="F370" s="42"/>
      <c r="G370" s="42">
        <v>20</v>
      </c>
      <c r="H370" s="42">
        <v>20</v>
      </c>
      <c r="I370" s="42">
        <v>20</v>
      </c>
      <c r="J370" s="42">
        <v>20</v>
      </c>
      <c r="K370" s="42">
        <v>20</v>
      </c>
      <c r="L370" s="42">
        <v>20</v>
      </c>
      <c r="M370" s="42">
        <v>20</v>
      </c>
      <c r="N370" s="42">
        <v>20</v>
      </c>
      <c r="O370" s="42">
        <v>20</v>
      </c>
      <c r="P370" s="42">
        <v>20</v>
      </c>
      <c r="Q370" s="42">
        <v>20</v>
      </c>
      <c r="R370" s="42">
        <v>20</v>
      </c>
      <c r="S370" s="42">
        <v>20</v>
      </c>
      <c r="T370" s="42">
        <v>20</v>
      </c>
      <c r="U370" s="42">
        <v>20</v>
      </c>
      <c r="V370" s="42">
        <v>20</v>
      </c>
      <c r="W370" s="42">
        <v>20</v>
      </c>
      <c r="X370" s="42">
        <v>20</v>
      </c>
      <c r="Y370" s="42">
        <v>20</v>
      </c>
      <c r="Z370" s="42">
        <v>20</v>
      </c>
      <c r="AA370" s="42">
        <v>20</v>
      </c>
      <c r="AB370" s="42">
        <v>20</v>
      </c>
      <c r="AC370" s="42">
        <v>20</v>
      </c>
      <c r="AD370" s="42">
        <v>20</v>
      </c>
      <c r="AE370" s="42">
        <v>20</v>
      </c>
      <c r="AF370" s="42">
        <v>20</v>
      </c>
      <c r="AG370" s="42">
        <v>20</v>
      </c>
      <c r="AH370" s="42">
        <v>20</v>
      </c>
      <c r="AI370" s="42">
        <v>20</v>
      </c>
      <c r="AJ370" s="42">
        <v>20</v>
      </c>
      <c r="AK370" s="42">
        <v>20</v>
      </c>
      <c r="AL370" s="42">
        <v>20</v>
      </c>
      <c r="AM370" s="42">
        <v>20</v>
      </c>
      <c r="AN370" s="42">
        <v>20</v>
      </c>
      <c r="AO370" s="42">
        <v>20</v>
      </c>
      <c r="AP370" s="42">
        <v>20</v>
      </c>
      <c r="AQ370" s="42">
        <v>20</v>
      </c>
      <c r="AR370" s="42">
        <v>20</v>
      </c>
      <c r="AS370" s="42">
        <v>20</v>
      </c>
      <c r="AT370" s="42">
        <v>20</v>
      </c>
      <c r="AU370" s="42"/>
      <c r="AV370" s="42"/>
      <c r="AW370" s="42"/>
      <c r="AX370" s="42"/>
      <c r="AY370" s="49"/>
      <c r="AZ370" s="49"/>
      <c r="BA370" s="49"/>
    </row>
    <row r="371" spans="1:53" ht="11.25" hidden="1" customHeight="1">
      <c r="B371" s="36" t="s">
        <v>1753</v>
      </c>
      <c r="C371" s="42"/>
      <c r="D371" s="42"/>
      <c r="E371" s="42"/>
      <c r="F371" s="42"/>
      <c r="G371" s="42">
        <v>20</v>
      </c>
      <c r="H371" s="42">
        <v>20</v>
      </c>
      <c r="I371" s="42">
        <v>20</v>
      </c>
      <c r="J371" s="42">
        <v>20</v>
      </c>
      <c r="K371" s="42">
        <v>20</v>
      </c>
      <c r="L371" s="42">
        <v>20</v>
      </c>
      <c r="M371" s="42">
        <v>20</v>
      </c>
      <c r="N371" s="42">
        <v>20</v>
      </c>
      <c r="O371" s="42">
        <v>20</v>
      </c>
      <c r="P371" s="42">
        <v>20</v>
      </c>
      <c r="Q371" s="42">
        <v>20</v>
      </c>
      <c r="R371" s="42">
        <v>20</v>
      </c>
      <c r="S371" s="42">
        <v>20</v>
      </c>
      <c r="T371" s="42">
        <v>20</v>
      </c>
      <c r="U371" s="42">
        <v>20</v>
      </c>
      <c r="V371" s="42">
        <v>20</v>
      </c>
      <c r="W371" s="42">
        <v>20</v>
      </c>
      <c r="X371" s="42">
        <v>20</v>
      </c>
      <c r="Y371" s="42">
        <v>20</v>
      </c>
      <c r="Z371" s="42">
        <v>20</v>
      </c>
      <c r="AA371" s="42">
        <v>20</v>
      </c>
      <c r="AB371" s="42">
        <v>20</v>
      </c>
      <c r="AC371" s="42">
        <v>20</v>
      </c>
      <c r="AD371" s="42">
        <v>20</v>
      </c>
      <c r="AE371" s="42">
        <v>20</v>
      </c>
      <c r="AF371" s="42">
        <v>20</v>
      </c>
      <c r="AG371" s="42">
        <v>20</v>
      </c>
      <c r="AH371" s="42">
        <v>20</v>
      </c>
      <c r="AI371" s="42">
        <v>20</v>
      </c>
      <c r="AJ371" s="42">
        <v>20</v>
      </c>
      <c r="AK371" s="42">
        <v>20</v>
      </c>
      <c r="AL371" s="42">
        <v>20</v>
      </c>
      <c r="AM371" s="42">
        <v>20</v>
      </c>
      <c r="AN371" s="42">
        <v>20</v>
      </c>
      <c r="AO371" s="42">
        <v>20</v>
      </c>
      <c r="AP371" s="42">
        <v>20</v>
      </c>
      <c r="AQ371" s="42">
        <v>20</v>
      </c>
      <c r="AR371" s="42">
        <v>20</v>
      </c>
      <c r="AS371" s="42">
        <v>20</v>
      </c>
      <c r="AT371" s="42">
        <v>20</v>
      </c>
      <c r="AU371" s="42"/>
      <c r="AV371" s="42"/>
      <c r="AW371" s="42"/>
      <c r="AX371" s="42"/>
      <c r="AY371" s="49"/>
      <c r="AZ371" s="49"/>
      <c r="BA371" s="49"/>
    </row>
    <row r="372" spans="1:53" ht="11.25" hidden="1" customHeight="1">
      <c r="B372" s="36" t="s">
        <v>1802</v>
      </c>
      <c r="C372" s="42"/>
      <c r="D372" s="42"/>
      <c r="E372" s="42"/>
      <c r="F372" s="42"/>
      <c r="G372" s="42">
        <v>20</v>
      </c>
      <c r="H372" s="42">
        <v>20</v>
      </c>
      <c r="I372" s="42">
        <v>20</v>
      </c>
      <c r="J372" s="42">
        <v>20</v>
      </c>
      <c r="K372" s="42">
        <v>20</v>
      </c>
      <c r="L372" s="42">
        <v>20</v>
      </c>
      <c r="M372" s="42">
        <v>20</v>
      </c>
      <c r="N372" s="42">
        <v>20</v>
      </c>
      <c r="O372" s="42">
        <v>20</v>
      </c>
      <c r="P372" s="42">
        <v>20</v>
      </c>
      <c r="Q372" s="42">
        <v>20</v>
      </c>
      <c r="R372" s="42">
        <v>20</v>
      </c>
      <c r="S372" s="42">
        <v>20</v>
      </c>
      <c r="T372" s="42">
        <v>20</v>
      </c>
      <c r="U372" s="42">
        <v>20</v>
      </c>
      <c r="V372" s="42">
        <v>20</v>
      </c>
      <c r="W372" s="42">
        <v>20</v>
      </c>
      <c r="X372" s="42">
        <v>20</v>
      </c>
      <c r="Y372" s="42">
        <v>20</v>
      </c>
      <c r="Z372" s="42">
        <v>20</v>
      </c>
      <c r="AA372" s="42">
        <v>20</v>
      </c>
      <c r="AB372" s="42">
        <v>20</v>
      </c>
      <c r="AC372" s="42">
        <v>20</v>
      </c>
      <c r="AD372" s="42">
        <v>20</v>
      </c>
      <c r="AE372" s="42">
        <v>20</v>
      </c>
      <c r="AF372" s="42">
        <v>20</v>
      </c>
      <c r="AG372" s="42">
        <v>20</v>
      </c>
      <c r="AH372" s="42">
        <v>20</v>
      </c>
      <c r="AI372" s="42">
        <v>20</v>
      </c>
      <c r="AJ372" s="42">
        <v>20</v>
      </c>
      <c r="AK372" s="42">
        <v>20</v>
      </c>
      <c r="AL372" s="42">
        <v>20</v>
      </c>
      <c r="AM372" s="42">
        <v>20</v>
      </c>
      <c r="AN372" s="42">
        <v>20</v>
      </c>
      <c r="AO372" s="42">
        <v>20</v>
      </c>
      <c r="AP372" s="42">
        <v>20</v>
      </c>
      <c r="AQ372" s="42">
        <v>20</v>
      </c>
      <c r="AR372" s="42">
        <v>20</v>
      </c>
      <c r="AS372" s="42">
        <v>20</v>
      </c>
      <c r="AT372" s="42">
        <v>20</v>
      </c>
      <c r="AU372" s="42"/>
      <c r="AV372" s="42"/>
      <c r="AW372" s="42"/>
      <c r="AX372" s="42"/>
      <c r="AY372" s="49"/>
      <c r="AZ372" s="49"/>
      <c r="BA372" s="49"/>
    </row>
    <row r="373" spans="1:53" ht="11.25" hidden="1" customHeight="1">
      <c r="B373" s="36" t="s">
        <v>1851</v>
      </c>
      <c r="C373" s="42"/>
      <c r="D373" s="42"/>
      <c r="E373" s="42"/>
      <c r="F373" s="42"/>
      <c r="G373" s="42">
        <v>20</v>
      </c>
      <c r="H373" s="42">
        <v>20</v>
      </c>
      <c r="I373" s="42">
        <v>20</v>
      </c>
      <c r="J373" s="42">
        <v>20</v>
      </c>
      <c r="K373" s="42">
        <v>20</v>
      </c>
      <c r="L373" s="42">
        <v>20</v>
      </c>
      <c r="M373" s="42">
        <v>20</v>
      </c>
      <c r="N373" s="42">
        <v>20</v>
      </c>
      <c r="O373" s="42">
        <v>20</v>
      </c>
      <c r="P373" s="42">
        <v>20</v>
      </c>
      <c r="Q373" s="42">
        <v>20</v>
      </c>
      <c r="R373" s="42">
        <v>20</v>
      </c>
      <c r="S373" s="42">
        <v>20</v>
      </c>
      <c r="T373" s="42">
        <v>20</v>
      </c>
      <c r="U373" s="42">
        <v>20</v>
      </c>
      <c r="V373" s="42">
        <v>20</v>
      </c>
      <c r="W373" s="42">
        <v>20</v>
      </c>
      <c r="X373" s="42">
        <v>20</v>
      </c>
      <c r="Y373" s="42">
        <v>20</v>
      </c>
      <c r="Z373" s="42">
        <v>20</v>
      </c>
      <c r="AA373" s="42">
        <v>20</v>
      </c>
      <c r="AB373" s="42">
        <v>20</v>
      </c>
      <c r="AC373" s="42">
        <v>20</v>
      </c>
      <c r="AD373" s="42">
        <v>20</v>
      </c>
      <c r="AE373" s="42">
        <v>20</v>
      </c>
      <c r="AF373" s="42">
        <v>20</v>
      </c>
      <c r="AG373" s="42">
        <v>20</v>
      </c>
      <c r="AH373" s="42">
        <v>20</v>
      </c>
      <c r="AI373" s="42">
        <v>20</v>
      </c>
      <c r="AJ373" s="42">
        <v>20</v>
      </c>
      <c r="AK373" s="42">
        <v>20</v>
      </c>
      <c r="AL373" s="42">
        <v>20</v>
      </c>
      <c r="AM373" s="42">
        <v>20</v>
      </c>
      <c r="AN373" s="42">
        <v>20</v>
      </c>
      <c r="AO373" s="42">
        <v>20</v>
      </c>
      <c r="AP373" s="42">
        <v>20</v>
      </c>
      <c r="AQ373" s="42">
        <v>20</v>
      </c>
      <c r="AR373" s="42">
        <v>20</v>
      </c>
      <c r="AS373" s="42">
        <v>20</v>
      </c>
      <c r="AT373" s="42">
        <v>20</v>
      </c>
      <c r="AU373" s="42"/>
      <c r="AV373" s="42"/>
      <c r="AW373" s="42"/>
      <c r="AX373" s="42"/>
      <c r="AY373" s="49"/>
      <c r="AZ373" s="49"/>
      <c r="BA373" s="49"/>
    </row>
    <row r="374" spans="1:53" ht="11.25" hidden="1" customHeight="1">
      <c r="B374" s="36" t="s">
        <v>1900</v>
      </c>
      <c r="C374" s="42"/>
      <c r="D374" s="42"/>
      <c r="E374" s="42"/>
      <c r="F374" s="42"/>
      <c r="G374" s="42">
        <v>20</v>
      </c>
      <c r="H374" s="42">
        <v>20</v>
      </c>
      <c r="I374" s="42">
        <v>20</v>
      </c>
      <c r="J374" s="42">
        <v>20</v>
      </c>
      <c r="K374" s="42">
        <v>20</v>
      </c>
      <c r="L374" s="42">
        <v>20</v>
      </c>
      <c r="M374" s="42">
        <v>20</v>
      </c>
      <c r="N374" s="42">
        <v>20</v>
      </c>
      <c r="O374" s="42">
        <v>20</v>
      </c>
      <c r="P374" s="42">
        <v>20</v>
      </c>
      <c r="Q374" s="42">
        <v>20</v>
      </c>
      <c r="R374" s="42">
        <v>20</v>
      </c>
      <c r="S374" s="42">
        <v>20</v>
      </c>
      <c r="T374" s="42">
        <v>20</v>
      </c>
      <c r="U374" s="42">
        <v>20</v>
      </c>
      <c r="V374" s="42">
        <v>20</v>
      </c>
      <c r="W374" s="42">
        <v>20</v>
      </c>
      <c r="X374" s="42">
        <v>20</v>
      </c>
      <c r="Y374" s="42">
        <v>20</v>
      </c>
      <c r="Z374" s="42">
        <v>20</v>
      </c>
      <c r="AA374" s="42">
        <v>20</v>
      </c>
      <c r="AB374" s="42">
        <v>20</v>
      </c>
      <c r="AC374" s="42">
        <v>20</v>
      </c>
      <c r="AD374" s="42">
        <v>20</v>
      </c>
      <c r="AE374" s="42">
        <v>20</v>
      </c>
      <c r="AF374" s="42">
        <v>20</v>
      </c>
      <c r="AG374" s="42">
        <v>20</v>
      </c>
      <c r="AH374" s="42">
        <v>20</v>
      </c>
      <c r="AI374" s="42">
        <v>20</v>
      </c>
      <c r="AJ374" s="42">
        <v>20</v>
      </c>
      <c r="AK374" s="42">
        <v>20</v>
      </c>
      <c r="AL374" s="42">
        <v>20</v>
      </c>
      <c r="AM374" s="42">
        <v>20</v>
      </c>
      <c r="AN374" s="42">
        <v>20</v>
      </c>
      <c r="AO374" s="42">
        <v>20</v>
      </c>
      <c r="AP374" s="42">
        <v>20</v>
      </c>
      <c r="AQ374" s="42">
        <v>20</v>
      </c>
      <c r="AR374" s="42">
        <v>20</v>
      </c>
      <c r="AS374" s="42">
        <v>20</v>
      </c>
      <c r="AT374" s="42">
        <v>20</v>
      </c>
      <c r="AU374" s="42"/>
      <c r="AV374" s="42"/>
      <c r="AW374" s="42"/>
      <c r="AX374" s="42"/>
      <c r="AY374" s="49"/>
      <c r="AZ374" s="49"/>
      <c r="BA374" s="49"/>
    </row>
    <row r="375" spans="1:53" ht="11.25" hidden="1" customHeight="1">
      <c r="B375" s="36" t="s">
        <v>1949</v>
      </c>
      <c r="C375" s="42"/>
      <c r="D375" s="42"/>
      <c r="E375" s="42"/>
      <c r="F375" s="42"/>
      <c r="G375" s="42">
        <v>20</v>
      </c>
      <c r="H375" s="42">
        <v>20</v>
      </c>
      <c r="I375" s="42">
        <v>20</v>
      </c>
      <c r="J375" s="42">
        <v>20</v>
      </c>
      <c r="K375" s="42">
        <v>20</v>
      </c>
      <c r="L375" s="42">
        <v>20</v>
      </c>
      <c r="M375" s="42">
        <v>20</v>
      </c>
      <c r="N375" s="42">
        <v>20</v>
      </c>
      <c r="O375" s="42">
        <v>20</v>
      </c>
      <c r="P375" s="42">
        <v>20</v>
      </c>
      <c r="Q375" s="42">
        <v>20</v>
      </c>
      <c r="R375" s="42">
        <v>20</v>
      </c>
      <c r="S375" s="42">
        <v>20</v>
      </c>
      <c r="T375" s="42">
        <v>20</v>
      </c>
      <c r="U375" s="42">
        <v>20</v>
      </c>
      <c r="V375" s="42">
        <v>20</v>
      </c>
      <c r="W375" s="42">
        <v>20</v>
      </c>
      <c r="X375" s="42">
        <v>20</v>
      </c>
      <c r="Y375" s="42">
        <v>20</v>
      </c>
      <c r="Z375" s="42">
        <v>20</v>
      </c>
      <c r="AA375" s="42">
        <v>20</v>
      </c>
      <c r="AB375" s="42">
        <v>20</v>
      </c>
      <c r="AC375" s="42">
        <v>20</v>
      </c>
      <c r="AD375" s="42">
        <v>20</v>
      </c>
      <c r="AE375" s="42">
        <v>20</v>
      </c>
      <c r="AF375" s="42">
        <v>20</v>
      </c>
      <c r="AG375" s="42">
        <v>20</v>
      </c>
      <c r="AH375" s="42">
        <v>20</v>
      </c>
      <c r="AI375" s="42">
        <v>20</v>
      </c>
      <c r="AJ375" s="42">
        <v>20</v>
      </c>
      <c r="AK375" s="42">
        <v>20</v>
      </c>
      <c r="AL375" s="42">
        <v>20</v>
      </c>
      <c r="AM375" s="42">
        <v>20</v>
      </c>
      <c r="AN375" s="42">
        <v>20</v>
      </c>
      <c r="AO375" s="42">
        <v>20</v>
      </c>
      <c r="AP375" s="42">
        <v>20</v>
      </c>
      <c r="AQ375" s="42">
        <v>20</v>
      </c>
      <c r="AR375" s="42">
        <v>20</v>
      </c>
      <c r="AS375" s="42">
        <v>20</v>
      </c>
      <c r="AT375" s="42">
        <v>20</v>
      </c>
      <c r="AU375" s="42"/>
      <c r="AV375" s="42"/>
      <c r="AW375" s="42"/>
      <c r="AX375" s="42"/>
      <c r="AY375" s="49"/>
      <c r="AZ375" s="49"/>
      <c r="BA375" s="49"/>
    </row>
    <row r="376" spans="1:53" ht="11.25" customHeight="1">
      <c r="AY376" s="49"/>
      <c r="AZ376" s="49"/>
      <c r="BA376" s="49"/>
    </row>
    <row r="377" spans="1:53" s="61" customFormat="1" ht="11.25" customHeight="1">
      <c r="A377" s="61" t="s">
        <v>2062</v>
      </c>
      <c r="D377" s="62"/>
      <c r="H377" s="62"/>
    </row>
    <row r="378" spans="1:53" s="35" customFormat="1" ht="11.25" hidden="1" customHeight="1">
      <c r="A378" s="26"/>
      <c r="B378" s="26"/>
      <c r="C378" s="34"/>
      <c r="D378" s="34"/>
      <c r="H378" s="34"/>
    </row>
    <row r="379" spans="1:53" ht="11.25" hidden="1" customHeight="1">
      <c r="B379" s="36" t="s">
        <v>392</v>
      </c>
      <c r="C379" s="37">
        <v>1</v>
      </c>
      <c r="D379" s="37">
        <v>2</v>
      </c>
      <c r="E379" s="37">
        <v>3</v>
      </c>
      <c r="F379" s="37">
        <v>4</v>
      </c>
      <c r="G379" s="37">
        <v>5</v>
      </c>
      <c r="H379" s="37">
        <v>6</v>
      </c>
      <c r="I379" s="37">
        <v>7</v>
      </c>
      <c r="J379" s="37">
        <v>8</v>
      </c>
      <c r="K379" s="37">
        <v>9</v>
      </c>
      <c r="L379" s="37">
        <v>10</v>
      </c>
      <c r="M379" s="37">
        <v>11</v>
      </c>
      <c r="N379" s="37">
        <v>12</v>
      </c>
      <c r="O379" s="37">
        <v>13</v>
      </c>
      <c r="P379" s="37">
        <v>14</v>
      </c>
      <c r="Q379" s="37">
        <v>15</v>
      </c>
      <c r="R379" s="37">
        <v>16</v>
      </c>
      <c r="S379" s="37">
        <v>17</v>
      </c>
      <c r="T379" s="37">
        <v>18</v>
      </c>
      <c r="U379" s="37">
        <v>19</v>
      </c>
      <c r="V379" s="37">
        <v>20</v>
      </c>
      <c r="W379" s="37">
        <v>21</v>
      </c>
      <c r="X379" s="37">
        <v>22</v>
      </c>
      <c r="Y379" s="37">
        <v>23</v>
      </c>
      <c r="Z379" s="37">
        <v>24</v>
      </c>
      <c r="AA379" s="37">
        <v>25</v>
      </c>
      <c r="AB379" s="37">
        <v>26</v>
      </c>
      <c r="AC379" s="37">
        <v>27</v>
      </c>
      <c r="AD379" s="37">
        <v>28</v>
      </c>
      <c r="AE379" s="37">
        <v>29</v>
      </c>
      <c r="AF379" s="37">
        <v>30</v>
      </c>
      <c r="AG379" s="37">
        <v>31</v>
      </c>
      <c r="AH379" s="37">
        <v>32</v>
      </c>
      <c r="AI379" s="37">
        <v>33</v>
      </c>
      <c r="AJ379" s="37">
        <v>34</v>
      </c>
      <c r="AK379" s="37">
        <v>35</v>
      </c>
      <c r="AL379" s="37">
        <v>36</v>
      </c>
      <c r="AM379" s="37">
        <v>37</v>
      </c>
      <c r="AN379" s="37">
        <v>38</v>
      </c>
      <c r="AO379" s="37">
        <v>39</v>
      </c>
      <c r="AP379" s="37">
        <v>40</v>
      </c>
      <c r="AQ379" s="37">
        <v>41</v>
      </c>
      <c r="AR379" s="37">
        <v>42</v>
      </c>
      <c r="AS379" s="37">
        <v>43</v>
      </c>
      <c r="AT379" s="37">
        <v>44</v>
      </c>
      <c r="AU379" s="37">
        <v>45</v>
      </c>
      <c r="AV379" s="37">
        <v>46</v>
      </c>
      <c r="AW379" s="37">
        <v>47</v>
      </c>
      <c r="AX379" s="37">
        <v>48</v>
      </c>
      <c r="AY379" s="49"/>
      <c r="AZ379" s="49"/>
      <c r="BA379" s="49"/>
    </row>
    <row r="380" spans="1:53" ht="11.25" hidden="1" customHeight="1">
      <c r="B380" s="36" t="s">
        <v>399</v>
      </c>
      <c r="C380" s="52"/>
      <c r="D380" s="52"/>
      <c r="E380" s="52"/>
      <c r="F380" s="52"/>
      <c r="G380" s="2" t="s">
        <v>2012</v>
      </c>
      <c r="H380" s="2" t="s">
        <v>828</v>
      </c>
      <c r="I380" s="2" t="s">
        <v>827</v>
      </c>
      <c r="J380" s="2" t="s">
        <v>2010</v>
      </c>
      <c r="K380" s="2" t="s">
        <v>2011</v>
      </c>
      <c r="L380" s="2" t="s">
        <v>2012</v>
      </c>
      <c r="M380" s="2" t="s">
        <v>828</v>
      </c>
      <c r="N380" s="2" t="s">
        <v>827</v>
      </c>
      <c r="O380" s="2" t="s">
        <v>2010</v>
      </c>
      <c r="P380" s="2" t="s">
        <v>2011</v>
      </c>
      <c r="Q380" s="2" t="s">
        <v>2012</v>
      </c>
      <c r="R380" s="2" t="s">
        <v>828</v>
      </c>
      <c r="S380" s="2" t="s">
        <v>827</v>
      </c>
      <c r="T380" s="2" t="s">
        <v>2010</v>
      </c>
      <c r="U380" s="2" t="s">
        <v>2011</v>
      </c>
      <c r="V380" s="2" t="s">
        <v>2012</v>
      </c>
      <c r="W380" s="2" t="s">
        <v>828</v>
      </c>
      <c r="X380" s="2" t="s">
        <v>827</v>
      </c>
      <c r="Y380" s="2" t="s">
        <v>2010</v>
      </c>
      <c r="Z380" s="2" t="s">
        <v>2011</v>
      </c>
      <c r="AA380" s="2" t="s">
        <v>2012</v>
      </c>
      <c r="AB380" s="2" t="s">
        <v>828</v>
      </c>
      <c r="AC380" s="2" t="s">
        <v>827</v>
      </c>
      <c r="AD380" s="2" t="s">
        <v>2010</v>
      </c>
      <c r="AE380" s="2" t="s">
        <v>2011</v>
      </c>
      <c r="AF380" s="2" t="s">
        <v>2012</v>
      </c>
      <c r="AG380" s="2" t="s">
        <v>828</v>
      </c>
      <c r="AH380" s="2" t="s">
        <v>827</v>
      </c>
      <c r="AI380" s="2" t="s">
        <v>2010</v>
      </c>
      <c r="AJ380" s="2" t="s">
        <v>2011</v>
      </c>
      <c r="AK380" s="2" t="s">
        <v>2012</v>
      </c>
      <c r="AL380" s="2" t="s">
        <v>828</v>
      </c>
      <c r="AM380" s="2" t="s">
        <v>827</v>
      </c>
      <c r="AN380" s="2" t="s">
        <v>2010</v>
      </c>
      <c r="AO380" s="2" t="s">
        <v>2011</v>
      </c>
      <c r="AP380" s="2" t="s">
        <v>2012</v>
      </c>
      <c r="AQ380" s="2" t="s">
        <v>828</v>
      </c>
      <c r="AR380" s="2" t="s">
        <v>827</v>
      </c>
      <c r="AS380" s="2" t="s">
        <v>2010</v>
      </c>
      <c r="AT380" s="2" t="s">
        <v>2011</v>
      </c>
      <c r="AU380" s="52"/>
      <c r="AV380" s="52"/>
      <c r="AW380" s="52"/>
      <c r="AX380" s="52"/>
      <c r="AY380" s="49"/>
      <c r="AZ380" s="49"/>
      <c r="BA380" s="49"/>
    </row>
    <row r="381" spans="1:53" ht="11.25" hidden="1" customHeight="1">
      <c r="B381" s="36" t="s">
        <v>400</v>
      </c>
      <c r="C381" s="52"/>
      <c r="D381" s="52"/>
      <c r="E381" s="52"/>
      <c r="F381" s="52"/>
      <c r="G381" s="2" t="s">
        <v>2012</v>
      </c>
      <c r="H381" s="2" t="s">
        <v>828</v>
      </c>
      <c r="I381" s="2" t="s">
        <v>827</v>
      </c>
      <c r="J381" s="2" t="s">
        <v>2010</v>
      </c>
      <c r="K381" s="2" t="s">
        <v>2011</v>
      </c>
      <c r="L381" s="2" t="s">
        <v>2012</v>
      </c>
      <c r="M381" s="2" t="s">
        <v>828</v>
      </c>
      <c r="N381" s="2" t="s">
        <v>827</v>
      </c>
      <c r="O381" s="2" t="s">
        <v>2010</v>
      </c>
      <c r="P381" s="2" t="s">
        <v>2011</v>
      </c>
      <c r="Q381" s="2" t="s">
        <v>2012</v>
      </c>
      <c r="R381" s="2" t="s">
        <v>828</v>
      </c>
      <c r="S381" s="2" t="s">
        <v>827</v>
      </c>
      <c r="T381" s="2" t="s">
        <v>2010</v>
      </c>
      <c r="U381" s="2" t="s">
        <v>2011</v>
      </c>
      <c r="V381" s="2" t="s">
        <v>2012</v>
      </c>
      <c r="W381" s="2" t="s">
        <v>828</v>
      </c>
      <c r="X381" s="2" t="s">
        <v>827</v>
      </c>
      <c r="Y381" s="2" t="s">
        <v>2010</v>
      </c>
      <c r="Z381" s="2" t="s">
        <v>2011</v>
      </c>
      <c r="AA381" s="2" t="s">
        <v>2012</v>
      </c>
      <c r="AB381" s="2" t="s">
        <v>828</v>
      </c>
      <c r="AC381" s="2" t="s">
        <v>827</v>
      </c>
      <c r="AD381" s="2" t="s">
        <v>2010</v>
      </c>
      <c r="AE381" s="2" t="s">
        <v>2011</v>
      </c>
      <c r="AF381" s="2" t="s">
        <v>2012</v>
      </c>
      <c r="AG381" s="2" t="s">
        <v>828</v>
      </c>
      <c r="AH381" s="2" t="s">
        <v>827</v>
      </c>
      <c r="AI381" s="2" t="s">
        <v>2010</v>
      </c>
      <c r="AJ381" s="2" t="s">
        <v>2011</v>
      </c>
      <c r="AK381" s="2" t="s">
        <v>2012</v>
      </c>
      <c r="AL381" s="2" t="s">
        <v>828</v>
      </c>
      <c r="AM381" s="2" t="s">
        <v>827</v>
      </c>
      <c r="AN381" s="2" t="s">
        <v>2010</v>
      </c>
      <c r="AO381" s="2" t="s">
        <v>2011</v>
      </c>
      <c r="AP381" s="2" t="s">
        <v>2012</v>
      </c>
      <c r="AQ381" s="2" t="s">
        <v>828</v>
      </c>
      <c r="AR381" s="2" t="s">
        <v>827</v>
      </c>
      <c r="AS381" s="2" t="s">
        <v>2010</v>
      </c>
      <c r="AT381" s="2" t="s">
        <v>2011</v>
      </c>
      <c r="AU381" s="52"/>
      <c r="AV381" s="52"/>
      <c r="AW381" s="52"/>
      <c r="AX381" s="52"/>
      <c r="AY381" s="49"/>
      <c r="AZ381" s="49"/>
      <c r="BA381" s="49"/>
    </row>
    <row r="382" spans="1:53" ht="11.25" hidden="1" customHeight="1">
      <c r="B382" s="36" t="s">
        <v>401</v>
      </c>
      <c r="C382" s="52"/>
      <c r="D382" s="52"/>
      <c r="E382" s="52"/>
      <c r="F382" s="52"/>
      <c r="G382" s="2" t="s">
        <v>2012</v>
      </c>
      <c r="H382" s="2" t="s">
        <v>828</v>
      </c>
      <c r="I382" s="2" t="s">
        <v>827</v>
      </c>
      <c r="J382" s="2" t="s">
        <v>2010</v>
      </c>
      <c r="K382" s="2" t="s">
        <v>2011</v>
      </c>
      <c r="L382" s="2" t="s">
        <v>2012</v>
      </c>
      <c r="M382" s="2" t="s">
        <v>828</v>
      </c>
      <c r="N382" s="2" t="s">
        <v>827</v>
      </c>
      <c r="O382" s="2" t="s">
        <v>2010</v>
      </c>
      <c r="P382" s="2" t="s">
        <v>2011</v>
      </c>
      <c r="Q382" s="2" t="s">
        <v>2012</v>
      </c>
      <c r="R382" s="2" t="s">
        <v>828</v>
      </c>
      <c r="S382" s="2" t="s">
        <v>827</v>
      </c>
      <c r="T382" s="2" t="s">
        <v>2010</v>
      </c>
      <c r="U382" s="2" t="s">
        <v>2011</v>
      </c>
      <c r="V382" s="2" t="s">
        <v>2012</v>
      </c>
      <c r="W382" s="2" t="s">
        <v>828</v>
      </c>
      <c r="X382" s="2" t="s">
        <v>827</v>
      </c>
      <c r="Y382" s="2" t="s">
        <v>2010</v>
      </c>
      <c r="Z382" s="2" t="s">
        <v>2011</v>
      </c>
      <c r="AA382" s="2" t="s">
        <v>2012</v>
      </c>
      <c r="AB382" s="2" t="s">
        <v>828</v>
      </c>
      <c r="AC382" s="2" t="s">
        <v>827</v>
      </c>
      <c r="AD382" s="2" t="s">
        <v>2010</v>
      </c>
      <c r="AE382" s="2" t="s">
        <v>2011</v>
      </c>
      <c r="AF382" s="2" t="s">
        <v>2012</v>
      </c>
      <c r="AG382" s="2" t="s">
        <v>828</v>
      </c>
      <c r="AH382" s="2" t="s">
        <v>827</v>
      </c>
      <c r="AI382" s="2" t="s">
        <v>2010</v>
      </c>
      <c r="AJ382" s="2" t="s">
        <v>2011</v>
      </c>
      <c r="AK382" s="2" t="s">
        <v>2012</v>
      </c>
      <c r="AL382" s="2" t="s">
        <v>828</v>
      </c>
      <c r="AM382" s="2" t="s">
        <v>827</v>
      </c>
      <c r="AN382" s="2" t="s">
        <v>2010</v>
      </c>
      <c r="AO382" s="2" t="s">
        <v>2011</v>
      </c>
      <c r="AP382" s="2" t="s">
        <v>2012</v>
      </c>
      <c r="AQ382" s="2" t="s">
        <v>828</v>
      </c>
      <c r="AR382" s="2" t="s">
        <v>827</v>
      </c>
      <c r="AS382" s="2" t="s">
        <v>2010</v>
      </c>
      <c r="AT382" s="2" t="s">
        <v>2011</v>
      </c>
      <c r="AU382" s="52"/>
      <c r="AV382" s="52"/>
      <c r="AW382" s="52"/>
      <c r="AX382" s="52"/>
      <c r="AY382" s="49"/>
      <c r="AZ382" s="49"/>
      <c r="BA382" s="49"/>
    </row>
    <row r="383" spans="1:53" ht="11.25" hidden="1" customHeight="1">
      <c r="B383" s="36" t="s">
        <v>402</v>
      </c>
      <c r="C383" s="52"/>
      <c r="D383" s="52"/>
      <c r="E383" s="52"/>
      <c r="F383" s="52"/>
      <c r="G383" s="2" t="s">
        <v>2012</v>
      </c>
      <c r="H383" s="2" t="s">
        <v>828</v>
      </c>
      <c r="I383" s="2" t="s">
        <v>827</v>
      </c>
      <c r="J383" s="2" t="s">
        <v>2010</v>
      </c>
      <c r="K383" s="2" t="s">
        <v>2011</v>
      </c>
      <c r="L383" s="2" t="s">
        <v>2012</v>
      </c>
      <c r="M383" s="2" t="s">
        <v>828</v>
      </c>
      <c r="N383" s="2" t="s">
        <v>827</v>
      </c>
      <c r="O383" s="2" t="s">
        <v>2010</v>
      </c>
      <c r="P383" s="2" t="s">
        <v>2011</v>
      </c>
      <c r="Q383" s="2" t="s">
        <v>2012</v>
      </c>
      <c r="R383" s="2" t="s">
        <v>828</v>
      </c>
      <c r="S383" s="2" t="s">
        <v>827</v>
      </c>
      <c r="T383" s="2" t="s">
        <v>2010</v>
      </c>
      <c r="U383" s="2" t="s">
        <v>2011</v>
      </c>
      <c r="V383" s="2" t="s">
        <v>2012</v>
      </c>
      <c r="W383" s="2" t="s">
        <v>828</v>
      </c>
      <c r="X383" s="2" t="s">
        <v>827</v>
      </c>
      <c r="Y383" s="2" t="s">
        <v>2010</v>
      </c>
      <c r="Z383" s="2" t="s">
        <v>2011</v>
      </c>
      <c r="AA383" s="2" t="s">
        <v>2012</v>
      </c>
      <c r="AB383" s="2" t="s">
        <v>828</v>
      </c>
      <c r="AC383" s="2" t="s">
        <v>827</v>
      </c>
      <c r="AD383" s="2" t="s">
        <v>2010</v>
      </c>
      <c r="AE383" s="2" t="s">
        <v>2011</v>
      </c>
      <c r="AF383" s="2" t="s">
        <v>2012</v>
      </c>
      <c r="AG383" s="2" t="s">
        <v>828</v>
      </c>
      <c r="AH383" s="2" t="s">
        <v>827</v>
      </c>
      <c r="AI383" s="2" t="s">
        <v>2010</v>
      </c>
      <c r="AJ383" s="2" t="s">
        <v>2011</v>
      </c>
      <c r="AK383" s="2" t="s">
        <v>2012</v>
      </c>
      <c r="AL383" s="2" t="s">
        <v>828</v>
      </c>
      <c r="AM383" s="2" t="s">
        <v>827</v>
      </c>
      <c r="AN383" s="2" t="s">
        <v>2010</v>
      </c>
      <c r="AO383" s="2" t="s">
        <v>2011</v>
      </c>
      <c r="AP383" s="2" t="s">
        <v>2012</v>
      </c>
      <c r="AQ383" s="2" t="s">
        <v>828</v>
      </c>
      <c r="AR383" s="2" t="s">
        <v>827</v>
      </c>
      <c r="AS383" s="2" t="s">
        <v>2010</v>
      </c>
      <c r="AT383" s="2" t="s">
        <v>2011</v>
      </c>
      <c r="AU383" s="52"/>
      <c r="AV383" s="52"/>
      <c r="AW383" s="52"/>
      <c r="AX383" s="52"/>
      <c r="AY383" s="49"/>
      <c r="AZ383" s="49"/>
      <c r="BA383" s="49"/>
    </row>
    <row r="384" spans="1:53" ht="11.25" hidden="1" customHeight="1">
      <c r="B384" s="36" t="s">
        <v>403</v>
      </c>
      <c r="C384" s="52"/>
      <c r="D384" s="52"/>
      <c r="E384" s="52"/>
      <c r="F384" s="52"/>
      <c r="G384" s="2" t="s">
        <v>2012</v>
      </c>
      <c r="H384" s="2" t="s">
        <v>828</v>
      </c>
      <c r="I384" s="2" t="s">
        <v>827</v>
      </c>
      <c r="J384" s="2" t="s">
        <v>2010</v>
      </c>
      <c r="K384" s="2" t="s">
        <v>2011</v>
      </c>
      <c r="L384" s="2" t="s">
        <v>2012</v>
      </c>
      <c r="M384" s="2" t="s">
        <v>828</v>
      </c>
      <c r="N384" s="2" t="s">
        <v>827</v>
      </c>
      <c r="O384" s="2" t="s">
        <v>2010</v>
      </c>
      <c r="P384" s="2" t="s">
        <v>2011</v>
      </c>
      <c r="Q384" s="2" t="s">
        <v>2012</v>
      </c>
      <c r="R384" s="2" t="s">
        <v>828</v>
      </c>
      <c r="S384" s="2" t="s">
        <v>827</v>
      </c>
      <c r="T384" s="2" t="s">
        <v>2010</v>
      </c>
      <c r="U384" s="2" t="s">
        <v>2011</v>
      </c>
      <c r="V384" s="2" t="s">
        <v>2012</v>
      </c>
      <c r="W384" s="2" t="s">
        <v>828</v>
      </c>
      <c r="X384" s="2" t="s">
        <v>827</v>
      </c>
      <c r="Y384" s="2" t="s">
        <v>2010</v>
      </c>
      <c r="Z384" s="2" t="s">
        <v>2011</v>
      </c>
      <c r="AA384" s="2" t="s">
        <v>2012</v>
      </c>
      <c r="AB384" s="2" t="s">
        <v>828</v>
      </c>
      <c r="AC384" s="2" t="s">
        <v>827</v>
      </c>
      <c r="AD384" s="2" t="s">
        <v>2010</v>
      </c>
      <c r="AE384" s="2" t="s">
        <v>2011</v>
      </c>
      <c r="AF384" s="2" t="s">
        <v>2012</v>
      </c>
      <c r="AG384" s="2" t="s">
        <v>828</v>
      </c>
      <c r="AH384" s="2" t="s">
        <v>827</v>
      </c>
      <c r="AI384" s="2" t="s">
        <v>2010</v>
      </c>
      <c r="AJ384" s="2" t="s">
        <v>2011</v>
      </c>
      <c r="AK384" s="2" t="s">
        <v>2012</v>
      </c>
      <c r="AL384" s="2" t="s">
        <v>828</v>
      </c>
      <c r="AM384" s="2" t="s">
        <v>827</v>
      </c>
      <c r="AN384" s="2" t="s">
        <v>2010</v>
      </c>
      <c r="AO384" s="2" t="s">
        <v>2011</v>
      </c>
      <c r="AP384" s="2" t="s">
        <v>2012</v>
      </c>
      <c r="AQ384" s="2" t="s">
        <v>828</v>
      </c>
      <c r="AR384" s="2" t="s">
        <v>827</v>
      </c>
      <c r="AS384" s="2" t="s">
        <v>2010</v>
      </c>
      <c r="AT384" s="2" t="s">
        <v>2011</v>
      </c>
      <c r="AU384" s="52"/>
      <c r="AV384" s="52"/>
      <c r="AW384" s="52"/>
      <c r="AX384" s="52"/>
      <c r="AY384" s="49"/>
      <c r="AZ384" s="49"/>
      <c r="BA384" s="49"/>
    </row>
    <row r="385" spans="2:53" ht="11.25" hidden="1" customHeight="1">
      <c r="B385" s="36" t="s">
        <v>404</v>
      </c>
      <c r="C385" s="52"/>
      <c r="D385" s="52"/>
      <c r="E385" s="52"/>
      <c r="F385" s="52"/>
      <c r="G385" s="2" t="s">
        <v>2012</v>
      </c>
      <c r="H385" s="2" t="s">
        <v>828</v>
      </c>
      <c r="I385" s="2" t="s">
        <v>827</v>
      </c>
      <c r="J385" s="2" t="s">
        <v>2010</v>
      </c>
      <c r="K385" s="2" t="s">
        <v>2011</v>
      </c>
      <c r="L385" s="2" t="s">
        <v>2012</v>
      </c>
      <c r="M385" s="2" t="s">
        <v>828</v>
      </c>
      <c r="N385" s="2" t="s">
        <v>827</v>
      </c>
      <c r="O385" s="2" t="s">
        <v>2010</v>
      </c>
      <c r="P385" s="2" t="s">
        <v>2011</v>
      </c>
      <c r="Q385" s="2" t="s">
        <v>2012</v>
      </c>
      <c r="R385" s="2" t="s">
        <v>828</v>
      </c>
      <c r="S385" s="2" t="s">
        <v>827</v>
      </c>
      <c r="T385" s="2" t="s">
        <v>2010</v>
      </c>
      <c r="U385" s="2" t="s">
        <v>2011</v>
      </c>
      <c r="V385" s="2" t="s">
        <v>2012</v>
      </c>
      <c r="W385" s="2" t="s">
        <v>828</v>
      </c>
      <c r="X385" s="2" t="s">
        <v>827</v>
      </c>
      <c r="Y385" s="2" t="s">
        <v>2010</v>
      </c>
      <c r="Z385" s="2" t="s">
        <v>2011</v>
      </c>
      <c r="AA385" s="2" t="s">
        <v>2012</v>
      </c>
      <c r="AB385" s="2" t="s">
        <v>828</v>
      </c>
      <c r="AC385" s="2" t="s">
        <v>827</v>
      </c>
      <c r="AD385" s="2" t="s">
        <v>2010</v>
      </c>
      <c r="AE385" s="2" t="s">
        <v>2011</v>
      </c>
      <c r="AF385" s="2" t="s">
        <v>2012</v>
      </c>
      <c r="AG385" s="2" t="s">
        <v>828</v>
      </c>
      <c r="AH385" s="2" t="s">
        <v>827</v>
      </c>
      <c r="AI385" s="2" t="s">
        <v>2010</v>
      </c>
      <c r="AJ385" s="2" t="s">
        <v>2011</v>
      </c>
      <c r="AK385" s="2" t="s">
        <v>2012</v>
      </c>
      <c r="AL385" s="2" t="s">
        <v>828</v>
      </c>
      <c r="AM385" s="2" t="s">
        <v>827</v>
      </c>
      <c r="AN385" s="2" t="s">
        <v>2010</v>
      </c>
      <c r="AO385" s="2" t="s">
        <v>2011</v>
      </c>
      <c r="AP385" s="2" t="s">
        <v>2012</v>
      </c>
      <c r="AQ385" s="2" t="s">
        <v>828</v>
      </c>
      <c r="AR385" s="2" t="s">
        <v>827</v>
      </c>
      <c r="AS385" s="2" t="s">
        <v>2010</v>
      </c>
      <c r="AT385" s="2" t="s">
        <v>2011</v>
      </c>
      <c r="AU385" s="52"/>
      <c r="AV385" s="52"/>
      <c r="AW385" s="52"/>
      <c r="AX385" s="52"/>
      <c r="AY385" s="49"/>
      <c r="AZ385" s="49"/>
      <c r="BA385" s="49"/>
    </row>
    <row r="386" spans="2:53" ht="11.25" hidden="1" customHeight="1">
      <c r="B386" s="36" t="s">
        <v>405</v>
      </c>
      <c r="C386" s="52"/>
      <c r="D386" s="52"/>
      <c r="E386" s="52"/>
      <c r="F386" s="52"/>
      <c r="G386" s="2" t="s">
        <v>2012</v>
      </c>
      <c r="H386" s="2" t="s">
        <v>828</v>
      </c>
      <c r="I386" s="2" t="s">
        <v>827</v>
      </c>
      <c r="J386" s="2" t="s">
        <v>2010</v>
      </c>
      <c r="K386" s="2" t="s">
        <v>2011</v>
      </c>
      <c r="L386" s="2" t="s">
        <v>2012</v>
      </c>
      <c r="M386" s="2" t="s">
        <v>828</v>
      </c>
      <c r="N386" s="2" t="s">
        <v>827</v>
      </c>
      <c r="O386" s="2" t="s">
        <v>2010</v>
      </c>
      <c r="P386" s="2" t="s">
        <v>2011</v>
      </c>
      <c r="Q386" s="2" t="s">
        <v>2012</v>
      </c>
      <c r="R386" s="2" t="s">
        <v>828</v>
      </c>
      <c r="S386" s="2" t="s">
        <v>827</v>
      </c>
      <c r="T386" s="2" t="s">
        <v>2010</v>
      </c>
      <c r="U386" s="2" t="s">
        <v>2011</v>
      </c>
      <c r="V386" s="2" t="s">
        <v>2012</v>
      </c>
      <c r="W386" s="2" t="s">
        <v>828</v>
      </c>
      <c r="X386" s="2" t="s">
        <v>827</v>
      </c>
      <c r="Y386" s="2" t="s">
        <v>2010</v>
      </c>
      <c r="Z386" s="2" t="s">
        <v>2011</v>
      </c>
      <c r="AA386" s="2" t="s">
        <v>2012</v>
      </c>
      <c r="AB386" s="2" t="s">
        <v>828</v>
      </c>
      <c r="AC386" s="2" t="s">
        <v>827</v>
      </c>
      <c r="AD386" s="2" t="s">
        <v>2010</v>
      </c>
      <c r="AE386" s="2" t="s">
        <v>2011</v>
      </c>
      <c r="AF386" s="2" t="s">
        <v>2012</v>
      </c>
      <c r="AG386" s="2" t="s">
        <v>828</v>
      </c>
      <c r="AH386" s="2" t="s">
        <v>827</v>
      </c>
      <c r="AI386" s="2" t="s">
        <v>2010</v>
      </c>
      <c r="AJ386" s="2" t="s">
        <v>2011</v>
      </c>
      <c r="AK386" s="2" t="s">
        <v>2012</v>
      </c>
      <c r="AL386" s="2" t="s">
        <v>828</v>
      </c>
      <c r="AM386" s="2" t="s">
        <v>827</v>
      </c>
      <c r="AN386" s="2" t="s">
        <v>2010</v>
      </c>
      <c r="AO386" s="2" t="s">
        <v>2011</v>
      </c>
      <c r="AP386" s="2" t="s">
        <v>2012</v>
      </c>
      <c r="AQ386" s="2" t="s">
        <v>828</v>
      </c>
      <c r="AR386" s="2" t="s">
        <v>827</v>
      </c>
      <c r="AS386" s="2" t="s">
        <v>2010</v>
      </c>
      <c r="AT386" s="2" t="s">
        <v>2011</v>
      </c>
      <c r="AU386" s="52"/>
      <c r="AV386" s="52"/>
      <c r="AW386" s="52"/>
      <c r="AX386" s="52"/>
      <c r="AY386" s="49"/>
      <c r="AZ386" s="49"/>
      <c r="BA386" s="49"/>
    </row>
    <row r="387" spans="2:53" ht="11.25" hidden="1" customHeight="1">
      <c r="B387" s="36" t="s">
        <v>406</v>
      </c>
      <c r="C387" s="52"/>
      <c r="D387" s="52"/>
      <c r="E387" s="52"/>
      <c r="F387" s="52"/>
      <c r="G387" s="2" t="s">
        <v>2012</v>
      </c>
      <c r="H387" s="2" t="s">
        <v>828</v>
      </c>
      <c r="I387" s="2" t="s">
        <v>827</v>
      </c>
      <c r="J387" s="2" t="s">
        <v>2010</v>
      </c>
      <c r="K387" s="2" t="s">
        <v>2011</v>
      </c>
      <c r="L387" s="2" t="s">
        <v>2012</v>
      </c>
      <c r="M387" s="2" t="s">
        <v>828</v>
      </c>
      <c r="N387" s="2" t="s">
        <v>827</v>
      </c>
      <c r="O387" s="2" t="s">
        <v>2010</v>
      </c>
      <c r="P387" s="2" t="s">
        <v>2011</v>
      </c>
      <c r="Q387" s="2" t="s">
        <v>2012</v>
      </c>
      <c r="R387" s="2" t="s">
        <v>828</v>
      </c>
      <c r="S387" s="2" t="s">
        <v>827</v>
      </c>
      <c r="T387" s="2" t="s">
        <v>2010</v>
      </c>
      <c r="U387" s="2" t="s">
        <v>2011</v>
      </c>
      <c r="V387" s="2" t="s">
        <v>2012</v>
      </c>
      <c r="W387" s="2" t="s">
        <v>828</v>
      </c>
      <c r="X387" s="2" t="s">
        <v>827</v>
      </c>
      <c r="Y387" s="2" t="s">
        <v>2010</v>
      </c>
      <c r="Z387" s="2" t="s">
        <v>2011</v>
      </c>
      <c r="AA387" s="2" t="s">
        <v>2012</v>
      </c>
      <c r="AB387" s="2" t="s">
        <v>828</v>
      </c>
      <c r="AC387" s="2" t="s">
        <v>827</v>
      </c>
      <c r="AD387" s="2" t="s">
        <v>2010</v>
      </c>
      <c r="AE387" s="2" t="s">
        <v>2011</v>
      </c>
      <c r="AF387" s="2" t="s">
        <v>2012</v>
      </c>
      <c r="AG387" s="2" t="s">
        <v>828</v>
      </c>
      <c r="AH387" s="2" t="s">
        <v>827</v>
      </c>
      <c r="AI387" s="2" t="s">
        <v>2010</v>
      </c>
      <c r="AJ387" s="2" t="s">
        <v>2011</v>
      </c>
      <c r="AK387" s="2" t="s">
        <v>2012</v>
      </c>
      <c r="AL387" s="2" t="s">
        <v>828</v>
      </c>
      <c r="AM387" s="2" t="s">
        <v>827</v>
      </c>
      <c r="AN387" s="2" t="s">
        <v>2010</v>
      </c>
      <c r="AO387" s="2" t="s">
        <v>2011</v>
      </c>
      <c r="AP387" s="2" t="s">
        <v>2012</v>
      </c>
      <c r="AQ387" s="2" t="s">
        <v>828</v>
      </c>
      <c r="AR387" s="2" t="s">
        <v>827</v>
      </c>
      <c r="AS387" s="2" t="s">
        <v>2010</v>
      </c>
      <c r="AT387" s="2" t="s">
        <v>2011</v>
      </c>
      <c r="AU387" s="52"/>
      <c r="AV387" s="52"/>
      <c r="AW387" s="52"/>
      <c r="AX387" s="52"/>
      <c r="AY387" s="49"/>
      <c r="AZ387" s="49"/>
      <c r="BA387" s="49"/>
    </row>
    <row r="388" spans="2:53" ht="11.25" hidden="1" customHeight="1">
      <c r="B388" s="36" t="s">
        <v>407</v>
      </c>
      <c r="C388" s="52"/>
      <c r="D388" s="52"/>
      <c r="E388" s="52"/>
      <c r="F388" s="52"/>
      <c r="G388" s="2" t="s">
        <v>2012</v>
      </c>
      <c r="H388" s="2" t="s">
        <v>828</v>
      </c>
      <c r="I388" s="2" t="s">
        <v>827</v>
      </c>
      <c r="J388" s="2" t="s">
        <v>2010</v>
      </c>
      <c r="K388" s="2" t="s">
        <v>2011</v>
      </c>
      <c r="L388" s="2" t="s">
        <v>2012</v>
      </c>
      <c r="M388" s="2" t="s">
        <v>828</v>
      </c>
      <c r="N388" s="2" t="s">
        <v>827</v>
      </c>
      <c r="O388" s="2" t="s">
        <v>2010</v>
      </c>
      <c r="P388" s="2" t="s">
        <v>2011</v>
      </c>
      <c r="Q388" s="2" t="s">
        <v>2012</v>
      </c>
      <c r="R388" s="2" t="s">
        <v>828</v>
      </c>
      <c r="S388" s="2" t="s">
        <v>827</v>
      </c>
      <c r="T388" s="2" t="s">
        <v>2010</v>
      </c>
      <c r="U388" s="2" t="s">
        <v>2011</v>
      </c>
      <c r="V388" s="2" t="s">
        <v>2012</v>
      </c>
      <c r="W388" s="2" t="s">
        <v>828</v>
      </c>
      <c r="X388" s="2" t="s">
        <v>827</v>
      </c>
      <c r="Y388" s="2" t="s">
        <v>2010</v>
      </c>
      <c r="Z388" s="2" t="s">
        <v>2011</v>
      </c>
      <c r="AA388" s="2" t="s">
        <v>2012</v>
      </c>
      <c r="AB388" s="2" t="s">
        <v>828</v>
      </c>
      <c r="AC388" s="2" t="s">
        <v>827</v>
      </c>
      <c r="AD388" s="2" t="s">
        <v>2010</v>
      </c>
      <c r="AE388" s="2" t="s">
        <v>2011</v>
      </c>
      <c r="AF388" s="2" t="s">
        <v>2012</v>
      </c>
      <c r="AG388" s="2" t="s">
        <v>828</v>
      </c>
      <c r="AH388" s="2" t="s">
        <v>827</v>
      </c>
      <c r="AI388" s="2" t="s">
        <v>2010</v>
      </c>
      <c r="AJ388" s="2" t="s">
        <v>2011</v>
      </c>
      <c r="AK388" s="2" t="s">
        <v>2012</v>
      </c>
      <c r="AL388" s="2" t="s">
        <v>828</v>
      </c>
      <c r="AM388" s="2" t="s">
        <v>827</v>
      </c>
      <c r="AN388" s="2" t="s">
        <v>2010</v>
      </c>
      <c r="AO388" s="2" t="s">
        <v>2011</v>
      </c>
      <c r="AP388" s="2" t="s">
        <v>2012</v>
      </c>
      <c r="AQ388" s="2" t="s">
        <v>828</v>
      </c>
      <c r="AR388" s="2" t="s">
        <v>827</v>
      </c>
      <c r="AS388" s="2" t="s">
        <v>2010</v>
      </c>
      <c r="AT388" s="2" t="s">
        <v>2011</v>
      </c>
      <c r="AU388" s="52"/>
      <c r="AV388" s="52"/>
      <c r="AW388" s="52"/>
      <c r="AX388" s="52"/>
      <c r="AY388" s="49"/>
      <c r="AZ388" s="49"/>
      <c r="BA388" s="49"/>
    </row>
    <row r="389" spans="2:53" ht="11.25" hidden="1" customHeight="1">
      <c r="B389" s="36" t="s">
        <v>408</v>
      </c>
      <c r="C389" s="52"/>
      <c r="D389" s="52"/>
      <c r="E389" s="52"/>
      <c r="F389" s="52"/>
      <c r="G389" s="2" t="s">
        <v>2012</v>
      </c>
      <c r="H389" s="2" t="s">
        <v>828</v>
      </c>
      <c r="I389" s="2" t="s">
        <v>827</v>
      </c>
      <c r="J389" s="2" t="s">
        <v>2010</v>
      </c>
      <c r="K389" s="2" t="s">
        <v>2011</v>
      </c>
      <c r="L389" s="2" t="s">
        <v>2012</v>
      </c>
      <c r="M389" s="2" t="s">
        <v>828</v>
      </c>
      <c r="N389" s="2" t="s">
        <v>827</v>
      </c>
      <c r="O389" s="2" t="s">
        <v>2010</v>
      </c>
      <c r="P389" s="2" t="s">
        <v>2011</v>
      </c>
      <c r="Q389" s="2" t="s">
        <v>2012</v>
      </c>
      <c r="R389" s="2" t="s">
        <v>828</v>
      </c>
      <c r="S389" s="2" t="s">
        <v>827</v>
      </c>
      <c r="T389" s="2" t="s">
        <v>2010</v>
      </c>
      <c r="U389" s="2" t="s">
        <v>2011</v>
      </c>
      <c r="V389" s="2" t="s">
        <v>2012</v>
      </c>
      <c r="W389" s="2" t="s">
        <v>828</v>
      </c>
      <c r="X389" s="2" t="s">
        <v>827</v>
      </c>
      <c r="Y389" s="2" t="s">
        <v>2010</v>
      </c>
      <c r="Z389" s="2" t="s">
        <v>2011</v>
      </c>
      <c r="AA389" s="2" t="s">
        <v>2012</v>
      </c>
      <c r="AB389" s="2" t="s">
        <v>828</v>
      </c>
      <c r="AC389" s="2" t="s">
        <v>827</v>
      </c>
      <c r="AD389" s="2" t="s">
        <v>2010</v>
      </c>
      <c r="AE389" s="2" t="s">
        <v>2011</v>
      </c>
      <c r="AF389" s="2" t="s">
        <v>2012</v>
      </c>
      <c r="AG389" s="2" t="s">
        <v>828</v>
      </c>
      <c r="AH389" s="2" t="s">
        <v>827</v>
      </c>
      <c r="AI389" s="2" t="s">
        <v>2010</v>
      </c>
      <c r="AJ389" s="2" t="s">
        <v>2011</v>
      </c>
      <c r="AK389" s="2" t="s">
        <v>2012</v>
      </c>
      <c r="AL389" s="2" t="s">
        <v>828</v>
      </c>
      <c r="AM389" s="2" t="s">
        <v>827</v>
      </c>
      <c r="AN389" s="2" t="s">
        <v>2010</v>
      </c>
      <c r="AO389" s="2" t="s">
        <v>2011</v>
      </c>
      <c r="AP389" s="2" t="s">
        <v>2012</v>
      </c>
      <c r="AQ389" s="2" t="s">
        <v>828</v>
      </c>
      <c r="AR389" s="2" t="s">
        <v>827</v>
      </c>
      <c r="AS389" s="2" t="s">
        <v>2010</v>
      </c>
      <c r="AT389" s="2" t="s">
        <v>2011</v>
      </c>
      <c r="AU389" s="52"/>
      <c r="AV389" s="52"/>
      <c r="AW389" s="52"/>
      <c r="AX389" s="52"/>
      <c r="AY389" s="49"/>
      <c r="AZ389" s="49"/>
      <c r="BA389" s="49"/>
    </row>
    <row r="390" spans="2:53" ht="11.25" hidden="1" customHeight="1">
      <c r="B390" s="36" t="s">
        <v>409</v>
      </c>
      <c r="C390" s="52"/>
      <c r="D390" s="52"/>
      <c r="E390" s="52"/>
      <c r="F390" s="52"/>
      <c r="G390" s="2" t="s">
        <v>2012</v>
      </c>
      <c r="H390" s="2" t="s">
        <v>828</v>
      </c>
      <c r="I390" s="2" t="s">
        <v>827</v>
      </c>
      <c r="J390" s="2" t="s">
        <v>2010</v>
      </c>
      <c r="K390" s="2" t="s">
        <v>2011</v>
      </c>
      <c r="L390" s="2" t="s">
        <v>2012</v>
      </c>
      <c r="M390" s="2" t="s">
        <v>828</v>
      </c>
      <c r="N390" s="2" t="s">
        <v>827</v>
      </c>
      <c r="O390" s="2" t="s">
        <v>2010</v>
      </c>
      <c r="P390" s="2" t="s">
        <v>2011</v>
      </c>
      <c r="Q390" s="2" t="s">
        <v>2012</v>
      </c>
      <c r="R390" s="2" t="s">
        <v>828</v>
      </c>
      <c r="S390" s="2" t="s">
        <v>827</v>
      </c>
      <c r="T390" s="2" t="s">
        <v>2010</v>
      </c>
      <c r="U390" s="2" t="s">
        <v>2011</v>
      </c>
      <c r="V390" s="2" t="s">
        <v>2012</v>
      </c>
      <c r="W390" s="2" t="s">
        <v>828</v>
      </c>
      <c r="X390" s="2" t="s">
        <v>827</v>
      </c>
      <c r="Y390" s="2" t="s">
        <v>2010</v>
      </c>
      <c r="Z390" s="2" t="s">
        <v>2011</v>
      </c>
      <c r="AA390" s="2" t="s">
        <v>2012</v>
      </c>
      <c r="AB390" s="2" t="s">
        <v>828</v>
      </c>
      <c r="AC390" s="2" t="s">
        <v>827</v>
      </c>
      <c r="AD390" s="2" t="s">
        <v>2010</v>
      </c>
      <c r="AE390" s="2" t="s">
        <v>2011</v>
      </c>
      <c r="AF390" s="2" t="s">
        <v>2012</v>
      </c>
      <c r="AG390" s="2" t="s">
        <v>828</v>
      </c>
      <c r="AH390" s="2" t="s">
        <v>827</v>
      </c>
      <c r="AI390" s="2" t="s">
        <v>2010</v>
      </c>
      <c r="AJ390" s="2" t="s">
        <v>2011</v>
      </c>
      <c r="AK390" s="2" t="s">
        <v>2012</v>
      </c>
      <c r="AL390" s="2" t="s">
        <v>828</v>
      </c>
      <c r="AM390" s="2" t="s">
        <v>827</v>
      </c>
      <c r="AN390" s="2" t="s">
        <v>2010</v>
      </c>
      <c r="AO390" s="2" t="s">
        <v>2011</v>
      </c>
      <c r="AP390" s="2" t="s">
        <v>2012</v>
      </c>
      <c r="AQ390" s="2" t="s">
        <v>828</v>
      </c>
      <c r="AR390" s="2" t="s">
        <v>827</v>
      </c>
      <c r="AS390" s="2" t="s">
        <v>2010</v>
      </c>
      <c r="AT390" s="2" t="s">
        <v>2011</v>
      </c>
      <c r="AU390" s="52"/>
      <c r="AV390" s="52"/>
      <c r="AW390" s="52"/>
      <c r="AX390" s="52"/>
      <c r="AY390" s="49"/>
      <c r="AZ390" s="49"/>
      <c r="BA390" s="49"/>
    </row>
    <row r="391" spans="2:53" ht="11.25" hidden="1" customHeight="1">
      <c r="B391" s="36" t="s">
        <v>410</v>
      </c>
      <c r="C391" s="52"/>
      <c r="D391" s="52"/>
      <c r="E391" s="52"/>
      <c r="F391" s="52"/>
      <c r="G391" s="2" t="s">
        <v>2012</v>
      </c>
      <c r="H391" s="2" t="s">
        <v>828</v>
      </c>
      <c r="I391" s="2" t="s">
        <v>827</v>
      </c>
      <c r="J391" s="2" t="s">
        <v>2010</v>
      </c>
      <c r="K391" s="2" t="s">
        <v>2011</v>
      </c>
      <c r="L391" s="2" t="s">
        <v>2012</v>
      </c>
      <c r="M391" s="2" t="s">
        <v>828</v>
      </c>
      <c r="N391" s="2" t="s">
        <v>827</v>
      </c>
      <c r="O391" s="2" t="s">
        <v>2010</v>
      </c>
      <c r="P391" s="2" t="s">
        <v>2011</v>
      </c>
      <c r="Q391" s="2" t="s">
        <v>2012</v>
      </c>
      <c r="R391" s="2" t="s">
        <v>828</v>
      </c>
      <c r="S391" s="2" t="s">
        <v>827</v>
      </c>
      <c r="T391" s="2" t="s">
        <v>2010</v>
      </c>
      <c r="U391" s="2" t="s">
        <v>2011</v>
      </c>
      <c r="V391" s="2" t="s">
        <v>2012</v>
      </c>
      <c r="W391" s="2" t="s">
        <v>828</v>
      </c>
      <c r="X391" s="2" t="s">
        <v>827</v>
      </c>
      <c r="Y391" s="2" t="s">
        <v>2010</v>
      </c>
      <c r="Z391" s="2" t="s">
        <v>2011</v>
      </c>
      <c r="AA391" s="2" t="s">
        <v>2012</v>
      </c>
      <c r="AB391" s="2" t="s">
        <v>828</v>
      </c>
      <c r="AC391" s="2" t="s">
        <v>827</v>
      </c>
      <c r="AD391" s="2" t="s">
        <v>2010</v>
      </c>
      <c r="AE391" s="2" t="s">
        <v>2011</v>
      </c>
      <c r="AF391" s="2" t="s">
        <v>2012</v>
      </c>
      <c r="AG391" s="2" t="s">
        <v>828</v>
      </c>
      <c r="AH391" s="2" t="s">
        <v>827</v>
      </c>
      <c r="AI391" s="2" t="s">
        <v>2010</v>
      </c>
      <c r="AJ391" s="2" t="s">
        <v>2011</v>
      </c>
      <c r="AK391" s="2" t="s">
        <v>2012</v>
      </c>
      <c r="AL391" s="2" t="s">
        <v>828</v>
      </c>
      <c r="AM391" s="2" t="s">
        <v>827</v>
      </c>
      <c r="AN391" s="2" t="s">
        <v>2010</v>
      </c>
      <c r="AO391" s="2" t="s">
        <v>2011</v>
      </c>
      <c r="AP391" s="2" t="s">
        <v>2012</v>
      </c>
      <c r="AQ391" s="2" t="s">
        <v>828</v>
      </c>
      <c r="AR391" s="2" t="s">
        <v>827</v>
      </c>
      <c r="AS391" s="2" t="s">
        <v>2010</v>
      </c>
      <c r="AT391" s="2" t="s">
        <v>2011</v>
      </c>
      <c r="AU391" s="52"/>
      <c r="AV391" s="52"/>
      <c r="AW391" s="52"/>
      <c r="AX391" s="52"/>
      <c r="AY391" s="49"/>
      <c r="AZ391" s="49"/>
      <c r="BA391" s="49"/>
    </row>
    <row r="392" spans="2:53" ht="11.25" hidden="1" customHeight="1">
      <c r="B392" s="36" t="s">
        <v>411</v>
      </c>
      <c r="C392" s="52"/>
      <c r="D392" s="52"/>
      <c r="E392" s="52"/>
      <c r="F392" s="52"/>
      <c r="G392" s="2" t="s">
        <v>2012</v>
      </c>
      <c r="H392" s="2" t="s">
        <v>828</v>
      </c>
      <c r="I392" s="2" t="s">
        <v>827</v>
      </c>
      <c r="J392" s="2" t="s">
        <v>2010</v>
      </c>
      <c r="K392" s="2" t="s">
        <v>2011</v>
      </c>
      <c r="L392" s="2" t="s">
        <v>2012</v>
      </c>
      <c r="M392" s="2" t="s">
        <v>828</v>
      </c>
      <c r="N392" s="2" t="s">
        <v>827</v>
      </c>
      <c r="O392" s="2" t="s">
        <v>2010</v>
      </c>
      <c r="P392" s="2" t="s">
        <v>2011</v>
      </c>
      <c r="Q392" s="2" t="s">
        <v>2012</v>
      </c>
      <c r="R392" s="2" t="s">
        <v>828</v>
      </c>
      <c r="S392" s="2" t="s">
        <v>827</v>
      </c>
      <c r="T392" s="2" t="s">
        <v>2010</v>
      </c>
      <c r="U392" s="2" t="s">
        <v>2011</v>
      </c>
      <c r="V392" s="2" t="s">
        <v>2012</v>
      </c>
      <c r="W392" s="2" t="s">
        <v>828</v>
      </c>
      <c r="X392" s="2" t="s">
        <v>827</v>
      </c>
      <c r="Y392" s="2" t="s">
        <v>2010</v>
      </c>
      <c r="Z392" s="2" t="s">
        <v>2011</v>
      </c>
      <c r="AA392" s="2" t="s">
        <v>2012</v>
      </c>
      <c r="AB392" s="2" t="s">
        <v>828</v>
      </c>
      <c r="AC392" s="2" t="s">
        <v>827</v>
      </c>
      <c r="AD392" s="2" t="s">
        <v>2010</v>
      </c>
      <c r="AE392" s="2" t="s">
        <v>2011</v>
      </c>
      <c r="AF392" s="2" t="s">
        <v>2012</v>
      </c>
      <c r="AG392" s="2" t="s">
        <v>828</v>
      </c>
      <c r="AH392" s="2" t="s">
        <v>827</v>
      </c>
      <c r="AI392" s="2" t="s">
        <v>2010</v>
      </c>
      <c r="AJ392" s="2" t="s">
        <v>2011</v>
      </c>
      <c r="AK392" s="2" t="s">
        <v>2012</v>
      </c>
      <c r="AL392" s="2" t="s">
        <v>828</v>
      </c>
      <c r="AM392" s="2" t="s">
        <v>827</v>
      </c>
      <c r="AN392" s="2" t="s">
        <v>2010</v>
      </c>
      <c r="AO392" s="2" t="s">
        <v>2011</v>
      </c>
      <c r="AP392" s="2" t="s">
        <v>2012</v>
      </c>
      <c r="AQ392" s="2" t="s">
        <v>828</v>
      </c>
      <c r="AR392" s="2" t="s">
        <v>827</v>
      </c>
      <c r="AS392" s="2" t="s">
        <v>2010</v>
      </c>
      <c r="AT392" s="2" t="s">
        <v>2011</v>
      </c>
      <c r="AU392" s="52"/>
      <c r="AV392" s="52"/>
      <c r="AW392" s="52"/>
      <c r="AX392" s="52"/>
      <c r="AY392" s="49"/>
      <c r="AZ392" s="49"/>
      <c r="BA392" s="49"/>
    </row>
    <row r="393" spans="2:53" ht="11.25" hidden="1" customHeight="1">
      <c r="B393" s="36" t="s">
        <v>412</v>
      </c>
      <c r="C393" s="52"/>
      <c r="D393" s="52"/>
      <c r="E393" s="52"/>
      <c r="F393" s="52"/>
      <c r="G393" s="2" t="s">
        <v>2012</v>
      </c>
      <c r="H393" s="2" t="s">
        <v>828</v>
      </c>
      <c r="I393" s="2" t="s">
        <v>827</v>
      </c>
      <c r="J393" s="2" t="s">
        <v>2010</v>
      </c>
      <c r="K393" s="2" t="s">
        <v>2011</v>
      </c>
      <c r="L393" s="2" t="s">
        <v>2012</v>
      </c>
      <c r="M393" s="2" t="s">
        <v>828</v>
      </c>
      <c r="N393" s="2" t="s">
        <v>827</v>
      </c>
      <c r="O393" s="2" t="s">
        <v>2010</v>
      </c>
      <c r="P393" s="2" t="s">
        <v>2011</v>
      </c>
      <c r="Q393" s="2" t="s">
        <v>2012</v>
      </c>
      <c r="R393" s="2" t="s">
        <v>828</v>
      </c>
      <c r="S393" s="2" t="s">
        <v>827</v>
      </c>
      <c r="T393" s="2" t="s">
        <v>2010</v>
      </c>
      <c r="U393" s="2" t="s">
        <v>2011</v>
      </c>
      <c r="V393" s="2" t="s">
        <v>2012</v>
      </c>
      <c r="W393" s="2" t="s">
        <v>828</v>
      </c>
      <c r="X393" s="2" t="s">
        <v>827</v>
      </c>
      <c r="Y393" s="2" t="s">
        <v>2010</v>
      </c>
      <c r="Z393" s="2" t="s">
        <v>2011</v>
      </c>
      <c r="AA393" s="2" t="s">
        <v>2012</v>
      </c>
      <c r="AB393" s="2" t="s">
        <v>828</v>
      </c>
      <c r="AC393" s="2" t="s">
        <v>827</v>
      </c>
      <c r="AD393" s="2" t="s">
        <v>2010</v>
      </c>
      <c r="AE393" s="2" t="s">
        <v>2011</v>
      </c>
      <c r="AF393" s="2" t="s">
        <v>2012</v>
      </c>
      <c r="AG393" s="2" t="s">
        <v>828</v>
      </c>
      <c r="AH393" s="2" t="s">
        <v>827</v>
      </c>
      <c r="AI393" s="2" t="s">
        <v>2010</v>
      </c>
      <c r="AJ393" s="2" t="s">
        <v>2011</v>
      </c>
      <c r="AK393" s="2" t="s">
        <v>2012</v>
      </c>
      <c r="AL393" s="2" t="s">
        <v>828</v>
      </c>
      <c r="AM393" s="2" t="s">
        <v>827</v>
      </c>
      <c r="AN393" s="2" t="s">
        <v>2010</v>
      </c>
      <c r="AO393" s="2" t="s">
        <v>2011</v>
      </c>
      <c r="AP393" s="2" t="s">
        <v>2012</v>
      </c>
      <c r="AQ393" s="2" t="s">
        <v>828</v>
      </c>
      <c r="AR393" s="2" t="s">
        <v>827</v>
      </c>
      <c r="AS393" s="2" t="s">
        <v>2010</v>
      </c>
      <c r="AT393" s="2" t="s">
        <v>2011</v>
      </c>
      <c r="AU393" s="52"/>
      <c r="AV393" s="52"/>
      <c r="AW393" s="52"/>
      <c r="AX393" s="52"/>
      <c r="AY393" s="49"/>
      <c r="AZ393" s="49"/>
      <c r="BA393" s="49"/>
    </row>
    <row r="394" spans="2:53" ht="11.25" hidden="1" customHeight="1">
      <c r="B394" s="36" t="s">
        <v>413</v>
      </c>
      <c r="C394" s="52"/>
      <c r="D394" s="52"/>
      <c r="E394" s="52"/>
      <c r="F394" s="52"/>
      <c r="G394" s="2" t="s">
        <v>2012</v>
      </c>
      <c r="H394" s="2" t="s">
        <v>828</v>
      </c>
      <c r="I394" s="2" t="s">
        <v>827</v>
      </c>
      <c r="J394" s="2" t="s">
        <v>2010</v>
      </c>
      <c r="K394" s="2" t="s">
        <v>2011</v>
      </c>
      <c r="L394" s="2" t="s">
        <v>2012</v>
      </c>
      <c r="M394" s="2" t="s">
        <v>828</v>
      </c>
      <c r="N394" s="2" t="s">
        <v>827</v>
      </c>
      <c r="O394" s="2" t="s">
        <v>2010</v>
      </c>
      <c r="P394" s="2" t="s">
        <v>2011</v>
      </c>
      <c r="Q394" s="2" t="s">
        <v>2012</v>
      </c>
      <c r="R394" s="2" t="s">
        <v>828</v>
      </c>
      <c r="S394" s="2" t="s">
        <v>827</v>
      </c>
      <c r="T394" s="2" t="s">
        <v>2010</v>
      </c>
      <c r="U394" s="2" t="s">
        <v>2011</v>
      </c>
      <c r="V394" s="2" t="s">
        <v>2012</v>
      </c>
      <c r="W394" s="2" t="s">
        <v>828</v>
      </c>
      <c r="X394" s="2" t="s">
        <v>827</v>
      </c>
      <c r="Y394" s="2" t="s">
        <v>2010</v>
      </c>
      <c r="Z394" s="2" t="s">
        <v>2011</v>
      </c>
      <c r="AA394" s="2" t="s">
        <v>2012</v>
      </c>
      <c r="AB394" s="2" t="s">
        <v>828</v>
      </c>
      <c r="AC394" s="2" t="s">
        <v>827</v>
      </c>
      <c r="AD394" s="2" t="s">
        <v>2010</v>
      </c>
      <c r="AE394" s="2" t="s">
        <v>2011</v>
      </c>
      <c r="AF394" s="2" t="s">
        <v>2012</v>
      </c>
      <c r="AG394" s="2" t="s">
        <v>828</v>
      </c>
      <c r="AH394" s="2" t="s">
        <v>827</v>
      </c>
      <c r="AI394" s="2" t="s">
        <v>2010</v>
      </c>
      <c r="AJ394" s="2" t="s">
        <v>2011</v>
      </c>
      <c r="AK394" s="2" t="s">
        <v>2012</v>
      </c>
      <c r="AL394" s="2" t="s">
        <v>828</v>
      </c>
      <c r="AM394" s="2" t="s">
        <v>827</v>
      </c>
      <c r="AN394" s="2" t="s">
        <v>2010</v>
      </c>
      <c r="AO394" s="2" t="s">
        <v>2011</v>
      </c>
      <c r="AP394" s="2" t="s">
        <v>2012</v>
      </c>
      <c r="AQ394" s="2" t="s">
        <v>828</v>
      </c>
      <c r="AR394" s="2" t="s">
        <v>827</v>
      </c>
      <c r="AS394" s="2" t="s">
        <v>2010</v>
      </c>
      <c r="AT394" s="2" t="s">
        <v>2011</v>
      </c>
      <c r="AU394" s="52"/>
      <c r="AV394" s="52"/>
      <c r="AW394" s="52"/>
      <c r="AX394" s="52"/>
      <c r="AY394" s="49"/>
      <c r="AZ394" s="49"/>
      <c r="BA394" s="49"/>
    </row>
    <row r="395" spans="2:53" ht="11.25" hidden="1" customHeight="1">
      <c r="B395" s="36" t="s">
        <v>414</v>
      </c>
      <c r="C395" s="52"/>
      <c r="D395" s="52"/>
      <c r="E395" s="52"/>
      <c r="F395" s="52"/>
      <c r="G395" s="2" t="s">
        <v>2012</v>
      </c>
      <c r="H395" s="2" t="s">
        <v>828</v>
      </c>
      <c r="I395" s="2" t="s">
        <v>827</v>
      </c>
      <c r="J395" s="2" t="s">
        <v>2010</v>
      </c>
      <c r="K395" s="2" t="s">
        <v>2011</v>
      </c>
      <c r="L395" s="2" t="s">
        <v>2012</v>
      </c>
      <c r="M395" s="2" t="s">
        <v>828</v>
      </c>
      <c r="N395" s="2" t="s">
        <v>827</v>
      </c>
      <c r="O395" s="2" t="s">
        <v>2010</v>
      </c>
      <c r="P395" s="2" t="s">
        <v>2011</v>
      </c>
      <c r="Q395" s="2" t="s">
        <v>2012</v>
      </c>
      <c r="R395" s="2" t="s">
        <v>828</v>
      </c>
      <c r="S395" s="2" t="s">
        <v>827</v>
      </c>
      <c r="T395" s="2" t="s">
        <v>2010</v>
      </c>
      <c r="U395" s="2" t="s">
        <v>2011</v>
      </c>
      <c r="V395" s="2" t="s">
        <v>2012</v>
      </c>
      <c r="W395" s="2" t="s">
        <v>828</v>
      </c>
      <c r="X395" s="2" t="s">
        <v>827</v>
      </c>
      <c r="Y395" s="2" t="s">
        <v>2010</v>
      </c>
      <c r="Z395" s="2" t="s">
        <v>2011</v>
      </c>
      <c r="AA395" s="2" t="s">
        <v>2012</v>
      </c>
      <c r="AB395" s="2" t="s">
        <v>828</v>
      </c>
      <c r="AC395" s="2" t="s">
        <v>827</v>
      </c>
      <c r="AD395" s="2" t="s">
        <v>2010</v>
      </c>
      <c r="AE395" s="2" t="s">
        <v>2011</v>
      </c>
      <c r="AF395" s="2" t="s">
        <v>2012</v>
      </c>
      <c r="AG395" s="2" t="s">
        <v>828</v>
      </c>
      <c r="AH395" s="2" t="s">
        <v>827</v>
      </c>
      <c r="AI395" s="2" t="s">
        <v>2010</v>
      </c>
      <c r="AJ395" s="2" t="s">
        <v>2011</v>
      </c>
      <c r="AK395" s="2" t="s">
        <v>2012</v>
      </c>
      <c r="AL395" s="2" t="s">
        <v>828</v>
      </c>
      <c r="AM395" s="2" t="s">
        <v>827</v>
      </c>
      <c r="AN395" s="2" t="s">
        <v>2010</v>
      </c>
      <c r="AO395" s="2" t="s">
        <v>2011</v>
      </c>
      <c r="AP395" s="2" t="s">
        <v>2012</v>
      </c>
      <c r="AQ395" s="2" t="s">
        <v>828</v>
      </c>
      <c r="AR395" s="2" t="s">
        <v>827</v>
      </c>
      <c r="AS395" s="2" t="s">
        <v>2010</v>
      </c>
      <c r="AT395" s="2" t="s">
        <v>2011</v>
      </c>
      <c r="AU395" s="52"/>
      <c r="AV395" s="52"/>
      <c r="AW395" s="52"/>
      <c r="AX395" s="52"/>
      <c r="AY395" s="49"/>
      <c r="AZ395" s="49"/>
      <c r="BA395" s="49"/>
    </row>
    <row r="396" spans="2:53" ht="11.25" hidden="1" customHeight="1">
      <c r="B396" s="36" t="s">
        <v>1214</v>
      </c>
      <c r="C396" s="52"/>
      <c r="D396" s="52"/>
      <c r="E396" s="52"/>
      <c r="F396" s="52"/>
      <c r="G396" s="2" t="s">
        <v>2012</v>
      </c>
      <c r="H396" s="2" t="s">
        <v>828</v>
      </c>
      <c r="I396" s="2" t="s">
        <v>827</v>
      </c>
      <c r="J396" s="2" t="s">
        <v>2010</v>
      </c>
      <c r="K396" s="2" t="s">
        <v>2011</v>
      </c>
      <c r="L396" s="2" t="s">
        <v>2012</v>
      </c>
      <c r="M396" s="2" t="s">
        <v>828</v>
      </c>
      <c r="N396" s="2" t="s">
        <v>827</v>
      </c>
      <c r="O396" s="2" t="s">
        <v>2010</v>
      </c>
      <c r="P396" s="2" t="s">
        <v>2011</v>
      </c>
      <c r="Q396" s="2" t="s">
        <v>2012</v>
      </c>
      <c r="R396" s="2" t="s">
        <v>828</v>
      </c>
      <c r="S396" s="2" t="s">
        <v>827</v>
      </c>
      <c r="T396" s="2" t="s">
        <v>2010</v>
      </c>
      <c r="U396" s="2" t="s">
        <v>2011</v>
      </c>
      <c r="V396" s="2" t="s">
        <v>2012</v>
      </c>
      <c r="W396" s="2" t="s">
        <v>828</v>
      </c>
      <c r="X396" s="2" t="s">
        <v>827</v>
      </c>
      <c r="Y396" s="2" t="s">
        <v>2010</v>
      </c>
      <c r="Z396" s="2" t="s">
        <v>2011</v>
      </c>
      <c r="AA396" s="2" t="s">
        <v>2012</v>
      </c>
      <c r="AB396" s="2" t="s">
        <v>828</v>
      </c>
      <c r="AC396" s="2" t="s">
        <v>827</v>
      </c>
      <c r="AD396" s="2" t="s">
        <v>2010</v>
      </c>
      <c r="AE396" s="2" t="s">
        <v>2011</v>
      </c>
      <c r="AF396" s="2" t="s">
        <v>2012</v>
      </c>
      <c r="AG396" s="2" t="s">
        <v>828</v>
      </c>
      <c r="AH396" s="2" t="s">
        <v>827</v>
      </c>
      <c r="AI396" s="2" t="s">
        <v>2010</v>
      </c>
      <c r="AJ396" s="2" t="s">
        <v>2011</v>
      </c>
      <c r="AK396" s="2" t="s">
        <v>2012</v>
      </c>
      <c r="AL396" s="2" t="s">
        <v>828</v>
      </c>
      <c r="AM396" s="2" t="s">
        <v>827</v>
      </c>
      <c r="AN396" s="2" t="s">
        <v>2010</v>
      </c>
      <c r="AO396" s="2" t="s">
        <v>2011</v>
      </c>
      <c r="AP396" s="2" t="s">
        <v>2012</v>
      </c>
      <c r="AQ396" s="2" t="s">
        <v>828</v>
      </c>
      <c r="AR396" s="2" t="s">
        <v>827</v>
      </c>
      <c r="AS396" s="2" t="s">
        <v>2010</v>
      </c>
      <c r="AT396" s="2" t="s">
        <v>2011</v>
      </c>
      <c r="AU396" s="52"/>
      <c r="AV396" s="52"/>
      <c r="AW396" s="52"/>
      <c r="AX396" s="52"/>
      <c r="AY396" s="49"/>
      <c r="AZ396" s="49"/>
      <c r="BA396" s="49"/>
    </row>
    <row r="397" spans="2:53" ht="11.25" hidden="1" customHeight="1">
      <c r="B397" s="36" t="s">
        <v>1263</v>
      </c>
      <c r="C397" s="52"/>
      <c r="D397" s="52"/>
      <c r="E397" s="52"/>
      <c r="F397" s="52"/>
      <c r="G397" s="2" t="s">
        <v>2012</v>
      </c>
      <c r="H397" s="2" t="s">
        <v>828</v>
      </c>
      <c r="I397" s="2" t="s">
        <v>827</v>
      </c>
      <c r="J397" s="2" t="s">
        <v>2010</v>
      </c>
      <c r="K397" s="2" t="s">
        <v>2011</v>
      </c>
      <c r="L397" s="2" t="s">
        <v>2012</v>
      </c>
      <c r="M397" s="2" t="s">
        <v>828</v>
      </c>
      <c r="N397" s="2" t="s">
        <v>827</v>
      </c>
      <c r="O397" s="2" t="s">
        <v>2010</v>
      </c>
      <c r="P397" s="2" t="s">
        <v>2011</v>
      </c>
      <c r="Q397" s="2" t="s">
        <v>2012</v>
      </c>
      <c r="R397" s="2" t="s">
        <v>828</v>
      </c>
      <c r="S397" s="2" t="s">
        <v>827</v>
      </c>
      <c r="T397" s="2" t="s">
        <v>2010</v>
      </c>
      <c r="U397" s="2" t="s">
        <v>2011</v>
      </c>
      <c r="V397" s="2" t="s">
        <v>2012</v>
      </c>
      <c r="W397" s="2" t="s">
        <v>828</v>
      </c>
      <c r="X397" s="2" t="s">
        <v>827</v>
      </c>
      <c r="Y397" s="2" t="s">
        <v>2010</v>
      </c>
      <c r="Z397" s="2" t="s">
        <v>2011</v>
      </c>
      <c r="AA397" s="2" t="s">
        <v>2012</v>
      </c>
      <c r="AB397" s="2" t="s">
        <v>828</v>
      </c>
      <c r="AC397" s="2" t="s">
        <v>827</v>
      </c>
      <c r="AD397" s="2" t="s">
        <v>2010</v>
      </c>
      <c r="AE397" s="2" t="s">
        <v>2011</v>
      </c>
      <c r="AF397" s="2" t="s">
        <v>2012</v>
      </c>
      <c r="AG397" s="2" t="s">
        <v>828</v>
      </c>
      <c r="AH397" s="2" t="s">
        <v>827</v>
      </c>
      <c r="AI397" s="2" t="s">
        <v>2010</v>
      </c>
      <c r="AJ397" s="2" t="s">
        <v>2011</v>
      </c>
      <c r="AK397" s="2" t="s">
        <v>2012</v>
      </c>
      <c r="AL397" s="2" t="s">
        <v>828</v>
      </c>
      <c r="AM397" s="2" t="s">
        <v>827</v>
      </c>
      <c r="AN397" s="2" t="s">
        <v>2010</v>
      </c>
      <c r="AO397" s="2" t="s">
        <v>2011</v>
      </c>
      <c r="AP397" s="2" t="s">
        <v>2012</v>
      </c>
      <c r="AQ397" s="2" t="s">
        <v>828</v>
      </c>
      <c r="AR397" s="2" t="s">
        <v>827</v>
      </c>
      <c r="AS397" s="2" t="s">
        <v>2010</v>
      </c>
      <c r="AT397" s="2" t="s">
        <v>2011</v>
      </c>
      <c r="AU397" s="52"/>
      <c r="AV397" s="52"/>
      <c r="AW397" s="52"/>
      <c r="AX397" s="52"/>
      <c r="AY397" s="49"/>
      <c r="AZ397" s="49"/>
      <c r="BA397" s="49"/>
    </row>
    <row r="398" spans="2:53" ht="11.25" hidden="1" customHeight="1">
      <c r="B398" s="36" t="s">
        <v>1312</v>
      </c>
      <c r="C398" s="52"/>
      <c r="D398" s="52"/>
      <c r="E398" s="52"/>
      <c r="F398" s="52"/>
      <c r="G398" s="2" t="s">
        <v>2012</v>
      </c>
      <c r="H398" s="2" t="s">
        <v>828</v>
      </c>
      <c r="I398" s="2" t="s">
        <v>827</v>
      </c>
      <c r="J398" s="2" t="s">
        <v>2010</v>
      </c>
      <c r="K398" s="2" t="s">
        <v>2011</v>
      </c>
      <c r="L398" s="2" t="s">
        <v>2012</v>
      </c>
      <c r="M398" s="2" t="s">
        <v>828</v>
      </c>
      <c r="N398" s="2" t="s">
        <v>827</v>
      </c>
      <c r="O398" s="2" t="s">
        <v>2010</v>
      </c>
      <c r="P398" s="2" t="s">
        <v>2011</v>
      </c>
      <c r="Q398" s="2" t="s">
        <v>2012</v>
      </c>
      <c r="R398" s="2" t="s">
        <v>828</v>
      </c>
      <c r="S398" s="2" t="s">
        <v>827</v>
      </c>
      <c r="T398" s="2" t="s">
        <v>2010</v>
      </c>
      <c r="U398" s="2" t="s">
        <v>2011</v>
      </c>
      <c r="V398" s="2" t="s">
        <v>2012</v>
      </c>
      <c r="W398" s="2" t="s">
        <v>828</v>
      </c>
      <c r="X398" s="2" t="s">
        <v>827</v>
      </c>
      <c r="Y398" s="2" t="s">
        <v>2010</v>
      </c>
      <c r="Z398" s="2" t="s">
        <v>2011</v>
      </c>
      <c r="AA398" s="2" t="s">
        <v>2012</v>
      </c>
      <c r="AB398" s="2" t="s">
        <v>828</v>
      </c>
      <c r="AC398" s="2" t="s">
        <v>827</v>
      </c>
      <c r="AD398" s="2" t="s">
        <v>2010</v>
      </c>
      <c r="AE398" s="2" t="s">
        <v>2011</v>
      </c>
      <c r="AF398" s="2" t="s">
        <v>2012</v>
      </c>
      <c r="AG398" s="2" t="s">
        <v>828</v>
      </c>
      <c r="AH398" s="2" t="s">
        <v>827</v>
      </c>
      <c r="AI398" s="2" t="s">
        <v>2010</v>
      </c>
      <c r="AJ398" s="2" t="s">
        <v>2011</v>
      </c>
      <c r="AK398" s="2" t="s">
        <v>2012</v>
      </c>
      <c r="AL398" s="2" t="s">
        <v>828</v>
      </c>
      <c r="AM398" s="2" t="s">
        <v>827</v>
      </c>
      <c r="AN398" s="2" t="s">
        <v>2010</v>
      </c>
      <c r="AO398" s="2" t="s">
        <v>2011</v>
      </c>
      <c r="AP398" s="2" t="s">
        <v>2012</v>
      </c>
      <c r="AQ398" s="2" t="s">
        <v>828</v>
      </c>
      <c r="AR398" s="2" t="s">
        <v>827</v>
      </c>
      <c r="AS398" s="2" t="s">
        <v>2010</v>
      </c>
      <c r="AT398" s="2" t="s">
        <v>2011</v>
      </c>
      <c r="AU398" s="52"/>
      <c r="AV398" s="52"/>
      <c r="AW398" s="52"/>
      <c r="AX398" s="52"/>
      <c r="AY398" s="49"/>
      <c r="AZ398" s="49"/>
      <c r="BA398" s="49"/>
    </row>
    <row r="399" spans="2:53" ht="11.25" hidden="1" customHeight="1">
      <c r="B399" s="36" t="s">
        <v>1361</v>
      </c>
      <c r="C399" s="52"/>
      <c r="D399" s="52"/>
      <c r="E399" s="52"/>
      <c r="F399" s="52"/>
      <c r="G399" s="2" t="s">
        <v>2012</v>
      </c>
      <c r="H399" s="2" t="s">
        <v>828</v>
      </c>
      <c r="I399" s="2" t="s">
        <v>827</v>
      </c>
      <c r="J399" s="2" t="s">
        <v>2010</v>
      </c>
      <c r="K399" s="2" t="s">
        <v>2011</v>
      </c>
      <c r="L399" s="2" t="s">
        <v>2012</v>
      </c>
      <c r="M399" s="2" t="s">
        <v>828</v>
      </c>
      <c r="N399" s="2" t="s">
        <v>827</v>
      </c>
      <c r="O399" s="2" t="s">
        <v>2010</v>
      </c>
      <c r="P399" s="2" t="s">
        <v>2011</v>
      </c>
      <c r="Q399" s="2" t="s">
        <v>2012</v>
      </c>
      <c r="R399" s="2" t="s">
        <v>828</v>
      </c>
      <c r="S399" s="2" t="s">
        <v>827</v>
      </c>
      <c r="T399" s="2" t="s">
        <v>2010</v>
      </c>
      <c r="U399" s="2" t="s">
        <v>2011</v>
      </c>
      <c r="V399" s="2" t="s">
        <v>2012</v>
      </c>
      <c r="W399" s="2" t="s">
        <v>828</v>
      </c>
      <c r="X399" s="2" t="s">
        <v>827</v>
      </c>
      <c r="Y399" s="2" t="s">
        <v>2010</v>
      </c>
      <c r="Z399" s="2" t="s">
        <v>2011</v>
      </c>
      <c r="AA399" s="2" t="s">
        <v>2012</v>
      </c>
      <c r="AB399" s="2" t="s">
        <v>828</v>
      </c>
      <c r="AC399" s="2" t="s">
        <v>827</v>
      </c>
      <c r="AD399" s="2" t="s">
        <v>2010</v>
      </c>
      <c r="AE399" s="2" t="s">
        <v>2011</v>
      </c>
      <c r="AF399" s="2" t="s">
        <v>2012</v>
      </c>
      <c r="AG399" s="2" t="s">
        <v>828</v>
      </c>
      <c r="AH399" s="2" t="s">
        <v>827</v>
      </c>
      <c r="AI399" s="2" t="s">
        <v>2010</v>
      </c>
      <c r="AJ399" s="2" t="s">
        <v>2011</v>
      </c>
      <c r="AK399" s="2" t="s">
        <v>2012</v>
      </c>
      <c r="AL399" s="2" t="s">
        <v>828</v>
      </c>
      <c r="AM399" s="2" t="s">
        <v>827</v>
      </c>
      <c r="AN399" s="2" t="s">
        <v>2010</v>
      </c>
      <c r="AO399" s="2" t="s">
        <v>2011</v>
      </c>
      <c r="AP399" s="2" t="s">
        <v>2012</v>
      </c>
      <c r="AQ399" s="2" t="s">
        <v>828</v>
      </c>
      <c r="AR399" s="2" t="s">
        <v>827</v>
      </c>
      <c r="AS399" s="2" t="s">
        <v>2010</v>
      </c>
      <c r="AT399" s="2" t="s">
        <v>2011</v>
      </c>
      <c r="AU399" s="52"/>
      <c r="AV399" s="52"/>
      <c r="AW399" s="52"/>
      <c r="AX399" s="52"/>
      <c r="AY399" s="49"/>
      <c r="AZ399" s="49"/>
      <c r="BA399" s="49"/>
    </row>
    <row r="400" spans="2:53" ht="11.25" hidden="1" customHeight="1">
      <c r="B400" s="36" t="s">
        <v>1410</v>
      </c>
      <c r="C400" s="52"/>
      <c r="D400" s="52"/>
      <c r="E400" s="52"/>
      <c r="F400" s="52"/>
      <c r="G400" s="2" t="s">
        <v>2012</v>
      </c>
      <c r="H400" s="2" t="s">
        <v>828</v>
      </c>
      <c r="I400" s="2" t="s">
        <v>827</v>
      </c>
      <c r="J400" s="2" t="s">
        <v>2010</v>
      </c>
      <c r="K400" s="2" t="s">
        <v>2011</v>
      </c>
      <c r="L400" s="2" t="s">
        <v>2012</v>
      </c>
      <c r="M400" s="2" t="s">
        <v>828</v>
      </c>
      <c r="N400" s="2" t="s">
        <v>827</v>
      </c>
      <c r="O400" s="2" t="s">
        <v>2010</v>
      </c>
      <c r="P400" s="2" t="s">
        <v>2011</v>
      </c>
      <c r="Q400" s="2" t="s">
        <v>2012</v>
      </c>
      <c r="R400" s="2" t="s">
        <v>828</v>
      </c>
      <c r="S400" s="2" t="s">
        <v>827</v>
      </c>
      <c r="T400" s="2" t="s">
        <v>2010</v>
      </c>
      <c r="U400" s="2" t="s">
        <v>2011</v>
      </c>
      <c r="V400" s="2" t="s">
        <v>2012</v>
      </c>
      <c r="W400" s="2" t="s">
        <v>828</v>
      </c>
      <c r="X400" s="2" t="s">
        <v>827</v>
      </c>
      <c r="Y400" s="2" t="s">
        <v>2010</v>
      </c>
      <c r="Z400" s="2" t="s">
        <v>2011</v>
      </c>
      <c r="AA400" s="2" t="s">
        <v>2012</v>
      </c>
      <c r="AB400" s="2" t="s">
        <v>828</v>
      </c>
      <c r="AC400" s="2" t="s">
        <v>827</v>
      </c>
      <c r="AD400" s="2" t="s">
        <v>2010</v>
      </c>
      <c r="AE400" s="2" t="s">
        <v>2011</v>
      </c>
      <c r="AF400" s="2" t="s">
        <v>2012</v>
      </c>
      <c r="AG400" s="2" t="s">
        <v>828</v>
      </c>
      <c r="AH400" s="2" t="s">
        <v>827</v>
      </c>
      <c r="AI400" s="2" t="s">
        <v>2010</v>
      </c>
      <c r="AJ400" s="2" t="s">
        <v>2011</v>
      </c>
      <c r="AK400" s="2" t="s">
        <v>2012</v>
      </c>
      <c r="AL400" s="2" t="s">
        <v>828</v>
      </c>
      <c r="AM400" s="2" t="s">
        <v>827</v>
      </c>
      <c r="AN400" s="2" t="s">
        <v>2010</v>
      </c>
      <c r="AO400" s="2" t="s">
        <v>2011</v>
      </c>
      <c r="AP400" s="2" t="s">
        <v>2012</v>
      </c>
      <c r="AQ400" s="2" t="s">
        <v>828</v>
      </c>
      <c r="AR400" s="2" t="s">
        <v>827</v>
      </c>
      <c r="AS400" s="2" t="s">
        <v>2010</v>
      </c>
      <c r="AT400" s="2" t="s">
        <v>2011</v>
      </c>
      <c r="AU400" s="52"/>
      <c r="AV400" s="52"/>
      <c r="AW400" s="52"/>
      <c r="AX400" s="52"/>
      <c r="AY400" s="49"/>
      <c r="AZ400" s="49"/>
      <c r="BA400" s="49"/>
    </row>
    <row r="401" spans="1:53" ht="11.25" hidden="1" customHeight="1">
      <c r="B401" s="36" t="s">
        <v>1459</v>
      </c>
      <c r="C401" s="52"/>
      <c r="D401" s="52"/>
      <c r="E401" s="52"/>
      <c r="F401" s="52"/>
      <c r="G401" s="2" t="s">
        <v>2012</v>
      </c>
      <c r="H401" s="2" t="s">
        <v>828</v>
      </c>
      <c r="I401" s="2" t="s">
        <v>827</v>
      </c>
      <c r="J401" s="2" t="s">
        <v>2010</v>
      </c>
      <c r="K401" s="2" t="s">
        <v>2011</v>
      </c>
      <c r="L401" s="2" t="s">
        <v>2012</v>
      </c>
      <c r="M401" s="2" t="s">
        <v>828</v>
      </c>
      <c r="N401" s="2" t="s">
        <v>827</v>
      </c>
      <c r="O401" s="2" t="s">
        <v>2010</v>
      </c>
      <c r="P401" s="2" t="s">
        <v>2011</v>
      </c>
      <c r="Q401" s="2" t="s">
        <v>2012</v>
      </c>
      <c r="R401" s="2" t="s">
        <v>828</v>
      </c>
      <c r="S401" s="2" t="s">
        <v>827</v>
      </c>
      <c r="T401" s="2" t="s">
        <v>2010</v>
      </c>
      <c r="U401" s="2" t="s">
        <v>2011</v>
      </c>
      <c r="V401" s="2" t="s">
        <v>2012</v>
      </c>
      <c r="W401" s="2" t="s">
        <v>828</v>
      </c>
      <c r="X401" s="2" t="s">
        <v>827</v>
      </c>
      <c r="Y401" s="2" t="s">
        <v>2010</v>
      </c>
      <c r="Z401" s="2" t="s">
        <v>2011</v>
      </c>
      <c r="AA401" s="2" t="s">
        <v>2012</v>
      </c>
      <c r="AB401" s="2" t="s">
        <v>828</v>
      </c>
      <c r="AC401" s="2" t="s">
        <v>827</v>
      </c>
      <c r="AD401" s="2" t="s">
        <v>2010</v>
      </c>
      <c r="AE401" s="2" t="s">
        <v>2011</v>
      </c>
      <c r="AF401" s="2" t="s">
        <v>2012</v>
      </c>
      <c r="AG401" s="2" t="s">
        <v>828</v>
      </c>
      <c r="AH401" s="2" t="s">
        <v>827</v>
      </c>
      <c r="AI401" s="2" t="s">
        <v>2010</v>
      </c>
      <c r="AJ401" s="2" t="s">
        <v>2011</v>
      </c>
      <c r="AK401" s="2" t="s">
        <v>2012</v>
      </c>
      <c r="AL401" s="2" t="s">
        <v>828</v>
      </c>
      <c r="AM401" s="2" t="s">
        <v>827</v>
      </c>
      <c r="AN401" s="2" t="s">
        <v>2010</v>
      </c>
      <c r="AO401" s="2" t="s">
        <v>2011</v>
      </c>
      <c r="AP401" s="2" t="s">
        <v>2012</v>
      </c>
      <c r="AQ401" s="2" t="s">
        <v>828</v>
      </c>
      <c r="AR401" s="2" t="s">
        <v>827</v>
      </c>
      <c r="AS401" s="2" t="s">
        <v>2010</v>
      </c>
      <c r="AT401" s="2" t="s">
        <v>2011</v>
      </c>
      <c r="AU401" s="52"/>
      <c r="AV401" s="52"/>
      <c r="AW401" s="52"/>
      <c r="AX401" s="52"/>
      <c r="AY401" s="49"/>
      <c r="AZ401" s="49"/>
      <c r="BA401" s="49"/>
    </row>
    <row r="402" spans="1:53" ht="11.25" hidden="1" customHeight="1">
      <c r="B402" s="36" t="s">
        <v>1508</v>
      </c>
      <c r="C402" s="52"/>
      <c r="D402" s="52"/>
      <c r="E402" s="52"/>
      <c r="F402" s="52"/>
      <c r="G402" s="2" t="s">
        <v>2012</v>
      </c>
      <c r="H402" s="2" t="s">
        <v>828</v>
      </c>
      <c r="I402" s="2" t="s">
        <v>827</v>
      </c>
      <c r="J402" s="2" t="s">
        <v>2010</v>
      </c>
      <c r="K402" s="2" t="s">
        <v>2011</v>
      </c>
      <c r="L402" s="2" t="s">
        <v>2012</v>
      </c>
      <c r="M402" s="2" t="s">
        <v>828</v>
      </c>
      <c r="N402" s="2" t="s">
        <v>827</v>
      </c>
      <c r="O402" s="2" t="s">
        <v>2010</v>
      </c>
      <c r="P402" s="2" t="s">
        <v>2011</v>
      </c>
      <c r="Q402" s="2" t="s">
        <v>2012</v>
      </c>
      <c r="R402" s="2" t="s">
        <v>828</v>
      </c>
      <c r="S402" s="2" t="s">
        <v>827</v>
      </c>
      <c r="T402" s="2" t="s">
        <v>2010</v>
      </c>
      <c r="U402" s="2" t="s">
        <v>2011</v>
      </c>
      <c r="V402" s="2" t="s">
        <v>2012</v>
      </c>
      <c r="W402" s="2" t="s">
        <v>828</v>
      </c>
      <c r="X402" s="2" t="s">
        <v>827</v>
      </c>
      <c r="Y402" s="2" t="s">
        <v>2010</v>
      </c>
      <c r="Z402" s="2" t="s">
        <v>2011</v>
      </c>
      <c r="AA402" s="2" t="s">
        <v>2012</v>
      </c>
      <c r="AB402" s="2" t="s">
        <v>828</v>
      </c>
      <c r="AC402" s="2" t="s">
        <v>827</v>
      </c>
      <c r="AD402" s="2" t="s">
        <v>2010</v>
      </c>
      <c r="AE402" s="2" t="s">
        <v>2011</v>
      </c>
      <c r="AF402" s="2" t="s">
        <v>2012</v>
      </c>
      <c r="AG402" s="2" t="s">
        <v>828</v>
      </c>
      <c r="AH402" s="2" t="s">
        <v>827</v>
      </c>
      <c r="AI402" s="2" t="s">
        <v>2010</v>
      </c>
      <c r="AJ402" s="2" t="s">
        <v>2011</v>
      </c>
      <c r="AK402" s="2" t="s">
        <v>2012</v>
      </c>
      <c r="AL402" s="2" t="s">
        <v>828</v>
      </c>
      <c r="AM402" s="2" t="s">
        <v>827</v>
      </c>
      <c r="AN402" s="2" t="s">
        <v>2010</v>
      </c>
      <c r="AO402" s="2" t="s">
        <v>2011</v>
      </c>
      <c r="AP402" s="2" t="s">
        <v>2012</v>
      </c>
      <c r="AQ402" s="2" t="s">
        <v>828</v>
      </c>
      <c r="AR402" s="2" t="s">
        <v>827</v>
      </c>
      <c r="AS402" s="2" t="s">
        <v>2010</v>
      </c>
      <c r="AT402" s="2" t="s">
        <v>2011</v>
      </c>
      <c r="AU402" s="52"/>
      <c r="AV402" s="52"/>
      <c r="AW402" s="52"/>
      <c r="AX402" s="52"/>
      <c r="AY402" s="49"/>
      <c r="AZ402" s="49"/>
      <c r="BA402" s="49"/>
    </row>
    <row r="403" spans="1:53" ht="11.25" hidden="1" customHeight="1">
      <c r="B403" s="36" t="s">
        <v>1557</v>
      </c>
      <c r="C403" s="52"/>
      <c r="D403" s="52"/>
      <c r="E403" s="52"/>
      <c r="F403" s="52"/>
      <c r="G403" s="2" t="s">
        <v>2012</v>
      </c>
      <c r="H403" s="2" t="s">
        <v>828</v>
      </c>
      <c r="I403" s="2" t="s">
        <v>827</v>
      </c>
      <c r="J403" s="2" t="s">
        <v>2010</v>
      </c>
      <c r="K403" s="2" t="s">
        <v>2011</v>
      </c>
      <c r="L403" s="2" t="s">
        <v>2012</v>
      </c>
      <c r="M403" s="2" t="s">
        <v>828</v>
      </c>
      <c r="N403" s="2" t="s">
        <v>827</v>
      </c>
      <c r="O403" s="2" t="s">
        <v>2010</v>
      </c>
      <c r="P403" s="2" t="s">
        <v>2011</v>
      </c>
      <c r="Q403" s="2" t="s">
        <v>2012</v>
      </c>
      <c r="R403" s="2" t="s">
        <v>828</v>
      </c>
      <c r="S403" s="2" t="s">
        <v>827</v>
      </c>
      <c r="T403" s="2" t="s">
        <v>2010</v>
      </c>
      <c r="U403" s="2" t="s">
        <v>2011</v>
      </c>
      <c r="V403" s="2" t="s">
        <v>2012</v>
      </c>
      <c r="W403" s="2" t="s">
        <v>828</v>
      </c>
      <c r="X403" s="2" t="s">
        <v>827</v>
      </c>
      <c r="Y403" s="2" t="s">
        <v>2010</v>
      </c>
      <c r="Z403" s="2" t="s">
        <v>2011</v>
      </c>
      <c r="AA403" s="2" t="s">
        <v>2012</v>
      </c>
      <c r="AB403" s="2" t="s">
        <v>828</v>
      </c>
      <c r="AC403" s="2" t="s">
        <v>827</v>
      </c>
      <c r="AD403" s="2" t="s">
        <v>2010</v>
      </c>
      <c r="AE403" s="2" t="s">
        <v>2011</v>
      </c>
      <c r="AF403" s="2" t="s">
        <v>2012</v>
      </c>
      <c r="AG403" s="2" t="s">
        <v>828</v>
      </c>
      <c r="AH403" s="2" t="s">
        <v>827</v>
      </c>
      <c r="AI403" s="2" t="s">
        <v>2010</v>
      </c>
      <c r="AJ403" s="2" t="s">
        <v>2011</v>
      </c>
      <c r="AK403" s="2" t="s">
        <v>2012</v>
      </c>
      <c r="AL403" s="2" t="s">
        <v>828</v>
      </c>
      <c r="AM403" s="2" t="s">
        <v>827</v>
      </c>
      <c r="AN403" s="2" t="s">
        <v>2010</v>
      </c>
      <c r="AO403" s="2" t="s">
        <v>2011</v>
      </c>
      <c r="AP403" s="2" t="s">
        <v>2012</v>
      </c>
      <c r="AQ403" s="2" t="s">
        <v>828</v>
      </c>
      <c r="AR403" s="2" t="s">
        <v>827</v>
      </c>
      <c r="AS403" s="2" t="s">
        <v>2010</v>
      </c>
      <c r="AT403" s="2" t="s">
        <v>2011</v>
      </c>
      <c r="AU403" s="52"/>
      <c r="AV403" s="52"/>
      <c r="AW403" s="52"/>
      <c r="AX403" s="52"/>
      <c r="AY403" s="49"/>
      <c r="AZ403" s="49"/>
      <c r="BA403" s="49"/>
    </row>
    <row r="404" spans="1:53" ht="11.25" hidden="1" customHeight="1">
      <c r="B404" s="36" t="s">
        <v>1606</v>
      </c>
      <c r="C404" s="52"/>
      <c r="D404" s="52"/>
      <c r="E404" s="52"/>
      <c r="F404" s="52"/>
      <c r="G404" s="2" t="s">
        <v>2012</v>
      </c>
      <c r="H404" s="2" t="s">
        <v>828</v>
      </c>
      <c r="I404" s="2" t="s">
        <v>827</v>
      </c>
      <c r="J404" s="2" t="s">
        <v>2010</v>
      </c>
      <c r="K404" s="2" t="s">
        <v>2011</v>
      </c>
      <c r="L404" s="2" t="s">
        <v>2012</v>
      </c>
      <c r="M404" s="2" t="s">
        <v>828</v>
      </c>
      <c r="N404" s="2" t="s">
        <v>827</v>
      </c>
      <c r="O404" s="2" t="s">
        <v>2010</v>
      </c>
      <c r="P404" s="2" t="s">
        <v>2011</v>
      </c>
      <c r="Q404" s="2" t="s">
        <v>2012</v>
      </c>
      <c r="R404" s="2" t="s">
        <v>828</v>
      </c>
      <c r="S404" s="2" t="s">
        <v>827</v>
      </c>
      <c r="T404" s="2" t="s">
        <v>2010</v>
      </c>
      <c r="U404" s="2" t="s">
        <v>2011</v>
      </c>
      <c r="V404" s="2" t="s">
        <v>2012</v>
      </c>
      <c r="W404" s="2" t="s">
        <v>828</v>
      </c>
      <c r="X404" s="2" t="s">
        <v>827</v>
      </c>
      <c r="Y404" s="2" t="s">
        <v>2010</v>
      </c>
      <c r="Z404" s="2" t="s">
        <v>2011</v>
      </c>
      <c r="AA404" s="2" t="s">
        <v>2012</v>
      </c>
      <c r="AB404" s="2" t="s">
        <v>828</v>
      </c>
      <c r="AC404" s="2" t="s">
        <v>827</v>
      </c>
      <c r="AD404" s="2" t="s">
        <v>2010</v>
      </c>
      <c r="AE404" s="2" t="s">
        <v>2011</v>
      </c>
      <c r="AF404" s="2" t="s">
        <v>2012</v>
      </c>
      <c r="AG404" s="2" t="s">
        <v>828</v>
      </c>
      <c r="AH404" s="2" t="s">
        <v>827</v>
      </c>
      <c r="AI404" s="2" t="s">
        <v>2010</v>
      </c>
      <c r="AJ404" s="2" t="s">
        <v>2011</v>
      </c>
      <c r="AK404" s="2" t="s">
        <v>2012</v>
      </c>
      <c r="AL404" s="2" t="s">
        <v>828</v>
      </c>
      <c r="AM404" s="2" t="s">
        <v>827</v>
      </c>
      <c r="AN404" s="2" t="s">
        <v>2010</v>
      </c>
      <c r="AO404" s="2" t="s">
        <v>2011</v>
      </c>
      <c r="AP404" s="2" t="s">
        <v>2012</v>
      </c>
      <c r="AQ404" s="2" t="s">
        <v>828</v>
      </c>
      <c r="AR404" s="2" t="s">
        <v>827</v>
      </c>
      <c r="AS404" s="2" t="s">
        <v>2010</v>
      </c>
      <c r="AT404" s="2" t="s">
        <v>2011</v>
      </c>
      <c r="AU404" s="52"/>
      <c r="AV404" s="52"/>
      <c r="AW404" s="52"/>
      <c r="AX404" s="52"/>
      <c r="AY404" s="49"/>
      <c r="AZ404" s="49"/>
      <c r="BA404" s="49"/>
    </row>
    <row r="405" spans="1:53" ht="11.25" hidden="1" customHeight="1">
      <c r="B405" s="36" t="s">
        <v>1655</v>
      </c>
      <c r="C405" s="52"/>
      <c r="D405" s="52"/>
      <c r="E405" s="52"/>
      <c r="F405" s="52"/>
      <c r="G405" s="2" t="s">
        <v>2012</v>
      </c>
      <c r="H405" s="2" t="s">
        <v>828</v>
      </c>
      <c r="I405" s="2" t="s">
        <v>827</v>
      </c>
      <c r="J405" s="2" t="s">
        <v>2010</v>
      </c>
      <c r="K405" s="2" t="s">
        <v>2011</v>
      </c>
      <c r="L405" s="2" t="s">
        <v>2012</v>
      </c>
      <c r="M405" s="2" t="s">
        <v>828</v>
      </c>
      <c r="N405" s="2" t="s">
        <v>827</v>
      </c>
      <c r="O405" s="2" t="s">
        <v>2010</v>
      </c>
      <c r="P405" s="2" t="s">
        <v>2011</v>
      </c>
      <c r="Q405" s="2" t="s">
        <v>2012</v>
      </c>
      <c r="R405" s="2" t="s">
        <v>828</v>
      </c>
      <c r="S405" s="2" t="s">
        <v>827</v>
      </c>
      <c r="T405" s="2" t="s">
        <v>2010</v>
      </c>
      <c r="U405" s="2" t="s">
        <v>2011</v>
      </c>
      <c r="V405" s="2" t="s">
        <v>2012</v>
      </c>
      <c r="W405" s="2" t="s">
        <v>828</v>
      </c>
      <c r="X405" s="2" t="s">
        <v>827</v>
      </c>
      <c r="Y405" s="2" t="s">
        <v>2010</v>
      </c>
      <c r="Z405" s="2" t="s">
        <v>2011</v>
      </c>
      <c r="AA405" s="2" t="s">
        <v>2012</v>
      </c>
      <c r="AB405" s="2" t="s">
        <v>828</v>
      </c>
      <c r="AC405" s="2" t="s">
        <v>827</v>
      </c>
      <c r="AD405" s="2" t="s">
        <v>2010</v>
      </c>
      <c r="AE405" s="2" t="s">
        <v>2011</v>
      </c>
      <c r="AF405" s="2" t="s">
        <v>2012</v>
      </c>
      <c r="AG405" s="2" t="s">
        <v>828</v>
      </c>
      <c r="AH405" s="2" t="s">
        <v>827</v>
      </c>
      <c r="AI405" s="2" t="s">
        <v>2010</v>
      </c>
      <c r="AJ405" s="2" t="s">
        <v>2011</v>
      </c>
      <c r="AK405" s="2" t="s">
        <v>2012</v>
      </c>
      <c r="AL405" s="2" t="s">
        <v>828</v>
      </c>
      <c r="AM405" s="2" t="s">
        <v>827</v>
      </c>
      <c r="AN405" s="2" t="s">
        <v>2010</v>
      </c>
      <c r="AO405" s="2" t="s">
        <v>2011</v>
      </c>
      <c r="AP405" s="2" t="s">
        <v>2012</v>
      </c>
      <c r="AQ405" s="2" t="s">
        <v>828</v>
      </c>
      <c r="AR405" s="2" t="s">
        <v>827</v>
      </c>
      <c r="AS405" s="2" t="s">
        <v>2010</v>
      </c>
      <c r="AT405" s="2" t="s">
        <v>2011</v>
      </c>
      <c r="AU405" s="52"/>
      <c r="AV405" s="52"/>
      <c r="AW405" s="52"/>
      <c r="AX405" s="52"/>
      <c r="AY405" s="49"/>
      <c r="AZ405" s="49"/>
      <c r="BA405" s="49"/>
    </row>
    <row r="406" spans="1:53" ht="11.25" hidden="1" customHeight="1">
      <c r="B406" s="36" t="s">
        <v>1704</v>
      </c>
      <c r="C406" s="52"/>
      <c r="D406" s="52"/>
      <c r="E406" s="52"/>
      <c r="F406" s="52"/>
      <c r="G406" s="2" t="s">
        <v>2012</v>
      </c>
      <c r="H406" s="2" t="s">
        <v>828</v>
      </c>
      <c r="I406" s="2" t="s">
        <v>827</v>
      </c>
      <c r="J406" s="2" t="s">
        <v>2010</v>
      </c>
      <c r="K406" s="2" t="s">
        <v>2011</v>
      </c>
      <c r="L406" s="2" t="s">
        <v>2012</v>
      </c>
      <c r="M406" s="2" t="s">
        <v>828</v>
      </c>
      <c r="N406" s="2" t="s">
        <v>827</v>
      </c>
      <c r="O406" s="2" t="s">
        <v>2010</v>
      </c>
      <c r="P406" s="2" t="s">
        <v>2011</v>
      </c>
      <c r="Q406" s="2" t="s">
        <v>2012</v>
      </c>
      <c r="R406" s="2" t="s">
        <v>828</v>
      </c>
      <c r="S406" s="2" t="s">
        <v>827</v>
      </c>
      <c r="T406" s="2" t="s">
        <v>2010</v>
      </c>
      <c r="U406" s="2" t="s">
        <v>2011</v>
      </c>
      <c r="V406" s="2" t="s">
        <v>2012</v>
      </c>
      <c r="W406" s="2" t="s">
        <v>828</v>
      </c>
      <c r="X406" s="2" t="s">
        <v>827</v>
      </c>
      <c r="Y406" s="2" t="s">
        <v>2010</v>
      </c>
      <c r="Z406" s="2" t="s">
        <v>2011</v>
      </c>
      <c r="AA406" s="2" t="s">
        <v>2012</v>
      </c>
      <c r="AB406" s="2" t="s">
        <v>828</v>
      </c>
      <c r="AC406" s="2" t="s">
        <v>827</v>
      </c>
      <c r="AD406" s="2" t="s">
        <v>2010</v>
      </c>
      <c r="AE406" s="2" t="s">
        <v>2011</v>
      </c>
      <c r="AF406" s="2" t="s">
        <v>2012</v>
      </c>
      <c r="AG406" s="2" t="s">
        <v>828</v>
      </c>
      <c r="AH406" s="2" t="s">
        <v>827</v>
      </c>
      <c r="AI406" s="2" t="s">
        <v>2010</v>
      </c>
      <c r="AJ406" s="2" t="s">
        <v>2011</v>
      </c>
      <c r="AK406" s="2" t="s">
        <v>2012</v>
      </c>
      <c r="AL406" s="2" t="s">
        <v>828</v>
      </c>
      <c r="AM406" s="2" t="s">
        <v>827</v>
      </c>
      <c r="AN406" s="2" t="s">
        <v>2010</v>
      </c>
      <c r="AO406" s="2" t="s">
        <v>2011</v>
      </c>
      <c r="AP406" s="2" t="s">
        <v>2012</v>
      </c>
      <c r="AQ406" s="2" t="s">
        <v>828</v>
      </c>
      <c r="AR406" s="2" t="s">
        <v>827</v>
      </c>
      <c r="AS406" s="2" t="s">
        <v>2010</v>
      </c>
      <c r="AT406" s="2" t="s">
        <v>2011</v>
      </c>
      <c r="AU406" s="52"/>
      <c r="AV406" s="52"/>
      <c r="AW406" s="52"/>
      <c r="AX406" s="52"/>
      <c r="AY406" s="49"/>
      <c r="AZ406" s="49"/>
      <c r="BA406" s="49"/>
    </row>
    <row r="407" spans="1:53" ht="11.25" hidden="1" customHeight="1">
      <c r="B407" s="36" t="s">
        <v>1753</v>
      </c>
      <c r="C407" s="52"/>
      <c r="D407" s="52"/>
      <c r="E407" s="52"/>
      <c r="F407" s="52"/>
      <c r="G407" s="2" t="s">
        <v>2012</v>
      </c>
      <c r="H407" s="2" t="s">
        <v>828</v>
      </c>
      <c r="I407" s="2" t="s">
        <v>827</v>
      </c>
      <c r="J407" s="2" t="s">
        <v>2010</v>
      </c>
      <c r="K407" s="2" t="s">
        <v>2011</v>
      </c>
      <c r="L407" s="2" t="s">
        <v>2012</v>
      </c>
      <c r="M407" s="2" t="s">
        <v>828</v>
      </c>
      <c r="N407" s="2" t="s">
        <v>827</v>
      </c>
      <c r="O407" s="2" t="s">
        <v>2010</v>
      </c>
      <c r="P407" s="2" t="s">
        <v>2011</v>
      </c>
      <c r="Q407" s="2" t="s">
        <v>2012</v>
      </c>
      <c r="R407" s="2" t="s">
        <v>828</v>
      </c>
      <c r="S407" s="2" t="s">
        <v>827</v>
      </c>
      <c r="T407" s="2" t="s">
        <v>2010</v>
      </c>
      <c r="U407" s="2" t="s">
        <v>2011</v>
      </c>
      <c r="V407" s="2" t="s">
        <v>2012</v>
      </c>
      <c r="W407" s="2" t="s">
        <v>828</v>
      </c>
      <c r="X407" s="2" t="s">
        <v>827</v>
      </c>
      <c r="Y407" s="2" t="s">
        <v>2010</v>
      </c>
      <c r="Z407" s="2" t="s">
        <v>2011</v>
      </c>
      <c r="AA407" s="2" t="s">
        <v>2012</v>
      </c>
      <c r="AB407" s="2" t="s">
        <v>828</v>
      </c>
      <c r="AC407" s="2" t="s">
        <v>827</v>
      </c>
      <c r="AD407" s="2" t="s">
        <v>2010</v>
      </c>
      <c r="AE407" s="2" t="s">
        <v>2011</v>
      </c>
      <c r="AF407" s="2" t="s">
        <v>2012</v>
      </c>
      <c r="AG407" s="2" t="s">
        <v>828</v>
      </c>
      <c r="AH407" s="2" t="s">
        <v>827</v>
      </c>
      <c r="AI407" s="2" t="s">
        <v>2010</v>
      </c>
      <c r="AJ407" s="2" t="s">
        <v>2011</v>
      </c>
      <c r="AK407" s="2" t="s">
        <v>2012</v>
      </c>
      <c r="AL407" s="2" t="s">
        <v>828</v>
      </c>
      <c r="AM407" s="2" t="s">
        <v>827</v>
      </c>
      <c r="AN407" s="2" t="s">
        <v>2010</v>
      </c>
      <c r="AO407" s="2" t="s">
        <v>2011</v>
      </c>
      <c r="AP407" s="2" t="s">
        <v>2012</v>
      </c>
      <c r="AQ407" s="2" t="s">
        <v>828</v>
      </c>
      <c r="AR407" s="2" t="s">
        <v>827</v>
      </c>
      <c r="AS407" s="2" t="s">
        <v>2010</v>
      </c>
      <c r="AT407" s="2" t="s">
        <v>2011</v>
      </c>
      <c r="AU407" s="52"/>
      <c r="AV407" s="52"/>
      <c r="AW407" s="52"/>
      <c r="AX407" s="52"/>
      <c r="AY407" s="49"/>
      <c r="AZ407" s="49"/>
      <c r="BA407" s="49"/>
    </row>
    <row r="408" spans="1:53" ht="11.25" hidden="1" customHeight="1">
      <c r="B408" s="36" t="s">
        <v>1802</v>
      </c>
      <c r="C408" s="52"/>
      <c r="D408" s="52"/>
      <c r="E408" s="52"/>
      <c r="F408" s="52"/>
      <c r="G408" s="2" t="s">
        <v>2012</v>
      </c>
      <c r="H408" s="2" t="s">
        <v>828</v>
      </c>
      <c r="I408" s="2" t="s">
        <v>827</v>
      </c>
      <c r="J408" s="2" t="s">
        <v>2010</v>
      </c>
      <c r="K408" s="2" t="s">
        <v>2011</v>
      </c>
      <c r="L408" s="2" t="s">
        <v>2012</v>
      </c>
      <c r="M408" s="2" t="s">
        <v>828</v>
      </c>
      <c r="N408" s="2" t="s">
        <v>827</v>
      </c>
      <c r="O408" s="2" t="s">
        <v>2010</v>
      </c>
      <c r="P408" s="2" t="s">
        <v>2011</v>
      </c>
      <c r="Q408" s="2" t="s">
        <v>2012</v>
      </c>
      <c r="R408" s="2" t="s">
        <v>828</v>
      </c>
      <c r="S408" s="2" t="s">
        <v>827</v>
      </c>
      <c r="T408" s="2" t="s">
        <v>2010</v>
      </c>
      <c r="U408" s="2" t="s">
        <v>2011</v>
      </c>
      <c r="V408" s="2" t="s">
        <v>2012</v>
      </c>
      <c r="W408" s="2" t="s">
        <v>828</v>
      </c>
      <c r="X408" s="2" t="s">
        <v>827</v>
      </c>
      <c r="Y408" s="2" t="s">
        <v>2010</v>
      </c>
      <c r="Z408" s="2" t="s">
        <v>2011</v>
      </c>
      <c r="AA408" s="2" t="s">
        <v>2012</v>
      </c>
      <c r="AB408" s="2" t="s">
        <v>828</v>
      </c>
      <c r="AC408" s="2" t="s">
        <v>827</v>
      </c>
      <c r="AD408" s="2" t="s">
        <v>2010</v>
      </c>
      <c r="AE408" s="2" t="s">
        <v>2011</v>
      </c>
      <c r="AF408" s="2" t="s">
        <v>2012</v>
      </c>
      <c r="AG408" s="2" t="s">
        <v>828</v>
      </c>
      <c r="AH408" s="2" t="s">
        <v>827</v>
      </c>
      <c r="AI408" s="2" t="s">
        <v>2010</v>
      </c>
      <c r="AJ408" s="2" t="s">
        <v>2011</v>
      </c>
      <c r="AK408" s="2" t="s">
        <v>2012</v>
      </c>
      <c r="AL408" s="2" t="s">
        <v>828</v>
      </c>
      <c r="AM408" s="2" t="s">
        <v>827</v>
      </c>
      <c r="AN408" s="2" t="s">
        <v>2010</v>
      </c>
      <c r="AO408" s="2" t="s">
        <v>2011</v>
      </c>
      <c r="AP408" s="2" t="s">
        <v>2012</v>
      </c>
      <c r="AQ408" s="2" t="s">
        <v>828</v>
      </c>
      <c r="AR408" s="2" t="s">
        <v>827</v>
      </c>
      <c r="AS408" s="2" t="s">
        <v>2010</v>
      </c>
      <c r="AT408" s="2" t="s">
        <v>2011</v>
      </c>
      <c r="AU408" s="52"/>
      <c r="AV408" s="52"/>
      <c r="AW408" s="52"/>
      <c r="AX408" s="52"/>
      <c r="AY408" s="49"/>
      <c r="AZ408" s="49"/>
      <c r="BA408" s="49"/>
    </row>
    <row r="409" spans="1:53" ht="11.25" hidden="1" customHeight="1">
      <c r="B409" s="36" t="s">
        <v>1851</v>
      </c>
      <c r="C409" s="52"/>
      <c r="D409" s="52"/>
      <c r="E409" s="52"/>
      <c r="F409" s="52"/>
      <c r="G409" s="2" t="s">
        <v>2012</v>
      </c>
      <c r="H409" s="2" t="s">
        <v>828</v>
      </c>
      <c r="I409" s="2" t="s">
        <v>827</v>
      </c>
      <c r="J409" s="2" t="s">
        <v>2010</v>
      </c>
      <c r="K409" s="2" t="s">
        <v>2011</v>
      </c>
      <c r="L409" s="2" t="s">
        <v>2012</v>
      </c>
      <c r="M409" s="2" t="s">
        <v>828</v>
      </c>
      <c r="N409" s="2" t="s">
        <v>827</v>
      </c>
      <c r="O409" s="2" t="s">
        <v>2010</v>
      </c>
      <c r="P409" s="2" t="s">
        <v>2011</v>
      </c>
      <c r="Q409" s="2" t="s">
        <v>2012</v>
      </c>
      <c r="R409" s="2" t="s">
        <v>828</v>
      </c>
      <c r="S409" s="2" t="s">
        <v>827</v>
      </c>
      <c r="T409" s="2" t="s">
        <v>2010</v>
      </c>
      <c r="U409" s="2" t="s">
        <v>2011</v>
      </c>
      <c r="V409" s="2" t="s">
        <v>2012</v>
      </c>
      <c r="W409" s="2" t="s">
        <v>828</v>
      </c>
      <c r="X409" s="2" t="s">
        <v>827</v>
      </c>
      <c r="Y409" s="2" t="s">
        <v>2010</v>
      </c>
      <c r="Z409" s="2" t="s">
        <v>2011</v>
      </c>
      <c r="AA409" s="2" t="s">
        <v>2012</v>
      </c>
      <c r="AB409" s="2" t="s">
        <v>828</v>
      </c>
      <c r="AC409" s="2" t="s">
        <v>827</v>
      </c>
      <c r="AD409" s="2" t="s">
        <v>2010</v>
      </c>
      <c r="AE409" s="2" t="s">
        <v>2011</v>
      </c>
      <c r="AF409" s="2" t="s">
        <v>2012</v>
      </c>
      <c r="AG409" s="2" t="s">
        <v>828</v>
      </c>
      <c r="AH409" s="2" t="s">
        <v>827</v>
      </c>
      <c r="AI409" s="2" t="s">
        <v>2010</v>
      </c>
      <c r="AJ409" s="2" t="s">
        <v>2011</v>
      </c>
      <c r="AK409" s="2" t="s">
        <v>2012</v>
      </c>
      <c r="AL409" s="2" t="s">
        <v>828</v>
      </c>
      <c r="AM409" s="2" t="s">
        <v>827</v>
      </c>
      <c r="AN409" s="2" t="s">
        <v>2010</v>
      </c>
      <c r="AO409" s="2" t="s">
        <v>2011</v>
      </c>
      <c r="AP409" s="2" t="s">
        <v>2012</v>
      </c>
      <c r="AQ409" s="2" t="s">
        <v>828</v>
      </c>
      <c r="AR409" s="2" t="s">
        <v>827</v>
      </c>
      <c r="AS409" s="2" t="s">
        <v>2010</v>
      </c>
      <c r="AT409" s="2" t="s">
        <v>2011</v>
      </c>
      <c r="AU409" s="52"/>
      <c r="AV409" s="52"/>
      <c r="AW409" s="52"/>
      <c r="AX409" s="52"/>
      <c r="AY409" s="49"/>
      <c r="AZ409" s="49"/>
      <c r="BA409" s="49"/>
    </row>
    <row r="410" spans="1:53" ht="11.25" hidden="1" customHeight="1">
      <c r="B410" s="36" t="s">
        <v>1900</v>
      </c>
      <c r="C410" s="52"/>
      <c r="D410" s="52"/>
      <c r="E410" s="52"/>
      <c r="F410" s="52"/>
      <c r="G410" s="2" t="s">
        <v>2012</v>
      </c>
      <c r="H410" s="2" t="s">
        <v>828</v>
      </c>
      <c r="I410" s="2" t="s">
        <v>827</v>
      </c>
      <c r="J410" s="2" t="s">
        <v>2010</v>
      </c>
      <c r="K410" s="2" t="s">
        <v>2011</v>
      </c>
      <c r="L410" s="2" t="s">
        <v>2012</v>
      </c>
      <c r="M410" s="2" t="s">
        <v>828</v>
      </c>
      <c r="N410" s="2" t="s">
        <v>827</v>
      </c>
      <c r="O410" s="2" t="s">
        <v>2010</v>
      </c>
      <c r="P410" s="2" t="s">
        <v>2011</v>
      </c>
      <c r="Q410" s="2" t="s">
        <v>2012</v>
      </c>
      <c r="R410" s="2" t="s">
        <v>828</v>
      </c>
      <c r="S410" s="2" t="s">
        <v>827</v>
      </c>
      <c r="T410" s="2" t="s">
        <v>2010</v>
      </c>
      <c r="U410" s="2" t="s">
        <v>2011</v>
      </c>
      <c r="V410" s="2" t="s">
        <v>2012</v>
      </c>
      <c r="W410" s="2" t="s">
        <v>828</v>
      </c>
      <c r="X410" s="2" t="s">
        <v>827</v>
      </c>
      <c r="Y410" s="2" t="s">
        <v>2010</v>
      </c>
      <c r="Z410" s="2" t="s">
        <v>2011</v>
      </c>
      <c r="AA410" s="2" t="s">
        <v>2012</v>
      </c>
      <c r="AB410" s="2" t="s">
        <v>828</v>
      </c>
      <c r="AC410" s="2" t="s">
        <v>827</v>
      </c>
      <c r="AD410" s="2" t="s">
        <v>2010</v>
      </c>
      <c r="AE410" s="2" t="s">
        <v>2011</v>
      </c>
      <c r="AF410" s="2" t="s">
        <v>2012</v>
      </c>
      <c r="AG410" s="2" t="s">
        <v>828</v>
      </c>
      <c r="AH410" s="2" t="s">
        <v>827</v>
      </c>
      <c r="AI410" s="2" t="s">
        <v>2010</v>
      </c>
      <c r="AJ410" s="2" t="s">
        <v>2011</v>
      </c>
      <c r="AK410" s="2" t="s">
        <v>2012</v>
      </c>
      <c r="AL410" s="2" t="s">
        <v>828</v>
      </c>
      <c r="AM410" s="2" t="s">
        <v>827</v>
      </c>
      <c r="AN410" s="2" t="s">
        <v>2010</v>
      </c>
      <c r="AO410" s="2" t="s">
        <v>2011</v>
      </c>
      <c r="AP410" s="2" t="s">
        <v>2012</v>
      </c>
      <c r="AQ410" s="2" t="s">
        <v>828</v>
      </c>
      <c r="AR410" s="2" t="s">
        <v>827</v>
      </c>
      <c r="AS410" s="2" t="s">
        <v>2010</v>
      </c>
      <c r="AT410" s="2" t="s">
        <v>2011</v>
      </c>
      <c r="AU410" s="52"/>
      <c r="AV410" s="52"/>
      <c r="AW410" s="52"/>
      <c r="AX410" s="52"/>
      <c r="AY410" s="49"/>
      <c r="AZ410" s="49"/>
      <c r="BA410" s="49"/>
    </row>
    <row r="411" spans="1:53" ht="11.25" hidden="1" customHeight="1">
      <c r="B411" s="36" t="s">
        <v>1949</v>
      </c>
      <c r="C411" s="52"/>
      <c r="D411" s="52"/>
      <c r="E411" s="52"/>
      <c r="F411" s="52"/>
      <c r="G411" s="2" t="s">
        <v>2012</v>
      </c>
      <c r="H411" s="2" t="s">
        <v>828</v>
      </c>
      <c r="I411" s="2" t="s">
        <v>827</v>
      </c>
      <c r="J411" s="2" t="s">
        <v>2010</v>
      </c>
      <c r="K411" s="2" t="s">
        <v>2011</v>
      </c>
      <c r="L411" s="2" t="s">
        <v>2012</v>
      </c>
      <c r="M411" s="2" t="s">
        <v>828</v>
      </c>
      <c r="N411" s="2" t="s">
        <v>827</v>
      </c>
      <c r="O411" s="2" t="s">
        <v>2010</v>
      </c>
      <c r="P411" s="2" t="s">
        <v>2011</v>
      </c>
      <c r="Q411" s="2" t="s">
        <v>2012</v>
      </c>
      <c r="R411" s="2" t="s">
        <v>828</v>
      </c>
      <c r="S411" s="2" t="s">
        <v>827</v>
      </c>
      <c r="T411" s="2" t="s">
        <v>2010</v>
      </c>
      <c r="U411" s="2" t="s">
        <v>2011</v>
      </c>
      <c r="V411" s="2" t="s">
        <v>2012</v>
      </c>
      <c r="W411" s="2" t="s">
        <v>828</v>
      </c>
      <c r="X411" s="2" t="s">
        <v>827</v>
      </c>
      <c r="Y411" s="2" t="s">
        <v>2010</v>
      </c>
      <c r="Z411" s="2" t="s">
        <v>2011</v>
      </c>
      <c r="AA411" s="2" t="s">
        <v>2012</v>
      </c>
      <c r="AB411" s="2" t="s">
        <v>828</v>
      </c>
      <c r="AC411" s="2" t="s">
        <v>827</v>
      </c>
      <c r="AD411" s="2" t="s">
        <v>2010</v>
      </c>
      <c r="AE411" s="2" t="s">
        <v>2011</v>
      </c>
      <c r="AF411" s="2" t="s">
        <v>2012</v>
      </c>
      <c r="AG411" s="2" t="s">
        <v>828</v>
      </c>
      <c r="AH411" s="2" t="s">
        <v>827</v>
      </c>
      <c r="AI411" s="2" t="s">
        <v>2010</v>
      </c>
      <c r="AJ411" s="2" t="s">
        <v>2011</v>
      </c>
      <c r="AK411" s="2" t="s">
        <v>2012</v>
      </c>
      <c r="AL411" s="2" t="s">
        <v>828</v>
      </c>
      <c r="AM411" s="2" t="s">
        <v>827</v>
      </c>
      <c r="AN411" s="2" t="s">
        <v>2010</v>
      </c>
      <c r="AO411" s="2" t="s">
        <v>2011</v>
      </c>
      <c r="AP411" s="2" t="s">
        <v>2012</v>
      </c>
      <c r="AQ411" s="2" t="s">
        <v>828</v>
      </c>
      <c r="AR411" s="2" t="s">
        <v>827</v>
      </c>
      <c r="AS411" s="2" t="s">
        <v>2010</v>
      </c>
      <c r="AT411" s="2" t="s">
        <v>2011</v>
      </c>
      <c r="AU411" s="52"/>
      <c r="AV411" s="52"/>
      <c r="AW411" s="52"/>
      <c r="AX411" s="52"/>
      <c r="AY411" s="49"/>
      <c r="AZ411" s="49"/>
      <c r="BA411" s="49"/>
    </row>
    <row r="412" spans="1:53" ht="11.25" customHeight="1">
      <c r="AY412" s="49"/>
      <c r="AZ412" s="49"/>
      <c r="BA412" s="49"/>
    </row>
    <row r="413" spans="1:53" s="63" customFormat="1" ht="11.25" customHeight="1">
      <c r="A413" s="63" t="s">
        <v>3032</v>
      </c>
      <c r="D413" s="64" t="s">
        <v>806</v>
      </c>
      <c r="E413" s="65" t="s">
        <v>805</v>
      </c>
    </row>
    <row r="414" spans="1:53" s="35" customFormat="1" ht="11.25" hidden="1" customHeight="1">
      <c r="A414" s="27"/>
      <c r="B414" s="27"/>
    </row>
    <row r="415" spans="1:53" ht="11.25" hidden="1" customHeight="1">
      <c r="B415" s="1"/>
      <c r="C415" s="1">
        <v>1</v>
      </c>
      <c r="D415" s="1">
        <v>2</v>
      </c>
      <c r="E415" s="1">
        <v>3</v>
      </c>
      <c r="F415" s="1">
        <v>4</v>
      </c>
      <c r="G415" s="1">
        <v>5</v>
      </c>
      <c r="H415" s="1">
        <v>6</v>
      </c>
    </row>
    <row r="416" spans="1:53" ht="11.25" hidden="1" customHeight="1">
      <c r="B416" s="1" t="s">
        <v>415</v>
      </c>
      <c r="C416" s="4">
        <f>T1.PLATEREADER_VALUE("",E413)</f>
        <v>0</v>
      </c>
      <c r="D416" s="4">
        <f>T1.PLATEREADER_VALUE("",E413)</f>
        <v>0</v>
      </c>
      <c r="E416" s="4">
        <f>T1.PLATEREADER_VALUE("",E413)</f>
        <v>0</v>
      </c>
      <c r="F416" s="4">
        <f>T1.PLATEREADER_VALUE("",E413)</f>
        <v>0</v>
      </c>
      <c r="G416" s="4">
        <f>T1.PLATEREADER_VALUE("",E413)</f>
        <v>0</v>
      </c>
      <c r="H416" s="4">
        <f>T1.PLATEREADER_VALUE("",E413)</f>
        <v>0</v>
      </c>
      <c r="J416" s="10" t="s">
        <v>752</v>
      </c>
      <c r="K416" s="3" t="e">
        <f>T1.Label("RAW_DATA","sb")</f>
        <v>#REF!</v>
      </c>
      <c r="M416" s="33" t="s">
        <v>755</v>
      </c>
      <c r="N416" s="7" t="e">
        <f>T1.role("MIN","RAW_DATA","cvp")</f>
        <v>#REF!</v>
      </c>
    </row>
    <row r="417" spans="1:25" ht="11.25" hidden="1" customHeight="1">
      <c r="B417" s="1" t="s">
        <v>416</v>
      </c>
      <c r="C417" s="4">
        <f>T1.PLATEREADER_VALUE("",E413)</f>
        <v>0</v>
      </c>
      <c r="D417" s="4">
        <f>T1.PLATEREADER_VALUE("",E413)</f>
        <v>0</v>
      </c>
      <c r="E417" s="4">
        <f>T1.PLATEREADER_VALUE("",E413)</f>
        <v>0</v>
      </c>
      <c r="F417" s="4">
        <f>T1.PLATEREADER_VALUE("",E413)</f>
        <v>0</v>
      </c>
      <c r="G417" s="4">
        <f>T1.PLATEREADER_VALUE("",E413)</f>
        <v>0</v>
      </c>
      <c r="H417" s="4">
        <f>T1.PLATEREADER_VALUE("",E413)</f>
        <v>0</v>
      </c>
      <c r="J417" s="33" t="s">
        <v>753</v>
      </c>
      <c r="K417" s="3" t="e">
        <f>T1.Label("RAW_DATA","sn")</f>
        <v>#REF!</v>
      </c>
      <c r="M417" s="33" t="s">
        <v>756</v>
      </c>
      <c r="N417" s="3" t="e">
        <f>T1.role("MAX","RAW_DATA","avr")</f>
        <v>#REF!</v>
      </c>
    </row>
    <row r="418" spans="1:25" ht="11.25" hidden="1" customHeight="1">
      <c r="B418" s="1" t="s">
        <v>417</v>
      </c>
      <c r="C418" s="4">
        <f>T1.PLATEREADER_VALUE("",E413)</f>
        <v>0</v>
      </c>
      <c r="D418" s="4">
        <f>T1.PLATEREADER_VALUE("",E413)</f>
        <v>0</v>
      </c>
      <c r="E418" s="4">
        <f>T1.PLATEREADER_VALUE("",E413)</f>
        <v>0</v>
      </c>
      <c r="F418" s="4">
        <f>T1.PLATEREADER_VALUE("",E413)</f>
        <v>0</v>
      </c>
      <c r="G418" s="4">
        <f>T1.PLATEREADER_VALUE("",E413)</f>
        <v>0</v>
      </c>
      <c r="H418" s="4">
        <f>T1.PLATEREADER_VALUE("",E413)</f>
        <v>0</v>
      </c>
      <c r="J418" s="33" t="s">
        <v>751</v>
      </c>
      <c r="K418" s="7" t="e">
        <f>T1.Label("RAW_DATA","zprime")</f>
        <v>#REF!</v>
      </c>
      <c r="M418" s="33" t="s">
        <v>757</v>
      </c>
      <c r="N418" s="3" t="e">
        <f>T1.role("MIN","RAW_DATA","avr")</f>
        <v>#REF!</v>
      </c>
    </row>
    <row r="419" spans="1:25" ht="11.25" hidden="1" customHeight="1">
      <c r="B419" s="1" t="s">
        <v>418</v>
      </c>
      <c r="C419" s="4">
        <f>T1.PLATEREADER_VALUE("",E413)</f>
        <v>0</v>
      </c>
      <c r="D419" s="4">
        <f>T1.PLATEREADER_VALUE("",E413)</f>
        <v>0</v>
      </c>
      <c r="E419" s="4">
        <f>T1.PLATEREADER_VALUE("",E413)</f>
        <v>0</v>
      </c>
      <c r="F419" s="4">
        <f>T1.PLATEREADER_VALUE("",E413)</f>
        <v>0</v>
      </c>
      <c r="G419" s="4">
        <f>T1.PLATEREADER_VALUE("",E413)</f>
        <v>0</v>
      </c>
      <c r="H419" s="4">
        <f>T1.PLATEREADER_VALUE("",E413)</f>
        <v>0</v>
      </c>
      <c r="J419" s="33" t="s">
        <v>754</v>
      </c>
      <c r="K419" s="7" t="e">
        <f>T1.role("MAX","RAW_DATA","cvp")</f>
        <v>#REF!</v>
      </c>
      <c r="M419" s="33" t="s">
        <v>798</v>
      </c>
      <c r="N419" s="3" t="e">
        <f>T1.role("CPD*","RAW_DATA","avr")</f>
        <v>#REF!</v>
      </c>
    </row>
    <row r="420" spans="1:25" ht="11.25" customHeight="1">
      <c r="A420" s="6"/>
      <c r="B420" s="5"/>
      <c r="D420" s="3"/>
      <c r="E420" s="3"/>
      <c r="F420" s="33"/>
      <c r="G420" s="3"/>
      <c r="I420" s="33"/>
      <c r="J420" s="7"/>
      <c r="K420" s="3"/>
      <c r="L420" s="33"/>
      <c r="M420" s="7"/>
      <c r="N420" s="3"/>
      <c r="O420" s="33"/>
      <c r="P420" s="7"/>
      <c r="Q420" s="3"/>
      <c r="R420" s="33"/>
      <c r="S420" s="3"/>
      <c r="U420" s="33"/>
      <c r="V420" s="3"/>
      <c r="X420" s="33"/>
      <c r="Y420" s="3"/>
    </row>
    <row r="421" spans="1:25" s="63" customFormat="1" ht="11.25" customHeight="1">
      <c r="A421" s="63" t="s">
        <v>2013</v>
      </c>
      <c r="D421" s="64" t="s">
        <v>806</v>
      </c>
      <c r="E421" s="65" t="s">
        <v>805</v>
      </c>
    </row>
    <row r="422" spans="1:25" s="35" customFormat="1" ht="11.25" hidden="1" customHeight="1">
      <c r="A422" s="27"/>
      <c r="B422" s="27"/>
    </row>
    <row r="423" spans="1:25" ht="11.25" hidden="1" customHeight="1">
      <c r="B423" s="1"/>
      <c r="C423" s="1">
        <v>1</v>
      </c>
      <c r="D423" s="1">
        <v>2</v>
      </c>
      <c r="E423" s="1">
        <v>3</v>
      </c>
      <c r="F423" s="1">
        <v>4</v>
      </c>
      <c r="G423" s="1">
        <v>5</v>
      </c>
      <c r="H423" s="1">
        <v>6</v>
      </c>
      <c r="I423" s="1">
        <v>7</v>
      </c>
      <c r="J423" s="1">
        <v>8</v>
      </c>
      <c r="K423" s="1">
        <v>9</v>
      </c>
      <c r="L423" s="1">
        <v>10</v>
      </c>
      <c r="M423" s="1">
        <v>11</v>
      </c>
      <c r="N423" s="1">
        <v>12</v>
      </c>
    </row>
    <row r="424" spans="1:25" ht="11.25" hidden="1" customHeight="1">
      <c r="B424" s="1" t="s">
        <v>415</v>
      </c>
      <c r="C424" s="4">
        <f>T1.PLATEREADER_VALUE("",E421)</f>
        <v>0</v>
      </c>
      <c r="D424" s="4">
        <f>T1.PLATEREADER_VALUE("",E421)</f>
        <v>0</v>
      </c>
      <c r="E424" s="4">
        <f>T1.PLATEREADER_VALUE("",E421)</f>
        <v>0</v>
      </c>
      <c r="F424" s="4">
        <f>T1.PLATEREADER_VALUE("",E421)</f>
        <v>0</v>
      </c>
      <c r="G424" s="4">
        <f>T1.PLATEREADER_VALUE("",E421)</f>
        <v>0</v>
      </c>
      <c r="H424" s="4">
        <f>T1.PLATEREADER_VALUE("",E421)</f>
        <v>0</v>
      </c>
      <c r="I424" s="4">
        <f>T1.PLATEREADER_VALUE("",E421)</f>
        <v>0</v>
      </c>
      <c r="J424" s="4">
        <f>T1.PLATEREADER_VALUE("",E421)</f>
        <v>0</v>
      </c>
      <c r="K424" s="4">
        <f>T1.PLATEREADER_VALUE("",E421)</f>
        <v>0</v>
      </c>
      <c r="L424" s="4">
        <f>T1.PLATEREADER_VALUE("",E421)</f>
        <v>0</v>
      </c>
      <c r="M424" s="4">
        <f>T1.PLATEREADER_VALUE("",E421)</f>
        <v>0</v>
      </c>
      <c r="N424" s="4">
        <f>T1.PLATEREADER_VALUE("",E421)</f>
        <v>0</v>
      </c>
      <c r="P424" s="10" t="s">
        <v>752</v>
      </c>
      <c r="Q424" s="3" t="e">
        <f>T1.Label("RAW_DATA","sb")</f>
        <v>#REF!</v>
      </c>
    </row>
    <row r="425" spans="1:25" ht="11.25" hidden="1" customHeight="1">
      <c r="B425" s="1" t="s">
        <v>416</v>
      </c>
      <c r="C425" s="4">
        <f>T1.PLATEREADER_VALUE("",E421)</f>
        <v>0</v>
      </c>
      <c r="D425" s="4">
        <f>T1.PLATEREADER_VALUE("",E421)</f>
        <v>0</v>
      </c>
      <c r="E425" s="4">
        <f>T1.PLATEREADER_VALUE("",E421)</f>
        <v>0</v>
      </c>
      <c r="F425" s="4">
        <f>T1.PLATEREADER_VALUE("",E421)</f>
        <v>0</v>
      </c>
      <c r="G425" s="4">
        <f>T1.PLATEREADER_VALUE("",E421)</f>
        <v>0</v>
      </c>
      <c r="H425" s="4">
        <f>T1.PLATEREADER_VALUE("",E421)</f>
        <v>0</v>
      </c>
      <c r="I425" s="4">
        <f>T1.PLATEREADER_VALUE("",E421)</f>
        <v>0</v>
      </c>
      <c r="J425" s="4">
        <f>T1.PLATEREADER_VALUE("",E421)</f>
        <v>0</v>
      </c>
      <c r="K425" s="4">
        <f>T1.PLATEREADER_VALUE("",E421)</f>
        <v>0</v>
      </c>
      <c r="L425" s="4">
        <f>T1.PLATEREADER_VALUE("",E421)</f>
        <v>0</v>
      </c>
      <c r="M425" s="4">
        <f>T1.PLATEREADER_VALUE("",E421)</f>
        <v>0</v>
      </c>
      <c r="N425" s="4">
        <f>T1.PLATEREADER_VALUE("",E421)</f>
        <v>0</v>
      </c>
      <c r="P425" s="33" t="s">
        <v>753</v>
      </c>
      <c r="Q425" s="3" t="e">
        <f>T1.Label("RAW_DATA","sn")</f>
        <v>#REF!</v>
      </c>
    </row>
    <row r="426" spans="1:25" ht="11.25" hidden="1" customHeight="1">
      <c r="B426" s="1" t="s">
        <v>417</v>
      </c>
      <c r="C426" s="4">
        <f>T1.PLATEREADER_VALUE("",E421)</f>
        <v>0</v>
      </c>
      <c r="D426" s="4">
        <f>T1.PLATEREADER_VALUE("",E421)</f>
        <v>0</v>
      </c>
      <c r="E426" s="4">
        <f>T1.PLATEREADER_VALUE("",E421)</f>
        <v>0</v>
      </c>
      <c r="F426" s="4">
        <f>T1.PLATEREADER_VALUE("",E421)</f>
        <v>0</v>
      </c>
      <c r="G426" s="4">
        <f>T1.PLATEREADER_VALUE("",E421)</f>
        <v>0</v>
      </c>
      <c r="H426" s="4">
        <f>T1.PLATEREADER_VALUE("",E421)</f>
        <v>0</v>
      </c>
      <c r="I426" s="4">
        <f>T1.PLATEREADER_VALUE("",E421)</f>
        <v>0</v>
      </c>
      <c r="J426" s="4">
        <f>T1.PLATEREADER_VALUE("",E421)</f>
        <v>0</v>
      </c>
      <c r="K426" s="4">
        <f>T1.PLATEREADER_VALUE("",E421)</f>
        <v>0</v>
      </c>
      <c r="L426" s="4">
        <f>T1.PLATEREADER_VALUE("",E421)</f>
        <v>0</v>
      </c>
      <c r="M426" s="4">
        <f>T1.PLATEREADER_VALUE("",E421)</f>
        <v>0</v>
      </c>
      <c r="N426" s="4">
        <f>T1.PLATEREADER_VALUE("",E421)</f>
        <v>0</v>
      </c>
      <c r="P426" s="33" t="s">
        <v>751</v>
      </c>
      <c r="Q426" s="7" t="e">
        <f>T1.Label("RAW_DATA","zprime")</f>
        <v>#REF!</v>
      </c>
    </row>
    <row r="427" spans="1:25" ht="11.25" hidden="1" customHeight="1">
      <c r="B427" s="1" t="s">
        <v>418</v>
      </c>
      <c r="C427" s="4">
        <f>T1.PLATEREADER_VALUE("",E421)</f>
        <v>0</v>
      </c>
      <c r="D427" s="4">
        <f>T1.PLATEREADER_VALUE("",E421)</f>
        <v>0</v>
      </c>
      <c r="E427" s="4">
        <f>T1.PLATEREADER_VALUE("",E421)</f>
        <v>0</v>
      </c>
      <c r="F427" s="4">
        <f>T1.PLATEREADER_VALUE("",E421)</f>
        <v>0</v>
      </c>
      <c r="G427" s="4">
        <f>T1.PLATEREADER_VALUE("",E421)</f>
        <v>0</v>
      </c>
      <c r="H427" s="4">
        <f>T1.PLATEREADER_VALUE("",E421)</f>
        <v>0</v>
      </c>
      <c r="I427" s="4">
        <f>T1.PLATEREADER_VALUE("",E421)</f>
        <v>0</v>
      </c>
      <c r="J427" s="4">
        <f>T1.PLATEREADER_VALUE("",E421)</f>
        <v>0</v>
      </c>
      <c r="K427" s="4">
        <f>T1.PLATEREADER_VALUE("",E421)</f>
        <v>0</v>
      </c>
      <c r="L427" s="4">
        <f>T1.PLATEREADER_VALUE("",E421)</f>
        <v>0</v>
      </c>
      <c r="M427" s="4">
        <f>T1.PLATEREADER_VALUE("",E421)</f>
        <v>0</v>
      </c>
      <c r="N427" s="4">
        <f>T1.PLATEREADER_VALUE("",E421)</f>
        <v>0</v>
      </c>
      <c r="P427" s="33" t="s">
        <v>754</v>
      </c>
      <c r="Q427" s="7" t="e">
        <f>T1.role("MAX","RAW_DATA","cvp")</f>
        <v>#REF!</v>
      </c>
    </row>
    <row r="428" spans="1:25" ht="11.25" hidden="1" customHeight="1">
      <c r="B428" s="1" t="s">
        <v>419</v>
      </c>
      <c r="C428" s="4">
        <f>T1.PLATEREADER_VALUE("",E421)</f>
        <v>0</v>
      </c>
      <c r="D428" s="4">
        <f>T1.PLATEREADER_VALUE("",E421)</f>
        <v>0</v>
      </c>
      <c r="E428" s="4">
        <f>T1.PLATEREADER_VALUE("",E421)</f>
        <v>0</v>
      </c>
      <c r="F428" s="4">
        <f>T1.PLATEREADER_VALUE("",E421)</f>
        <v>0</v>
      </c>
      <c r="G428" s="4">
        <f>T1.PLATEREADER_VALUE("",E421)</f>
        <v>0</v>
      </c>
      <c r="H428" s="4">
        <f>T1.PLATEREADER_VALUE("",E421)</f>
        <v>0</v>
      </c>
      <c r="I428" s="4">
        <f>T1.PLATEREADER_VALUE("",E421)</f>
        <v>0</v>
      </c>
      <c r="J428" s="4">
        <f>T1.PLATEREADER_VALUE("",E421)</f>
        <v>0</v>
      </c>
      <c r="K428" s="4">
        <f>T1.PLATEREADER_VALUE("",E421)</f>
        <v>0</v>
      </c>
      <c r="L428" s="4">
        <f>T1.PLATEREADER_VALUE("",E421)</f>
        <v>0</v>
      </c>
      <c r="M428" s="4">
        <f>T1.PLATEREADER_VALUE("",E421)</f>
        <v>0</v>
      </c>
      <c r="N428" s="4">
        <f>T1.PLATEREADER_VALUE("",E421)</f>
        <v>0</v>
      </c>
      <c r="P428" s="33" t="s">
        <v>755</v>
      </c>
      <c r="Q428" s="7" t="e">
        <f>T1.role("MIN","RAW_DATA","cvp")</f>
        <v>#REF!</v>
      </c>
    </row>
    <row r="429" spans="1:25" ht="11.25" hidden="1" customHeight="1">
      <c r="B429" s="1" t="s">
        <v>420</v>
      </c>
      <c r="C429" s="4">
        <f>T1.PLATEREADER_VALUE("",E421)</f>
        <v>0</v>
      </c>
      <c r="D429" s="4">
        <f>T1.PLATEREADER_VALUE("",E421)</f>
        <v>0</v>
      </c>
      <c r="E429" s="4">
        <f>T1.PLATEREADER_VALUE("",E421)</f>
        <v>0</v>
      </c>
      <c r="F429" s="4">
        <f>T1.PLATEREADER_VALUE("",E421)</f>
        <v>0</v>
      </c>
      <c r="G429" s="4">
        <f>T1.PLATEREADER_VALUE("",E421)</f>
        <v>0</v>
      </c>
      <c r="H429" s="4">
        <f>T1.PLATEREADER_VALUE("",E421)</f>
        <v>0</v>
      </c>
      <c r="I429" s="4">
        <f>T1.PLATEREADER_VALUE("",E421)</f>
        <v>0</v>
      </c>
      <c r="J429" s="4">
        <f>T1.PLATEREADER_VALUE("",E421)</f>
        <v>0</v>
      </c>
      <c r="K429" s="4">
        <f>T1.PLATEREADER_VALUE("",E421)</f>
        <v>0</v>
      </c>
      <c r="L429" s="4">
        <f>T1.PLATEREADER_VALUE("",E421)</f>
        <v>0</v>
      </c>
      <c r="M429" s="4">
        <f>T1.PLATEREADER_VALUE("",E421)</f>
        <v>0</v>
      </c>
      <c r="N429" s="4">
        <f>T1.PLATEREADER_VALUE("",E421)</f>
        <v>0</v>
      </c>
      <c r="P429" s="33" t="s">
        <v>756</v>
      </c>
      <c r="Q429" s="3" t="e">
        <f>T1.role("MAX","RAW_DATA","avr")</f>
        <v>#REF!</v>
      </c>
    </row>
    <row r="430" spans="1:25" ht="11.25" hidden="1" customHeight="1">
      <c r="B430" s="1" t="s">
        <v>421</v>
      </c>
      <c r="C430" s="4">
        <f>T1.PLATEREADER_VALUE("",E421)</f>
        <v>0</v>
      </c>
      <c r="D430" s="4">
        <f>T1.PLATEREADER_VALUE("",E421)</f>
        <v>0</v>
      </c>
      <c r="E430" s="4">
        <f>T1.PLATEREADER_VALUE("",E421)</f>
        <v>0</v>
      </c>
      <c r="F430" s="4">
        <f>T1.PLATEREADER_VALUE("",E421)</f>
        <v>0</v>
      </c>
      <c r="G430" s="4">
        <f>T1.PLATEREADER_VALUE("",E421)</f>
        <v>0</v>
      </c>
      <c r="H430" s="4">
        <f>T1.PLATEREADER_VALUE("",E421)</f>
        <v>0</v>
      </c>
      <c r="I430" s="4">
        <f>T1.PLATEREADER_VALUE("",E421)</f>
        <v>0</v>
      </c>
      <c r="J430" s="4">
        <f>T1.PLATEREADER_VALUE("",E421)</f>
        <v>0</v>
      </c>
      <c r="K430" s="4">
        <f>T1.PLATEREADER_VALUE("",E421)</f>
        <v>0</v>
      </c>
      <c r="L430" s="4">
        <f>T1.PLATEREADER_VALUE("",E421)</f>
        <v>0</v>
      </c>
      <c r="M430" s="4">
        <f>T1.PLATEREADER_VALUE("",E421)</f>
        <v>0</v>
      </c>
      <c r="N430" s="4">
        <f>T1.PLATEREADER_VALUE("",E421)</f>
        <v>0</v>
      </c>
      <c r="P430" s="33" t="s">
        <v>757</v>
      </c>
      <c r="Q430" s="3" t="e">
        <f>T1.role("MIN","RAW_DATA","avr")</f>
        <v>#REF!</v>
      </c>
    </row>
    <row r="431" spans="1:25" ht="11.25" hidden="1" customHeight="1">
      <c r="B431" s="1" t="s">
        <v>422</v>
      </c>
      <c r="C431" s="4">
        <f>T1.PLATEREADER_VALUE("",E421)</f>
        <v>0</v>
      </c>
      <c r="D431" s="4">
        <f>T1.PLATEREADER_VALUE("",E421)</f>
        <v>0</v>
      </c>
      <c r="E431" s="4">
        <f>T1.PLATEREADER_VALUE("",E421)</f>
        <v>0</v>
      </c>
      <c r="F431" s="4">
        <f>T1.PLATEREADER_VALUE("",E421)</f>
        <v>0</v>
      </c>
      <c r="G431" s="4">
        <f>T1.PLATEREADER_VALUE("",E421)</f>
        <v>0</v>
      </c>
      <c r="H431" s="4">
        <f>T1.PLATEREADER_VALUE("",E421)</f>
        <v>0</v>
      </c>
      <c r="I431" s="4">
        <f>T1.PLATEREADER_VALUE("",E421)</f>
        <v>0</v>
      </c>
      <c r="J431" s="4">
        <f>T1.PLATEREADER_VALUE("",E421)</f>
        <v>0</v>
      </c>
      <c r="K431" s="4">
        <f>T1.PLATEREADER_VALUE("",E421)</f>
        <v>0</v>
      </c>
      <c r="L431" s="4">
        <f>T1.PLATEREADER_VALUE("",E421)</f>
        <v>0</v>
      </c>
      <c r="M431" s="4">
        <f>T1.PLATEREADER_VALUE("",E421)</f>
        <v>0</v>
      </c>
      <c r="N431" s="4">
        <f>T1.PLATEREADER_VALUE("",E421)</f>
        <v>0</v>
      </c>
      <c r="P431" s="33" t="s">
        <v>798</v>
      </c>
      <c r="Q431" s="3" t="e">
        <f>T1.role("CPD*","RAW_DATA","avr")</f>
        <v>#REF!</v>
      </c>
    </row>
    <row r="432" spans="1:25" ht="11.25" customHeight="1">
      <c r="A432" s="6"/>
      <c r="B432" s="5"/>
      <c r="D432" s="3"/>
      <c r="E432" s="3"/>
      <c r="F432" s="33"/>
      <c r="G432" s="3"/>
      <c r="I432" s="33"/>
      <c r="J432" s="7"/>
      <c r="K432" s="3"/>
      <c r="L432" s="33"/>
      <c r="M432" s="7"/>
      <c r="N432" s="3"/>
      <c r="O432" s="33"/>
      <c r="P432" s="7"/>
      <c r="Q432" s="3"/>
      <c r="R432" s="33"/>
      <c r="S432" s="3"/>
      <c r="U432" s="33"/>
      <c r="V432" s="3"/>
      <c r="X432" s="33"/>
      <c r="Y432" s="3"/>
    </row>
    <row r="433" spans="1:26" s="63" customFormat="1" ht="11.25" customHeight="1">
      <c r="A433" s="63" t="s">
        <v>2020</v>
      </c>
      <c r="D433" s="64" t="s">
        <v>806</v>
      </c>
      <c r="E433" s="65" t="s">
        <v>805</v>
      </c>
    </row>
    <row r="434" spans="1:26" s="35" customFormat="1" ht="11.25" hidden="1" customHeight="1">
      <c r="A434" s="27"/>
      <c r="B434" s="27"/>
    </row>
    <row r="435" spans="1:26" ht="11.25" hidden="1" customHeight="1">
      <c r="B435" s="1"/>
      <c r="C435" s="1">
        <v>1</v>
      </c>
      <c r="D435" s="1">
        <v>2</v>
      </c>
      <c r="E435" s="1">
        <v>3</v>
      </c>
      <c r="F435" s="1">
        <v>4</v>
      </c>
      <c r="G435" s="1">
        <v>5</v>
      </c>
      <c r="H435" s="1">
        <v>6</v>
      </c>
      <c r="I435" s="1">
        <v>7</v>
      </c>
      <c r="J435" s="1">
        <v>8</v>
      </c>
      <c r="K435" s="1">
        <v>9</v>
      </c>
      <c r="L435" s="1">
        <v>10</v>
      </c>
      <c r="M435" s="1">
        <v>11</v>
      </c>
      <c r="N435" s="1">
        <v>12</v>
      </c>
      <c r="O435" s="1">
        <v>13</v>
      </c>
      <c r="P435" s="1">
        <v>14</v>
      </c>
      <c r="Q435" s="1">
        <v>15</v>
      </c>
      <c r="R435" s="1">
        <v>16</v>
      </c>
      <c r="S435" s="1">
        <v>17</v>
      </c>
      <c r="T435" s="1">
        <v>18</v>
      </c>
      <c r="U435" s="1">
        <v>19</v>
      </c>
      <c r="V435" s="1">
        <v>20</v>
      </c>
      <c r="W435" s="1">
        <v>21</v>
      </c>
      <c r="X435" s="1">
        <v>22</v>
      </c>
      <c r="Y435" s="1">
        <v>23</v>
      </c>
      <c r="Z435" s="1">
        <v>24</v>
      </c>
    </row>
    <row r="436" spans="1:26" ht="11.25" hidden="1" customHeight="1">
      <c r="B436" s="1" t="s">
        <v>415</v>
      </c>
      <c r="C436" s="4">
        <f>T1.PLATEREADER_VALUE("",E433)</f>
        <v>0</v>
      </c>
      <c r="D436" s="4">
        <f>T1.PLATEREADER_VALUE("",E433)</f>
        <v>0</v>
      </c>
      <c r="E436" s="4">
        <f>T1.PLATEREADER_VALUE("",E433)</f>
        <v>0</v>
      </c>
      <c r="F436" s="4">
        <f>T1.PLATEREADER_VALUE("",E433)</f>
        <v>0</v>
      </c>
      <c r="G436" s="4">
        <f>T1.PLATEREADER_VALUE("",E433)</f>
        <v>0</v>
      </c>
      <c r="H436" s="4">
        <f>T1.PLATEREADER_VALUE("",E433)</f>
        <v>0</v>
      </c>
      <c r="I436" s="4">
        <f>T1.PLATEREADER_VALUE("",E433)</f>
        <v>0</v>
      </c>
      <c r="J436" s="4">
        <f>T1.PLATEREADER_VALUE("",E433)</f>
        <v>0</v>
      </c>
      <c r="K436" s="4">
        <f>T1.PLATEREADER_VALUE("",E433)</f>
        <v>0</v>
      </c>
      <c r="L436" s="4">
        <f>T1.PLATEREADER_VALUE("",E433)</f>
        <v>0</v>
      </c>
      <c r="M436" s="4">
        <f>T1.PLATEREADER_VALUE("",E433)</f>
        <v>0</v>
      </c>
      <c r="N436" s="4">
        <f>T1.PLATEREADER_VALUE("",E433)</f>
        <v>0</v>
      </c>
      <c r="O436" s="4">
        <f>T1.PLATEREADER_VALUE("",E433)</f>
        <v>0</v>
      </c>
      <c r="P436" s="4">
        <f>T1.PLATEREADER_VALUE("",E433)</f>
        <v>0</v>
      </c>
      <c r="Q436" s="4">
        <f>T1.PLATEREADER_VALUE("",E433)</f>
        <v>0</v>
      </c>
      <c r="R436" s="4">
        <f>T1.PLATEREADER_VALUE("",E433)</f>
        <v>0</v>
      </c>
      <c r="S436" s="4">
        <f>T1.PLATEREADER_VALUE("",E433)</f>
        <v>0</v>
      </c>
      <c r="T436" s="4">
        <f>T1.PLATEREADER_VALUE("",E433)</f>
        <v>0</v>
      </c>
      <c r="U436" s="4">
        <f>T1.PLATEREADER_VALUE("",E433)</f>
        <v>0</v>
      </c>
      <c r="V436" s="4">
        <f>T1.PLATEREADER_VALUE("",E433)</f>
        <v>0</v>
      </c>
      <c r="W436" s="4">
        <f>T1.PLATEREADER_VALUE("",E433)</f>
        <v>0</v>
      </c>
      <c r="X436" s="4">
        <f>T1.PLATEREADER_VALUE("",E433)</f>
        <v>0</v>
      </c>
      <c r="Y436" s="4">
        <f>T1.PLATEREADER_VALUE("",E433)</f>
        <v>0</v>
      </c>
      <c r="Z436" s="4">
        <f>T1.PLATEREADER_VALUE("",E433)</f>
        <v>0</v>
      </c>
    </row>
    <row r="437" spans="1:26" ht="11.25" hidden="1" customHeight="1">
      <c r="B437" s="1" t="s">
        <v>416</v>
      </c>
      <c r="C437" s="4">
        <f>T1.PLATEREADER_VALUE("",E433)</f>
        <v>0</v>
      </c>
      <c r="D437" s="4">
        <f>T1.PLATEREADER_VALUE("",E433)</f>
        <v>0</v>
      </c>
      <c r="E437" s="4">
        <f>T1.PLATEREADER_VALUE("",E433)</f>
        <v>0</v>
      </c>
      <c r="F437" s="4">
        <f>T1.PLATEREADER_VALUE("",E433)</f>
        <v>0</v>
      </c>
      <c r="G437" s="4">
        <f>T1.PLATEREADER_VALUE("",E433)</f>
        <v>0</v>
      </c>
      <c r="H437" s="4">
        <f>T1.PLATEREADER_VALUE("",E433)</f>
        <v>0</v>
      </c>
      <c r="I437" s="4">
        <f>T1.PLATEREADER_VALUE("",E433)</f>
        <v>0</v>
      </c>
      <c r="J437" s="4">
        <f>T1.PLATEREADER_VALUE("",E433)</f>
        <v>0</v>
      </c>
      <c r="K437" s="4">
        <f>T1.PLATEREADER_VALUE("",E433)</f>
        <v>0</v>
      </c>
      <c r="L437" s="4">
        <f>T1.PLATEREADER_VALUE("",E433)</f>
        <v>0</v>
      </c>
      <c r="M437" s="4">
        <f>T1.PLATEREADER_VALUE("",E433)</f>
        <v>0</v>
      </c>
      <c r="N437" s="4">
        <f>T1.PLATEREADER_VALUE("",E433)</f>
        <v>0</v>
      </c>
      <c r="O437" s="4">
        <f>T1.PLATEREADER_VALUE("",E433)</f>
        <v>0</v>
      </c>
      <c r="P437" s="4">
        <f>T1.PLATEREADER_VALUE("",E433)</f>
        <v>0</v>
      </c>
      <c r="Q437" s="4">
        <f>T1.PLATEREADER_VALUE("",E433)</f>
        <v>0</v>
      </c>
      <c r="R437" s="4">
        <f>T1.PLATEREADER_VALUE("",E433)</f>
        <v>0</v>
      </c>
      <c r="S437" s="4">
        <f>T1.PLATEREADER_VALUE("",E433)</f>
        <v>0</v>
      </c>
      <c r="T437" s="4">
        <f>T1.PLATEREADER_VALUE("",E433)</f>
        <v>0</v>
      </c>
      <c r="U437" s="4">
        <f>T1.PLATEREADER_VALUE("",E433)</f>
        <v>0</v>
      </c>
      <c r="V437" s="4">
        <f>T1.PLATEREADER_VALUE("",E433)</f>
        <v>0</v>
      </c>
      <c r="W437" s="4">
        <f>T1.PLATEREADER_VALUE("",E433)</f>
        <v>0</v>
      </c>
      <c r="X437" s="4">
        <f>T1.PLATEREADER_VALUE("",E433)</f>
        <v>0</v>
      </c>
      <c r="Y437" s="4">
        <f>T1.PLATEREADER_VALUE("",E433)</f>
        <v>0</v>
      </c>
      <c r="Z437" s="4">
        <f>T1.PLATEREADER_VALUE("",E433)</f>
        <v>0</v>
      </c>
    </row>
    <row r="438" spans="1:26" ht="11.25" hidden="1" customHeight="1">
      <c r="B438" s="1" t="s">
        <v>417</v>
      </c>
      <c r="C438" s="4">
        <f>T1.PLATEREADER_VALUE("",E433)</f>
        <v>0</v>
      </c>
      <c r="D438" s="4">
        <f>T1.PLATEREADER_VALUE("",E433)</f>
        <v>0</v>
      </c>
      <c r="E438" s="4">
        <f>T1.PLATEREADER_VALUE("",E433)</f>
        <v>0</v>
      </c>
      <c r="F438" s="4">
        <f>T1.PLATEREADER_VALUE("",E433)</f>
        <v>0</v>
      </c>
      <c r="G438" s="4">
        <f>T1.PLATEREADER_VALUE("",E433)</f>
        <v>0</v>
      </c>
      <c r="H438" s="4">
        <f>T1.PLATEREADER_VALUE("",E433)</f>
        <v>0</v>
      </c>
      <c r="I438" s="4">
        <f>T1.PLATEREADER_VALUE("",E433)</f>
        <v>0</v>
      </c>
      <c r="J438" s="4">
        <f>T1.PLATEREADER_VALUE("",E433)</f>
        <v>0</v>
      </c>
      <c r="K438" s="4">
        <f>T1.PLATEREADER_VALUE("",E433)</f>
        <v>0</v>
      </c>
      <c r="L438" s="4">
        <f>T1.PLATEREADER_VALUE("",E433)</f>
        <v>0</v>
      </c>
      <c r="M438" s="4">
        <f>T1.PLATEREADER_VALUE("",E433)</f>
        <v>0</v>
      </c>
      <c r="N438" s="4">
        <f>T1.PLATEREADER_VALUE("",E433)</f>
        <v>0</v>
      </c>
      <c r="O438" s="4">
        <f>T1.PLATEREADER_VALUE("",E433)</f>
        <v>0</v>
      </c>
      <c r="P438" s="4">
        <f>T1.PLATEREADER_VALUE("",E433)</f>
        <v>0</v>
      </c>
      <c r="Q438" s="4">
        <f>T1.PLATEREADER_VALUE("",E433)</f>
        <v>0</v>
      </c>
      <c r="R438" s="4">
        <f>T1.PLATEREADER_VALUE("",E433)</f>
        <v>0</v>
      </c>
      <c r="S438" s="4">
        <f>T1.PLATEREADER_VALUE("",E433)</f>
        <v>0</v>
      </c>
      <c r="T438" s="4">
        <f>T1.PLATEREADER_VALUE("",E433)</f>
        <v>0</v>
      </c>
      <c r="U438" s="4">
        <f>T1.PLATEREADER_VALUE("",E433)</f>
        <v>0</v>
      </c>
      <c r="V438" s="4">
        <f>T1.PLATEREADER_VALUE("",E433)</f>
        <v>0</v>
      </c>
      <c r="W438" s="4">
        <f>T1.PLATEREADER_VALUE("",E433)</f>
        <v>0</v>
      </c>
      <c r="X438" s="4">
        <f>T1.PLATEREADER_VALUE("",E433)</f>
        <v>0</v>
      </c>
      <c r="Y438" s="4">
        <f>T1.PLATEREADER_VALUE("",E433)</f>
        <v>0</v>
      </c>
      <c r="Z438" s="4">
        <f>T1.PLATEREADER_VALUE("",E433)</f>
        <v>0</v>
      </c>
    </row>
    <row r="439" spans="1:26" ht="11.25" hidden="1" customHeight="1">
      <c r="B439" s="1" t="s">
        <v>418</v>
      </c>
      <c r="C439" s="4">
        <f>T1.PLATEREADER_VALUE("",E433)</f>
        <v>0</v>
      </c>
      <c r="D439" s="4">
        <f>T1.PLATEREADER_VALUE("",E433)</f>
        <v>0</v>
      </c>
      <c r="E439" s="4">
        <f>T1.PLATEREADER_VALUE("",E433)</f>
        <v>0</v>
      </c>
      <c r="F439" s="4">
        <f>T1.PLATEREADER_VALUE("",E433)</f>
        <v>0</v>
      </c>
      <c r="G439" s="4">
        <f>T1.PLATEREADER_VALUE("",E433)</f>
        <v>0</v>
      </c>
      <c r="H439" s="4">
        <f>T1.PLATEREADER_VALUE("",E433)</f>
        <v>0</v>
      </c>
      <c r="I439" s="4">
        <f>T1.PLATEREADER_VALUE("",E433)</f>
        <v>0</v>
      </c>
      <c r="J439" s="4">
        <f>T1.PLATEREADER_VALUE("",E433)</f>
        <v>0</v>
      </c>
      <c r="K439" s="4">
        <f>T1.PLATEREADER_VALUE("",E433)</f>
        <v>0</v>
      </c>
      <c r="L439" s="4">
        <f>T1.PLATEREADER_VALUE("",E433)</f>
        <v>0</v>
      </c>
      <c r="M439" s="4">
        <f>T1.PLATEREADER_VALUE("",E433)</f>
        <v>0</v>
      </c>
      <c r="N439" s="4">
        <f>T1.PLATEREADER_VALUE("",E433)</f>
        <v>0</v>
      </c>
      <c r="O439" s="4">
        <f>T1.PLATEREADER_VALUE("",E433)</f>
        <v>0</v>
      </c>
      <c r="P439" s="4">
        <f>T1.PLATEREADER_VALUE("",E433)</f>
        <v>0</v>
      </c>
      <c r="Q439" s="4">
        <f>T1.PLATEREADER_VALUE("",E433)</f>
        <v>0</v>
      </c>
      <c r="R439" s="4">
        <f>T1.PLATEREADER_VALUE("",E433)</f>
        <v>0</v>
      </c>
      <c r="S439" s="4">
        <f>T1.PLATEREADER_VALUE("",E433)</f>
        <v>0</v>
      </c>
      <c r="T439" s="4">
        <f>T1.PLATEREADER_VALUE("",E433)</f>
        <v>0</v>
      </c>
      <c r="U439" s="4">
        <f>T1.PLATEREADER_VALUE("",E433)</f>
        <v>0</v>
      </c>
      <c r="V439" s="4">
        <f>T1.PLATEREADER_VALUE("",E433)</f>
        <v>0</v>
      </c>
      <c r="W439" s="4">
        <f>T1.PLATEREADER_VALUE("",E433)</f>
        <v>0</v>
      </c>
      <c r="X439" s="4">
        <f>T1.PLATEREADER_VALUE("",E433)</f>
        <v>0</v>
      </c>
      <c r="Y439" s="4">
        <f>T1.PLATEREADER_VALUE("",E433)</f>
        <v>0</v>
      </c>
      <c r="Z439" s="4">
        <f>T1.PLATEREADER_VALUE("",E433)</f>
        <v>0</v>
      </c>
    </row>
    <row r="440" spans="1:26" ht="11.25" hidden="1" customHeight="1">
      <c r="B440" s="1" t="s">
        <v>419</v>
      </c>
      <c r="C440" s="4">
        <f>T1.PLATEREADER_VALUE("",E433)</f>
        <v>0</v>
      </c>
      <c r="D440" s="4">
        <f>T1.PLATEREADER_VALUE("",E433)</f>
        <v>0</v>
      </c>
      <c r="E440" s="4">
        <f>T1.PLATEREADER_VALUE("",E433)</f>
        <v>0</v>
      </c>
      <c r="F440" s="4">
        <f>T1.PLATEREADER_VALUE("",E433)</f>
        <v>0</v>
      </c>
      <c r="G440" s="4">
        <f>T1.PLATEREADER_VALUE("",E433)</f>
        <v>0</v>
      </c>
      <c r="H440" s="4">
        <f>T1.PLATEREADER_VALUE("",E433)</f>
        <v>0</v>
      </c>
      <c r="I440" s="4">
        <f>T1.PLATEREADER_VALUE("",E433)</f>
        <v>0</v>
      </c>
      <c r="J440" s="4">
        <f>T1.PLATEREADER_VALUE("",E433)</f>
        <v>0</v>
      </c>
      <c r="K440" s="4">
        <f>T1.PLATEREADER_VALUE("",E433)</f>
        <v>0</v>
      </c>
      <c r="L440" s="4">
        <f>T1.PLATEREADER_VALUE("",E433)</f>
        <v>0</v>
      </c>
      <c r="M440" s="4">
        <f>T1.PLATEREADER_VALUE("",E433)</f>
        <v>0</v>
      </c>
      <c r="N440" s="4">
        <f>T1.PLATEREADER_VALUE("",E433)</f>
        <v>0</v>
      </c>
      <c r="O440" s="4">
        <f>T1.PLATEREADER_VALUE("",E433)</f>
        <v>0</v>
      </c>
      <c r="P440" s="4">
        <f>T1.PLATEREADER_VALUE("",E433)</f>
        <v>0</v>
      </c>
      <c r="Q440" s="4">
        <f>T1.PLATEREADER_VALUE("",E433)</f>
        <v>0</v>
      </c>
      <c r="R440" s="4">
        <f>T1.PLATEREADER_VALUE("",E433)</f>
        <v>0</v>
      </c>
      <c r="S440" s="4">
        <f>T1.PLATEREADER_VALUE("",E433)</f>
        <v>0</v>
      </c>
      <c r="T440" s="4">
        <f>T1.PLATEREADER_VALUE("",E433)</f>
        <v>0</v>
      </c>
      <c r="U440" s="4">
        <f>T1.PLATEREADER_VALUE("",E433)</f>
        <v>0</v>
      </c>
      <c r="V440" s="4">
        <f>T1.PLATEREADER_VALUE("",E433)</f>
        <v>0</v>
      </c>
      <c r="W440" s="4">
        <f>T1.PLATEREADER_VALUE("",E433)</f>
        <v>0</v>
      </c>
      <c r="X440" s="4">
        <f>T1.PLATEREADER_VALUE("",E433)</f>
        <v>0</v>
      </c>
      <c r="Y440" s="4">
        <f>T1.PLATEREADER_VALUE("",E433)</f>
        <v>0</v>
      </c>
      <c r="Z440" s="4">
        <f>T1.PLATEREADER_VALUE("",E433)</f>
        <v>0</v>
      </c>
    </row>
    <row r="441" spans="1:26" ht="11.25" hidden="1" customHeight="1">
      <c r="B441" s="1" t="s">
        <v>420</v>
      </c>
      <c r="C441" s="4">
        <f>T1.PLATEREADER_VALUE("",E433)</f>
        <v>0</v>
      </c>
      <c r="D441" s="4">
        <f>T1.PLATEREADER_VALUE("",E433)</f>
        <v>0</v>
      </c>
      <c r="E441" s="4">
        <f>T1.PLATEREADER_VALUE("",E433)</f>
        <v>0</v>
      </c>
      <c r="F441" s="4">
        <f>T1.PLATEREADER_VALUE("",E433)</f>
        <v>0</v>
      </c>
      <c r="G441" s="4">
        <f>T1.PLATEREADER_VALUE("",E433)</f>
        <v>0</v>
      </c>
      <c r="H441" s="4">
        <f>T1.PLATEREADER_VALUE("",E433)</f>
        <v>0</v>
      </c>
      <c r="I441" s="4">
        <f>T1.PLATEREADER_VALUE("",E433)</f>
        <v>0</v>
      </c>
      <c r="J441" s="4">
        <f>T1.PLATEREADER_VALUE("",E433)</f>
        <v>0</v>
      </c>
      <c r="K441" s="4">
        <f>T1.PLATEREADER_VALUE("",E433)</f>
        <v>0</v>
      </c>
      <c r="L441" s="4">
        <f>T1.PLATEREADER_VALUE("",E433)</f>
        <v>0</v>
      </c>
      <c r="M441" s="4">
        <f>T1.PLATEREADER_VALUE("",E433)</f>
        <v>0</v>
      </c>
      <c r="N441" s="4">
        <f>T1.PLATEREADER_VALUE("",E433)</f>
        <v>0</v>
      </c>
      <c r="O441" s="4">
        <f>T1.PLATEREADER_VALUE("",E433)</f>
        <v>0</v>
      </c>
      <c r="P441" s="4">
        <f>T1.PLATEREADER_VALUE("",E433)</f>
        <v>0</v>
      </c>
      <c r="Q441" s="4">
        <f>T1.PLATEREADER_VALUE("",E433)</f>
        <v>0</v>
      </c>
      <c r="R441" s="4">
        <f>T1.PLATEREADER_VALUE("",E433)</f>
        <v>0</v>
      </c>
      <c r="S441" s="4">
        <f>T1.PLATEREADER_VALUE("",E433)</f>
        <v>0</v>
      </c>
      <c r="T441" s="4">
        <f>T1.PLATEREADER_VALUE("",E433)</f>
        <v>0</v>
      </c>
      <c r="U441" s="4">
        <f>T1.PLATEREADER_VALUE("",E433)</f>
        <v>0</v>
      </c>
      <c r="V441" s="4">
        <f>T1.PLATEREADER_VALUE("",E433)</f>
        <v>0</v>
      </c>
      <c r="W441" s="4">
        <f>T1.PLATEREADER_VALUE("",E433)</f>
        <v>0</v>
      </c>
      <c r="X441" s="4">
        <f>T1.PLATEREADER_VALUE("",E433)</f>
        <v>0</v>
      </c>
      <c r="Y441" s="4">
        <f>T1.PLATEREADER_VALUE("",E433)</f>
        <v>0</v>
      </c>
      <c r="Z441" s="4">
        <f>T1.PLATEREADER_VALUE("",E433)</f>
        <v>0</v>
      </c>
    </row>
    <row r="442" spans="1:26" ht="11.25" hidden="1" customHeight="1">
      <c r="B442" s="1" t="s">
        <v>421</v>
      </c>
      <c r="C442" s="4">
        <f>T1.PLATEREADER_VALUE("",E433)</f>
        <v>0</v>
      </c>
      <c r="D442" s="4">
        <f>T1.PLATEREADER_VALUE("",E433)</f>
        <v>0</v>
      </c>
      <c r="E442" s="4">
        <f>T1.PLATEREADER_VALUE("",E433)</f>
        <v>0</v>
      </c>
      <c r="F442" s="4">
        <f>T1.PLATEREADER_VALUE("",E433)</f>
        <v>0</v>
      </c>
      <c r="G442" s="4">
        <f>T1.PLATEREADER_VALUE("",E433)</f>
        <v>0</v>
      </c>
      <c r="H442" s="4">
        <f>T1.PLATEREADER_VALUE("",E433)</f>
        <v>0</v>
      </c>
      <c r="I442" s="4">
        <f>T1.PLATEREADER_VALUE("",E433)</f>
        <v>0</v>
      </c>
      <c r="J442" s="4">
        <f>T1.PLATEREADER_VALUE("",E433)</f>
        <v>0</v>
      </c>
      <c r="K442" s="4">
        <f>T1.PLATEREADER_VALUE("",E433)</f>
        <v>0</v>
      </c>
      <c r="L442" s="4">
        <f>T1.PLATEREADER_VALUE("",E433)</f>
        <v>0</v>
      </c>
      <c r="M442" s="4">
        <f>T1.PLATEREADER_VALUE("",E433)</f>
        <v>0</v>
      </c>
      <c r="N442" s="4">
        <f>T1.PLATEREADER_VALUE("",E433)</f>
        <v>0</v>
      </c>
      <c r="O442" s="4">
        <f>T1.PLATEREADER_VALUE("",E433)</f>
        <v>0</v>
      </c>
      <c r="P442" s="4">
        <f>T1.PLATEREADER_VALUE("",E433)</f>
        <v>0</v>
      </c>
      <c r="Q442" s="4">
        <f>T1.PLATEREADER_VALUE("",E433)</f>
        <v>0</v>
      </c>
      <c r="R442" s="4">
        <f>T1.PLATEREADER_VALUE("",E433)</f>
        <v>0</v>
      </c>
      <c r="S442" s="4">
        <f>T1.PLATEREADER_VALUE("",E433)</f>
        <v>0</v>
      </c>
      <c r="T442" s="4">
        <f>T1.PLATEREADER_VALUE("",E433)</f>
        <v>0</v>
      </c>
      <c r="U442" s="4">
        <f>T1.PLATEREADER_VALUE("",E433)</f>
        <v>0</v>
      </c>
      <c r="V442" s="4">
        <f>T1.PLATEREADER_VALUE("",E433)</f>
        <v>0</v>
      </c>
      <c r="W442" s="4">
        <f>T1.PLATEREADER_VALUE("",E433)</f>
        <v>0</v>
      </c>
      <c r="X442" s="4">
        <f>T1.PLATEREADER_VALUE("",E433)</f>
        <v>0</v>
      </c>
      <c r="Y442" s="4">
        <f>T1.PLATEREADER_VALUE("",E433)</f>
        <v>0</v>
      </c>
      <c r="Z442" s="4">
        <f>T1.PLATEREADER_VALUE("",E433)</f>
        <v>0</v>
      </c>
    </row>
    <row r="443" spans="1:26" ht="11.25" hidden="1" customHeight="1">
      <c r="B443" s="1" t="s">
        <v>422</v>
      </c>
      <c r="C443" s="4">
        <f>T1.PLATEREADER_VALUE("",E433)</f>
        <v>0</v>
      </c>
      <c r="D443" s="4">
        <f>T1.PLATEREADER_VALUE("",E433)</f>
        <v>0</v>
      </c>
      <c r="E443" s="4">
        <f>T1.PLATEREADER_VALUE("",E433)</f>
        <v>0</v>
      </c>
      <c r="F443" s="4">
        <f>T1.PLATEREADER_VALUE("",E433)</f>
        <v>0</v>
      </c>
      <c r="G443" s="4">
        <f>T1.PLATEREADER_VALUE("",E433)</f>
        <v>0</v>
      </c>
      <c r="H443" s="4">
        <f>T1.PLATEREADER_VALUE("",E433)</f>
        <v>0</v>
      </c>
      <c r="I443" s="4">
        <f>T1.PLATEREADER_VALUE("",E433)</f>
        <v>0</v>
      </c>
      <c r="J443" s="4">
        <f>T1.PLATEREADER_VALUE("",E433)</f>
        <v>0</v>
      </c>
      <c r="K443" s="4">
        <f>T1.PLATEREADER_VALUE("",E433)</f>
        <v>0</v>
      </c>
      <c r="L443" s="4">
        <f>T1.PLATEREADER_VALUE("",E433)</f>
        <v>0</v>
      </c>
      <c r="M443" s="4">
        <f>T1.PLATEREADER_VALUE("",E433)</f>
        <v>0</v>
      </c>
      <c r="N443" s="4">
        <f>T1.PLATEREADER_VALUE("",E433)</f>
        <v>0</v>
      </c>
      <c r="O443" s="4">
        <f>T1.PLATEREADER_VALUE("",E433)</f>
        <v>0</v>
      </c>
      <c r="P443" s="4">
        <f>T1.PLATEREADER_VALUE("",E433)</f>
        <v>0</v>
      </c>
      <c r="Q443" s="4">
        <f>T1.PLATEREADER_VALUE("",E433)</f>
        <v>0</v>
      </c>
      <c r="R443" s="4">
        <f>T1.PLATEREADER_VALUE("",E433)</f>
        <v>0</v>
      </c>
      <c r="S443" s="4">
        <f>T1.PLATEREADER_VALUE("",E433)</f>
        <v>0</v>
      </c>
      <c r="T443" s="4">
        <f>T1.PLATEREADER_VALUE("",E433)</f>
        <v>0</v>
      </c>
      <c r="U443" s="4">
        <f>T1.PLATEREADER_VALUE("",E433)</f>
        <v>0</v>
      </c>
      <c r="V443" s="4">
        <f>T1.PLATEREADER_VALUE("",E433)</f>
        <v>0</v>
      </c>
      <c r="W443" s="4">
        <f>T1.PLATEREADER_VALUE("",E433)</f>
        <v>0</v>
      </c>
      <c r="X443" s="4">
        <f>T1.PLATEREADER_VALUE("",E433)</f>
        <v>0</v>
      </c>
      <c r="Y443" s="4">
        <f>T1.PLATEREADER_VALUE("",E433)</f>
        <v>0</v>
      </c>
      <c r="Z443" s="4">
        <f>T1.PLATEREADER_VALUE("",E433)</f>
        <v>0</v>
      </c>
    </row>
    <row r="444" spans="1:26" ht="11.25" hidden="1" customHeight="1">
      <c r="B444" s="1" t="s">
        <v>423</v>
      </c>
      <c r="C444" s="4">
        <f>T1.PLATEREADER_VALUE("",E433)</f>
        <v>0</v>
      </c>
      <c r="D444" s="4">
        <f>T1.PLATEREADER_VALUE("",E433)</f>
        <v>0</v>
      </c>
      <c r="E444" s="4">
        <f>T1.PLATEREADER_VALUE("",E433)</f>
        <v>0</v>
      </c>
      <c r="F444" s="4">
        <f>T1.PLATEREADER_VALUE("",E433)</f>
        <v>0</v>
      </c>
      <c r="G444" s="4">
        <f>T1.PLATEREADER_VALUE("",E433)</f>
        <v>0</v>
      </c>
      <c r="H444" s="4">
        <f>T1.PLATEREADER_VALUE("",E433)</f>
        <v>0</v>
      </c>
      <c r="I444" s="4">
        <f>T1.PLATEREADER_VALUE("",E433)</f>
        <v>0</v>
      </c>
      <c r="J444" s="4">
        <f>T1.PLATEREADER_VALUE("",E433)</f>
        <v>0</v>
      </c>
      <c r="K444" s="4">
        <f>T1.PLATEREADER_VALUE("",E433)</f>
        <v>0</v>
      </c>
      <c r="L444" s="4">
        <f>T1.PLATEREADER_VALUE("",E433)</f>
        <v>0</v>
      </c>
      <c r="M444" s="4">
        <f>T1.PLATEREADER_VALUE("",E433)</f>
        <v>0</v>
      </c>
      <c r="N444" s="4">
        <f>T1.PLATEREADER_VALUE("",E433)</f>
        <v>0</v>
      </c>
      <c r="O444" s="4">
        <f>T1.PLATEREADER_VALUE("",E433)</f>
        <v>0</v>
      </c>
      <c r="P444" s="4">
        <f>T1.PLATEREADER_VALUE("",E433)</f>
        <v>0</v>
      </c>
      <c r="Q444" s="4">
        <f>T1.PLATEREADER_VALUE("",E433)</f>
        <v>0</v>
      </c>
      <c r="R444" s="4">
        <f>T1.PLATEREADER_VALUE("",E433)</f>
        <v>0</v>
      </c>
      <c r="S444" s="4">
        <f>T1.PLATEREADER_VALUE("",E433)</f>
        <v>0</v>
      </c>
      <c r="T444" s="4">
        <f>T1.PLATEREADER_VALUE("",E433)</f>
        <v>0</v>
      </c>
      <c r="U444" s="4">
        <f>T1.PLATEREADER_VALUE("",E433)</f>
        <v>0</v>
      </c>
      <c r="V444" s="4">
        <f>T1.PLATEREADER_VALUE("",E433)</f>
        <v>0</v>
      </c>
      <c r="W444" s="4">
        <f>T1.PLATEREADER_VALUE("",E433)</f>
        <v>0</v>
      </c>
      <c r="X444" s="4">
        <f>T1.PLATEREADER_VALUE("",E433)</f>
        <v>0</v>
      </c>
      <c r="Y444" s="4">
        <f>T1.PLATEREADER_VALUE("",E433)</f>
        <v>0</v>
      </c>
      <c r="Z444" s="4">
        <f>T1.PLATEREADER_VALUE("",E433)</f>
        <v>0</v>
      </c>
    </row>
    <row r="445" spans="1:26" ht="11.25" hidden="1" customHeight="1">
      <c r="B445" s="1" t="s">
        <v>424</v>
      </c>
      <c r="C445" s="4">
        <f>T1.PLATEREADER_VALUE("",E433)</f>
        <v>0</v>
      </c>
      <c r="D445" s="4">
        <f>T1.PLATEREADER_VALUE("",E433)</f>
        <v>0</v>
      </c>
      <c r="E445" s="4">
        <f>T1.PLATEREADER_VALUE("",E433)</f>
        <v>0</v>
      </c>
      <c r="F445" s="4">
        <f>T1.PLATEREADER_VALUE("",E433)</f>
        <v>0</v>
      </c>
      <c r="G445" s="4">
        <f>T1.PLATEREADER_VALUE("",E433)</f>
        <v>0</v>
      </c>
      <c r="H445" s="4">
        <f>T1.PLATEREADER_VALUE("",E433)</f>
        <v>0</v>
      </c>
      <c r="I445" s="4">
        <f>T1.PLATEREADER_VALUE("",E433)</f>
        <v>0</v>
      </c>
      <c r="J445" s="4">
        <f>T1.PLATEREADER_VALUE("",E433)</f>
        <v>0</v>
      </c>
      <c r="K445" s="4">
        <f>T1.PLATEREADER_VALUE("",E433)</f>
        <v>0</v>
      </c>
      <c r="L445" s="4">
        <f>T1.PLATEREADER_VALUE("",E433)</f>
        <v>0</v>
      </c>
      <c r="M445" s="4">
        <f>T1.PLATEREADER_VALUE("",E433)</f>
        <v>0</v>
      </c>
      <c r="N445" s="4">
        <f>T1.PLATEREADER_VALUE("",E433)</f>
        <v>0</v>
      </c>
      <c r="O445" s="4">
        <f>T1.PLATEREADER_VALUE("",E433)</f>
        <v>0</v>
      </c>
      <c r="P445" s="4">
        <f>T1.PLATEREADER_VALUE("",E433)</f>
        <v>0</v>
      </c>
      <c r="Q445" s="4">
        <f>T1.PLATEREADER_VALUE("",E433)</f>
        <v>0</v>
      </c>
      <c r="R445" s="4">
        <f>T1.PLATEREADER_VALUE("",E433)</f>
        <v>0</v>
      </c>
      <c r="S445" s="4">
        <f>T1.PLATEREADER_VALUE("",E433)</f>
        <v>0</v>
      </c>
      <c r="T445" s="4">
        <f>T1.PLATEREADER_VALUE("",E433)</f>
        <v>0</v>
      </c>
      <c r="U445" s="4">
        <f>T1.PLATEREADER_VALUE("",E433)</f>
        <v>0</v>
      </c>
      <c r="V445" s="4">
        <f>T1.PLATEREADER_VALUE("",E433)</f>
        <v>0</v>
      </c>
      <c r="W445" s="4">
        <f>T1.PLATEREADER_VALUE("",E433)</f>
        <v>0</v>
      </c>
      <c r="X445" s="4">
        <f>T1.PLATEREADER_VALUE("",E433)</f>
        <v>0</v>
      </c>
      <c r="Y445" s="4">
        <f>T1.PLATEREADER_VALUE("",E433)</f>
        <v>0</v>
      </c>
      <c r="Z445" s="4">
        <f>T1.PLATEREADER_VALUE("",E433)</f>
        <v>0</v>
      </c>
    </row>
    <row r="446" spans="1:26" ht="11.25" hidden="1" customHeight="1">
      <c r="B446" s="1" t="s">
        <v>425</v>
      </c>
      <c r="C446" s="4">
        <f>T1.PLATEREADER_VALUE("",E433)</f>
        <v>0</v>
      </c>
      <c r="D446" s="4">
        <f>T1.PLATEREADER_VALUE("",E433)</f>
        <v>0</v>
      </c>
      <c r="E446" s="4">
        <f>T1.PLATEREADER_VALUE("",E433)</f>
        <v>0</v>
      </c>
      <c r="F446" s="4">
        <f>T1.PLATEREADER_VALUE("",E433)</f>
        <v>0</v>
      </c>
      <c r="G446" s="4">
        <f>T1.PLATEREADER_VALUE("",E433)</f>
        <v>0</v>
      </c>
      <c r="H446" s="4">
        <f>T1.PLATEREADER_VALUE("",E433)</f>
        <v>0</v>
      </c>
      <c r="I446" s="4">
        <f>T1.PLATEREADER_VALUE("",E433)</f>
        <v>0</v>
      </c>
      <c r="J446" s="4">
        <f>T1.PLATEREADER_VALUE("",E433)</f>
        <v>0</v>
      </c>
      <c r="K446" s="4">
        <f>T1.PLATEREADER_VALUE("",E433)</f>
        <v>0</v>
      </c>
      <c r="L446" s="4">
        <f>T1.PLATEREADER_VALUE("",E433)</f>
        <v>0</v>
      </c>
      <c r="M446" s="4">
        <f>T1.PLATEREADER_VALUE("",E433)</f>
        <v>0</v>
      </c>
      <c r="N446" s="4">
        <f>T1.PLATEREADER_VALUE("",E433)</f>
        <v>0</v>
      </c>
      <c r="O446" s="4">
        <f>T1.PLATEREADER_VALUE("",E433)</f>
        <v>0</v>
      </c>
      <c r="P446" s="4">
        <f>T1.PLATEREADER_VALUE("",E433)</f>
        <v>0</v>
      </c>
      <c r="Q446" s="4">
        <f>T1.PLATEREADER_VALUE("",E433)</f>
        <v>0</v>
      </c>
      <c r="R446" s="4">
        <f>T1.PLATEREADER_VALUE("",E433)</f>
        <v>0</v>
      </c>
      <c r="S446" s="4">
        <f>T1.PLATEREADER_VALUE("",E433)</f>
        <v>0</v>
      </c>
      <c r="T446" s="4">
        <f>T1.PLATEREADER_VALUE("",E433)</f>
        <v>0</v>
      </c>
      <c r="U446" s="4">
        <f>T1.PLATEREADER_VALUE("",E433)</f>
        <v>0</v>
      </c>
      <c r="V446" s="4">
        <f>T1.PLATEREADER_VALUE("",E433)</f>
        <v>0</v>
      </c>
      <c r="W446" s="4">
        <f>T1.PLATEREADER_VALUE("",E433)</f>
        <v>0</v>
      </c>
      <c r="X446" s="4">
        <f>T1.PLATEREADER_VALUE("",E433)</f>
        <v>0</v>
      </c>
      <c r="Y446" s="4">
        <f>T1.PLATEREADER_VALUE("",E433)</f>
        <v>0</v>
      </c>
      <c r="Z446" s="4">
        <f>T1.PLATEREADER_VALUE("",E433)</f>
        <v>0</v>
      </c>
    </row>
    <row r="447" spans="1:26" ht="11.25" hidden="1" customHeight="1">
      <c r="B447" s="1" t="s">
        <v>426</v>
      </c>
      <c r="C447" s="4">
        <f>T1.PLATEREADER_VALUE("",E433)</f>
        <v>0</v>
      </c>
      <c r="D447" s="4">
        <f>T1.PLATEREADER_VALUE("",E433)</f>
        <v>0</v>
      </c>
      <c r="E447" s="4">
        <f>T1.PLATEREADER_VALUE("",E433)</f>
        <v>0</v>
      </c>
      <c r="F447" s="4">
        <f>T1.PLATEREADER_VALUE("",E433)</f>
        <v>0</v>
      </c>
      <c r="G447" s="4">
        <f>T1.PLATEREADER_VALUE("",E433)</f>
        <v>0</v>
      </c>
      <c r="H447" s="4">
        <f>T1.PLATEREADER_VALUE("",E433)</f>
        <v>0</v>
      </c>
      <c r="I447" s="4">
        <f>T1.PLATEREADER_VALUE("",E433)</f>
        <v>0</v>
      </c>
      <c r="J447" s="4">
        <f>T1.PLATEREADER_VALUE("",E433)</f>
        <v>0</v>
      </c>
      <c r="K447" s="4">
        <f>T1.PLATEREADER_VALUE("",E433)</f>
        <v>0</v>
      </c>
      <c r="L447" s="4">
        <f>T1.PLATEREADER_VALUE("",E433)</f>
        <v>0</v>
      </c>
      <c r="M447" s="4">
        <f>T1.PLATEREADER_VALUE("",E433)</f>
        <v>0</v>
      </c>
      <c r="N447" s="4">
        <f>T1.PLATEREADER_VALUE("",E433)</f>
        <v>0</v>
      </c>
      <c r="O447" s="4">
        <f>T1.PLATEREADER_VALUE("",E433)</f>
        <v>0</v>
      </c>
      <c r="P447" s="4">
        <f>T1.PLATEREADER_VALUE("",E433)</f>
        <v>0</v>
      </c>
      <c r="Q447" s="4">
        <f>T1.PLATEREADER_VALUE("",E433)</f>
        <v>0</v>
      </c>
      <c r="R447" s="4">
        <f>T1.PLATEREADER_VALUE("",E433)</f>
        <v>0</v>
      </c>
      <c r="S447" s="4">
        <f>T1.PLATEREADER_VALUE("",E433)</f>
        <v>0</v>
      </c>
      <c r="T447" s="4">
        <f>T1.PLATEREADER_VALUE("",E433)</f>
        <v>0</v>
      </c>
      <c r="U447" s="4">
        <f>T1.PLATEREADER_VALUE("",E433)</f>
        <v>0</v>
      </c>
      <c r="V447" s="4">
        <f>T1.PLATEREADER_VALUE("",E433)</f>
        <v>0</v>
      </c>
      <c r="W447" s="4">
        <f>T1.PLATEREADER_VALUE("",E433)</f>
        <v>0</v>
      </c>
      <c r="X447" s="4">
        <f>T1.PLATEREADER_VALUE("",E433)</f>
        <v>0</v>
      </c>
      <c r="Y447" s="4">
        <f>T1.PLATEREADER_VALUE("",E433)</f>
        <v>0</v>
      </c>
      <c r="Z447" s="4">
        <f>T1.PLATEREADER_VALUE("",E433)</f>
        <v>0</v>
      </c>
    </row>
    <row r="448" spans="1:26" ht="11.25" hidden="1" customHeight="1">
      <c r="B448" s="1" t="s">
        <v>427</v>
      </c>
      <c r="C448" s="4">
        <f>T1.PLATEREADER_VALUE("",E433)</f>
        <v>0</v>
      </c>
      <c r="D448" s="4">
        <f>T1.PLATEREADER_VALUE("",E433)</f>
        <v>0</v>
      </c>
      <c r="E448" s="4">
        <f>T1.PLATEREADER_VALUE("",E433)</f>
        <v>0</v>
      </c>
      <c r="F448" s="4">
        <f>T1.PLATEREADER_VALUE("",E433)</f>
        <v>0</v>
      </c>
      <c r="G448" s="4">
        <f>T1.PLATEREADER_VALUE("",E433)</f>
        <v>0</v>
      </c>
      <c r="H448" s="4">
        <f>T1.PLATEREADER_VALUE("",E433)</f>
        <v>0</v>
      </c>
      <c r="I448" s="4">
        <f>T1.PLATEREADER_VALUE("",E433)</f>
        <v>0</v>
      </c>
      <c r="J448" s="4">
        <f>T1.PLATEREADER_VALUE("",E433)</f>
        <v>0</v>
      </c>
      <c r="K448" s="4">
        <f>T1.PLATEREADER_VALUE("",E433)</f>
        <v>0</v>
      </c>
      <c r="L448" s="4">
        <f>T1.PLATEREADER_VALUE("",E433)</f>
        <v>0</v>
      </c>
      <c r="M448" s="4">
        <f>T1.PLATEREADER_VALUE("",E433)</f>
        <v>0</v>
      </c>
      <c r="N448" s="4">
        <f>T1.PLATEREADER_VALUE("",E433)</f>
        <v>0</v>
      </c>
      <c r="O448" s="4">
        <f>T1.PLATEREADER_VALUE("",E433)</f>
        <v>0</v>
      </c>
      <c r="P448" s="4">
        <f>T1.PLATEREADER_VALUE("",E433)</f>
        <v>0</v>
      </c>
      <c r="Q448" s="4">
        <f>T1.PLATEREADER_VALUE("",E433)</f>
        <v>0</v>
      </c>
      <c r="R448" s="4">
        <f>T1.PLATEREADER_VALUE("",E433)</f>
        <v>0</v>
      </c>
      <c r="S448" s="4">
        <f>T1.PLATEREADER_VALUE("",E433)</f>
        <v>0</v>
      </c>
      <c r="T448" s="4">
        <f>T1.PLATEREADER_VALUE("",E433)</f>
        <v>0</v>
      </c>
      <c r="U448" s="4">
        <f>T1.PLATEREADER_VALUE("",E433)</f>
        <v>0</v>
      </c>
      <c r="V448" s="4">
        <f>T1.PLATEREADER_VALUE("",E433)</f>
        <v>0</v>
      </c>
      <c r="W448" s="4">
        <f>T1.PLATEREADER_VALUE("",E433)</f>
        <v>0</v>
      </c>
      <c r="X448" s="4">
        <f>T1.PLATEREADER_VALUE("",E433)</f>
        <v>0</v>
      </c>
      <c r="Y448" s="4">
        <f>T1.PLATEREADER_VALUE("",E433)</f>
        <v>0</v>
      </c>
      <c r="Z448" s="4">
        <f>T1.PLATEREADER_VALUE("",E433)</f>
        <v>0</v>
      </c>
    </row>
    <row r="449" spans="1:53" ht="11.25" hidden="1" customHeight="1">
      <c r="B449" s="1" t="s">
        <v>428</v>
      </c>
      <c r="C449" s="4">
        <f>T1.PLATEREADER_VALUE("",E433)</f>
        <v>0</v>
      </c>
      <c r="D449" s="4">
        <f>T1.PLATEREADER_VALUE("",E433)</f>
        <v>0</v>
      </c>
      <c r="E449" s="4">
        <f>T1.PLATEREADER_VALUE("",E433)</f>
        <v>0</v>
      </c>
      <c r="F449" s="4">
        <f>T1.PLATEREADER_VALUE("",E433)</f>
        <v>0</v>
      </c>
      <c r="G449" s="4">
        <f>T1.PLATEREADER_VALUE("",E433)</f>
        <v>0</v>
      </c>
      <c r="H449" s="4">
        <f>T1.PLATEREADER_VALUE("",E433)</f>
        <v>0</v>
      </c>
      <c r="I449" s="4">
        <f>T1.PLATEREADER_VALUE("",E433)</f>
        <v>0</v>
      </c>
      <c r="J449" s="4">
        <f>T1.PLATEREADER_VALUE("",E433)</f>
        <v>0</v>
      </c>
      <c r="K449" s="4">
        <f>T1.PLATEREADER_VALUE("",E433)</f>
        <v>0</v>
      </c>
      <c r="L449" s="4">
        <f>T1.PLATEREADER_VALUE("",E433)</f>
        <v>0</v>
      </c>
      <c r="M449" s="4">
        <f>T1.PLATEREADER_VALUE("",E433)</f>
        <v>0</v>
      </c>
      <c r="N449" s="4">
        <f>T1.PLATEREADER_VALUE("",E433)</f>
        <v>0</v>
      </c>
      <c r="O449" s="4">
        <f>T1.PLATEREADER_VALUE("",E433)</f>
        <v>0</v>
      </c>
      <c r="P449" s="4">
        <f>T1.PLATEREADER_VALUE("",E433)</f>
        <v>0</v>
      </c>
      <c r="Q449" s="4">
        <f>T1.PLATEREADER_VALUE("",E433)</f>
        <v>0</v>
      </c>
      <c r="R449" s="4">
        <f>T1.PLATEREADER_VALUE("",E433)</f>
        <v>0</v>
      </c>
      <c r="S449" s="4">
        <f>T1.PLATEREADER_VALUE("",E433)</f>
        <v>0</v>
      </c>
      <c r="T449" s="4">
        <f>T1.PLATEREADER_VALUE("",E433)</f>
        <v>0</v>
      </c>
      <c r="U449" s="4">
        <f>T1.PLATEREADER_VALUE("",E433)</f>
        <v>0</v>
      </c>
      <c r="V449" s="4">
        <f>T1.PLATEREADER_VALUE("",E433)</f>
        <v>0</v>
      </c>
      <c r="W449" s="4">
        <f>T1.PLATEREADER_VALUE("",E433)</f>
        <v>0</v>
      </c>
      <c r="X449" s="4">
        <f>T1.PLATEREADER_VALUE("",E433)</f>
        <v>0</v>
      </c>
      <c r="Y449" s="4">
        <f>T1.PLATEREADER_VALUE("",E433)</f>
        <v>0</v>
      </c>
      <c r="Z449" s="4">
        <f>T1.PLATEREADER_VALUE("",E433)</f>
        <v>0</v>
      </c>
    </row>
    <row r="450" spans="1:53" ht="11.25" hidden="1" customHeight="1">
      <c r="B450" s="1" t="s">
        <v>429</v>
      </c>
      <c r="C450" s="4">
        <f>T1.PLATEREADER_VALUE("",E433)</f>
        <v>0</v>
      </c>
      <c r="D450" s="4">
        <f>T1.PLATEREADER_VALUE("",E433)</f>
        <v>0</v>
      </c>
      <c r="E450" s="4">
        <f>T1.PLATEREADER_VALUE("",E433)</f>
        <v>0</v>
      </c>
      <c r="F450" s="4">
        <f>T1.PLATEREADER_VALUE("",E433)</f>
        <v>0</v>
      </c>
      <c r="G450" s="4">
        <f>T1.PLATEREADER_VALUE("",E433)</f>
        <v>0</v>
      </c>
      <c r="H450" s="4">
        <f>T1.PLATEREADER_VALUE("",E433)</f>
        <v>0</v>
      </c>
      <c r="I450" s="4">
        <f>T1.PLATEREADER_VALUE("",E433)</f>
        <v>0</v>
      </c>
      <c r="J450" s="4">
        <f>T1.PLATEREADER_VALUE("",E433)</f>
        <v>0</v>
      </c>
      <c r="K450" s="4">
        <f>T1.PLATEREADER_VALUE("",E433)</f>
        <v>0</v>
      </c>
      <c r="L450" s="4">
        <f>T1.PLATEREADER_VALUE("",E433)</f>
        <v>0</v>
      </c>
      <c r="M450" s="4">
        <f>T1.PLATEREADER_VALUE("",E433)</f>
        <v>0</v>
      </c>
      <c r="N450" s="4">
        <f>T1.PLATEREADER_VALUE("",E433)</f>
        <v>0</v>
      </c>
      <c r="O450" s="4">
        <f>T1.PLATEREADER_VALUE("",E433)</f>
        <v>0</v>
      </c>
      <c r="P450" s="4">
        <f>T1.PLATEREADER_VALUE("",E433)</f>
        <v>0</v>
      </c>
      <c r="Q450" s="4">
        <f>T1.PLATEREADER_VALUE("",E433)</f>
        <v>0</v>
      </c>
      <c r="R450" s="4">
        <f>T1.PLATEREADER_VALUE("",E433)</f>
        <v>0</v>
      </c>
      <c r="S450" s="4">
        <f>T1.PLATEREADER_VALUE("",E433)</f>
        <v>0</v>
      </c>
      <c r="T450" s="4">
        <f>T1.PLATEREADER_VALUE("",E433)</f>
        <v>0</v>
      </c>
      <c r="U450" s="4">
        <f>T1.PLATEREADER_VALUE("",E433)</f>
        <v>0</v>
      </c>
      <c r="V450" s="4">
        <f>T1.PLATEREADER_VALUE("",E433)</f>
        <v>0</v>
      </c>
      <c r="W450" s="4">
        <f>T1.PLATEREADER_VALUE("",E433)</f>
        <v>0</v>
      </c>
      <c r="X450" s="4">
        <f>T1.PLATEREADER_VALUE("",E433)</f>
        <v>0</v>
      </c>
      <c r="Y450" s="4">
        <f>T1.PLATEREADER_VALUE("",E433)</f>
        <v>0</v>
      </c>
      <c r="Z450" s="4">
        <f>T1.PLATEREADER_VALUE("",E433)</f>
        <v>0</v>
      </c>
    </row>
    <row r="451" spans="1:53" ht="11.25" hidden="1" customHeight="1">
      <c r="B451" s="1" t="s">
        <v>430</v>
      </c>
      <c r="C451" s="4">
        <f>T1.PLATEREADER_VALUE("",E433)</f>
        <v>0</v>
      </c>
      <c r="D451" s="4">
        <f>T1.PLATEREADER_VALUE("",E433)</f>
        <v>0</v>
      </c>
      <c r="E451" s="4">
        <f>T1.PLATEREADER_VALUE("",E433)</f>
        <v>0</v>
      </c>
      <c r="F451" s="4">
        <f>T1.PLATEREADER_VALUE("",E433)</f>
        <v>0</v>
      </c>
      <c r="G451" s="4">
        <f>T1.PLATEREADER_VALUE("",E433)</f>
        <v>0</v>
      </c>
      <c r="H451" s="4">
        <f>T1.PLATEREADER_VALUE("",E433)</f>
        <v>0</v>
      </c>
      <c r="I451" s="4">
        <f>T1.PLATEREADER_VALUE("",E433)</f>
        <v>0</v>
      </c>
      <c r="J451" s="4">
        <f>T1.PLATEREADER_VALUE("",E433)</f>
        <v>0</v>
      </c>
      <c r="K451" s="4">
        <f>T1.PLATEREADER_VALUE("",E433)</f>
        <v>0</v>
      </c>
      <c r="L451" s="4">
        <f>T1.PLATEREADER_VALUE("",E433)</f>
        <v>0</v>
      </c>
      <c r="M451" s="4">
        <f>T1.PLATEREADER_VALUE("",E433)</f>
        <v>0</v>
      </c>
      <c r="N451" s="4">
        <f>T1.PLATEREADER_VALUE("",E433)</f>
        <v>0</v>
      </c>
      <c r="O451" s="4">
        <f>T1.PLATEREADER_VALUE("",E433)</f>
        <v>0</v>
      </c>
      <c r="P451" s="4">
        <f>T1.PLATEREADER_VALUE("",E433)</f>
        <v>0</v>
      </c>
      <c r="Q451" s="4">
        <f>T1.PLATEREADER_VALUE("",E433)</f>
        <v>0</v>
      </c>
      <c r="R451" s="4">
        <f>T1.PLATEREADER_VALUE("",E433)</f>
        <v>0</v>
      </c>
      <c r="S451" s="4">
        <f>T1.PLATEREADER_VALUE("",E433)</f>
        <v>0</v>
      </c>
      <c r="T451" s="4">
        <f>T1.PLATEREADER_VALUE("",E433)</f>
        <v>0</v>
      </c>
      <c r="U451" s="4">
        <f>T1.PLATEREADER_VALUE("",E433)</f>
        <v>0</v>
      </c>
      <c r="V451" s="4">
        <f>T1.PLATEREADER_VALUE("",E433)</f>
        <v>0</v>
      </c>
      <c r="W451" s="4">
        <f>T1.PLATEREADER_VALUE("",E433)</f>
        <v>0</v>
      </c>
      <c r="X451" s="4">
        <f>T1.PLATEREADER_VALUE("",E433)</f>
        <v>0</v>
      </c>
      <c r="Y451" s="4">
        <f>T1.PLATEREADER_VALUE("",E433)</f>
        <v>0</v>
      </c>
      <c r="Z451" s="4">
        <f>T1.PLATEREADER_VALUE("",E433)</f>
        <v>0</v>
      </c>
    </row>
    <row r="452" spans="1:53" ht="11.25" hidden="1" customHeight="1">
      <c r="B452" s="1"/>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53" ht="11.25" hidden="1" customHeight="1">
      <c r="A453" s="6"/>
      <c r="B453" s="5"/>
      <c r="C453" s="10" t="s">
        <v>752</v>
      </c>
      <c r="D453" s="3" t="e">
        <f>T1.Label("RAW_DATA","sb")</f>
        <v>#REF!</v>
      </c>
      <c r="E453" s="3"/>
      <c r="F453" s="33" t="s">
        <v>753</v>
      </c>
      <c r="G453" s="3" t="e">
        <f>T1.Label("RAW_DATA","sn")</f>
        <v>#REF!</v>
      </c>
      <c r="I453" s="33" t="s">
        <v>751</v>
      </c>
      <c r="J453" s="7" t="e">
        <f>T1.Label("RAW_DATA","zprime")</f>
        <v>#REF!</v>
      </c>
      <c r="K453" s="3"/>
      <c r="L453" s="33" t="s">
        <v>754</v>
      </c>
      <c r="M453" s="7" t="e">
        <f>T1.role("MAX","RAW_DATA","cvp")</f>
        <v>#REF!</v>
      </c>
      <c r="N453" s="3"/>
      <c r="O453" s="33" t="s">
        <v>755</v>
      </c>
      <c r="P453" s="7" t="e">
        <f>T1.role("MIN","RAW_DATA","cvp")</f>
        <v>#REF!</v>
      </c>
      <c r="Q453" s="3"/>
      <c r="R453" s="33" t="s">
        <v>756</v>
      </c>
      <c r="S453" s="3" t="e">
        <f>T1.role("MAX","RAW_DATA","avr")</f>
        <v>#REF!</v>
      </c>
      <c r="U453" s="33" t="s">
        <v>757</v>
      </c>
      <c r="V453" s="3" t="e">
        <f>T1.role("MIN","RAW_DATA","avr")</f>
        <v>#REF!</v>
      </c>
      <c r="X453" s="33" t="s">
        <v>798</v>
      </c>
      <c r="Y453" s="3" t="e">
        <f>T1.role("CPD*","RAW_DATA","avr")</f>
        <v>#REF!</v>
      </c>
    </row>
    <row r="454" spans="1:53" ht="11.25" customHeight="1">
      <c r="A454" s="6"/>
      <c r="B454" s="5"/>
      <c r="D454" s="3"/>
      <c r="E454" s="3"/>
      <c r="F454" s="33"/>
      <c r="G454" s="3"/>
      <c r="I454" s="33"/>
      <c r="J454" s="7"/>
      <c r="K454" s="3"/>
      <c r="L454" s="33"/>
      <c r="M454" s="7"/>
      <c r="N454" s="3"/>
      <c r="O454" s="33"/>
      <c r="P454" s="7"/>
      <c r="Q454" s="3"/>
      <c r="R454" s="33"/>
      <c r="S454" s="3"/>
      <c r="U454" s="33"/>
      <c r="V454" s="3"/>
      <c r="X454" s="33"/>
      <c r="Y454" s="3"/>
    </row>
    <row r="455" spans="1:53" s="63" customFormat="1" ht="11.25" customHeight="1">
      <c r="A455" s="63" t="s">
        <v>2024</v>
      </c>
      <c r="D455" s="64" t="s">
        <v>806</v>
      </c>
      <c r="E455" s="65" t="s">
        <v>805</v>
      </c>
      <c r="H455" s="64"/>
    </row>
    <row r="456" spans="1:53" s="35" customFormat="1" ht="11.25" hidden="1" customHeight="1">
      <c r="A456" s="26"/>
      <c r="B456" s="26"/>
      <c r="C456" s="34"/>
      <c r="D456" s="34"/>
      <c r="H456" s="34"/>
    </row>
    <row r="457" spans="1:53" ht="11.25" hidden="1" customHeight="1">
      <c r="B457" s="36" t="s">
        <v>392</v>
      </c>
      <c r="C457" s="37">
        <v>1</v>
      </c>
      <c r="D457" s="37">
        <v>2</v>
      </c>
      <c r="E457" s="37">
        <v>3</v>
      </c>
      <c r="F457" s="37">
        <v>4</v>
      </c>
      <c r="G457" s="37">
        <v>5</v>
      </c>
      <c r="H457" s="37">
        <v>6</v>
      </c>
      <c r="I457" s="37">
        <v>7</v>
      </c>
      <c r="J457" s="37">
        <v>8</v>
      </c>
      <c r="K457" s="37">
        <v>9</v>
      </c>
      <c r="L457" s="37">
        <v>10</v>
      </c>
      <c r="M457" s="37">
        <v>11</v>
      </c>
      <c r="N457" s="37">
        <v>12</v>
      </c>
      <c r="O457" s="37">
        <v>13</v>
      </c>
      <c r="P457" s="37">
        <v>14</v>
      </c>
      <c r="Q457" s="37">
        <v>15</v>
      </c>
      <c r="R457" s="37">
        <v>16</v>
      </c>
      <c r="S457" s="37">
        <v>17</v>
      </c>
      <c r="T457" s="37">
        <v>18</v>
      </c>
      <c r="U457" s="37">
        <v>19</v>
      </c>
      <c r="V457" s="37">
        <v>20</v>
      </c>
      <c r="W457" s="37">
        <v>21</v>
      </c>
      <c r="X457" s="37">
        <v>22</v>
      </c>
      <c r="Y457" s="37">
        <v>23</v>
      </c>
      <c r="Z457" s="37">
        <v>24</v>
      </c>
      <c r="AA457" s="37">
        <v>25</v>
      </c>
      <c r="AB457" s="37">
        <v>26</v>
      </c>
      <c r="AC457" s="37">
        <v>27</v>
      </c>
      <c r="AD457" s="37">
        <v>28</v>
      </c>
      <c r="AE457" s="37">
        <v>29</v>
      </c>
      <c r="AF457" s="37">
        <v>30</v>
      </c>
      <c r="AG457" s="37">
        <v>31</v>
      </c>
      <c r="AH457" s="37">
        <v>32</v>
      </c>
      <c r="AI457" s="37">
        <v>33</v>
      </c>
      <c r="AJ457" s="37">
        <v>34</v>
      </c>
      <c r="AK457" s="37">
        <v>35</v>
      </c>
      <c r="AL457" s="37">
        <v>36</v>
      </c>
      <c r="AM457" s="37">
        <v>37</v>
      </c>
      <c r="AN457" s="37">
        <v>38</v>
      </c>
      <c r="AO457" s="37">
        <v>39</v>
      </c>
      <c r="AP457" s="37">
        <v>40</v>
      </c>
      <c r="AQ457" s="37">
        <v>41</v>
      </c>
      <c r="AR457" s="37">
        <v>42</v>
      </c>
      <c r="AS457" s="37">
        <v>43</v>
      </c>
      <c r="AT457" s="37">
        <v>44</v>
      </c>
      <c r="AU457" s="37">
        <v>45</v>
      </c>
      <c r="AV457" s="37">
        <v>46</v>
      </c>
      <c r="AW457" s="37">
        <v>47</v>
      </c>
      <c r="AX457" s="37">
        <v>48</v>
      </c>
      <c r="AY457" s="49"/>
      <c r="AZ457" s="49"/>
      <c r="BA457" s="49"/>
    </row>
    <row r="458" spans="1:53" ht="11.25" hidden="1" customHeight="1">
      <c r="B458" s="36" t="s">
        <v>399</v>
      </c>
      <c r="C458" s="4">
        <f>T1.PLATEREADER_VALUE("",E455)</f>
        <v>0</v>
      </c>
      <c r="D458" s="4">
        <f>T1.PLATEREADER_VALUE("",E455)</f>
        <v>0</v>
      </c>
      <c r="E458" s="4">
        <f>T1.PLATEREADER_VALUE("",E455)</f>
        <v>0</v>
      </c>
      <c r="F458" s="4">
        <f>T1.PLATEREADER_VALUE("",E455)</f>
        <v>0</v>
      </c>
      <c r="G458" s="4">
        <f>T1.PLATEREADER_VALUE("",E455)</f>
        <v>0</v>
      </c>
      <c r="H458" s="4">
        <f>T1.PLATEREADER_VALUE("",E455)</f>
        <v>0</v>
      </c>
      <c r="I458" s="4">
        <f>T1.PLATEREADER_VALUE("",E455)</f>
        <v>0</v>
      </c>
      <c r="J458" s="4">
        <f>T1.PLATEREADER_VALUE("",E455)</f>
        <v>0</v>
      </c>
      <c r="K458" s="4">
        <f>T1.PLATEREADER_VALUE("",E455)</f>
        <v>0</v>
      </c>
      <c r="L458" s="4">
        <f>T1.PLATEREADER_VALUE("",E455)</f>
        <v>0</v>
      </c>
      <c r="M458" s="4">
        <f>T1.PLATEREADER_VALUE("",E455)</f>
        <v>0</v>
      </c>
      <c r="N458" s="4">
        <f>T1.PLATEREADER_VALUE("",E455)</f>
        <v>0</v>
      </c>
      <c r="O458" s="4">
        <f>T1.PLATEREADER_VALUE("",E455)</f>
        <v>0</v>
      </c>
      <c r="P458" s="4">
        <f>T1.PLATEREADER_VALUE("",E455)</f>
        <v>0</v>
      </c>
      <c r="Q458" s="4">
        <f>T1.PLATEREADER_VALUE("",E455)</f>
        <v>0</v>
      </c>
      <c r="R458" s="4">
        <f>T1.PLATEREADER_VALUE("",E455)</f>
        <v>0</v>
      </c>
      <c r="S458" s="4">
        <f>T1.PLATEREADER_VALUE("",E455)</f>
        <v>0</v>
      </c>
      <c r="T458" s="4">
        <f>T1.PLATEREADER_VALUE("",E455)</f>
        <v>0</v>
      </c>
      <c r="U458" s="4">
        <f>T1.PLATEREADER_VALUE("",E455)</f>
        <v>0</v>
      </c>
      <c r="V458" s="4">
        <f>T1.PLATEREADER_VALUE("",E455)</f>
        <v>0</v>
      </c>
      <c r="W458" s="4">
        <f>T1.PLATEREADER_VALUE("",E455)</f>
        <v>0</v>
      </c>
      <c r="X458" s="4">
        <f>T1.PLATEREADER_VALUE("",E455)</f>
        <v>0</v>
      </c>
      <c r="Y458" s="4">
        <f>T1.PLATEREADER_VALUE("",E455)</f>
        <v>0</v>
      </c>
      <c r="Z458" s="4">
        <f>T1.PLATEREADER_VALUE("",E455)</f>
        <v>0</v>
      </c>
      <c r="AA458" s="4">
        <f>T1.PLATEREADER_VALUE("",E455)</f>
        <v>0</v>
      </c>
      <c r="AB458" s="4">
        <f>T1.PLATEREADER_VALUE("",E455)</f>
        <v>0</v>
      </c>
      <c r="AC458" s="4">
        <f>T1.PLATEREADER_VALUE("",E455)</f>
        <v>0</v>
      </c>
      <c r="AD458" s="4">
        <f>T1.PLATEREADER_VALUE("",E455)</f>
        <v>0</v>
      </c>
      <c r="AE458" s="4">
        <f>T1.PLATEREADER_VALUE("",E455)</f>
        <v>0</v>
      </c>
      <c r="AF458" s="4">
        <f>T1.PLATEREADER_VALUE("",E455)</f>
        <v>0</v>
      </c>
      <c r="AG458" s="4">
        <f>T1.PLATEREADER_VALUE("",E455)</f>
        <v>0</v>
      </c>
      <c r="AH458" s="4">
        <f>T1.PLATEREADER_VALUE("",E455)</f>
        <v>0</v>
      </c>
      <c r="AI458" s="4">
        <f>T1.PLATEREADER_VALUE("",E455)</f>
        <v>0</v>
      </c>
      <c r="AJ458" s="4">
        <f>T1.PLATEREADER_VALUE("",E455)</f>
        <v>0</v>
      </c>
      <c r="AK458" s="4">
        <f>T1.PLATEREADER_VALUE("",E455)</f>
        <v>0</v>
      </c>
      <c r="AL458" s="4">
        <f>T1.PLATEREADER_VALUE("",E455)</f>
        <v>0</v>
      </c>
      <c r="AM458" s="4">
        <f>T1.PLATEREADER_VALUE("",E455)</f>
        <v>0</v>
      </c>
      <c r="AN458" s="4">
        <f>T1.PLATEREADER_VALUE("",E455)</f>
        <v>0</v>
      </c>
      <c r="AO458" s="4">
        <f>T1.PLATEREADER_VALUE("",E455)</f>
        <v>0</v>
      </c>
      <c r="AP458" s="4">
        <f>T1.PLATEREADER_VALUE("",E455)</f>
        <v>0</v>
      </c>
      <c r="AQ458" s="4">
        <f>T1.PLATEREADER_VALUE("",E455)</f>
        <v>0</v>
      </c>
      <c r="AR458" s="4">
        <f>T1.PLATEREADER_VALUE("",E455)</f>
        <v>0</v>
      </c>
      <c r="AS458" s="4">
        <f>T1.PLATEREADER_VALUE("",E455)</f>
        <v>0</v>
      </c>
      <c r="AT458" s="4">
        <f>T1.PLATEREADER_VALUE("",E455)</f>
        <v>0</v>
      </c>
      <c r="AU458" s="4">
        <f>T1.PLATEREADER_VALUE("",E455)</f>
        <v>0</v>
      </c>
      <c r="AV458" s="4">
        <f>T1.PLATEREADER_VALUE("",E455)</f>
        <v>0</v>
      </c>
      <c r="AW458" s="4">
        <f>T1.PLATEREADER_VALUE("",E455)</f>
        <v>0</v>
      </c>
      <c r="AX458" s="4">
        <f>T1.PLATEREADER_VALUE("",E455)</f>
        <v>0</v>
      </c>
      <c r="AY458" s="49"/>
      <c r="AZ458" s="49"/>
      <c r="BA458" s="49"/>
    </row>
    <row r="459" spans="1:53" ht="11.25" hidden="1" customHeight="1">
      <c r="B459" s="36" t="s">
        <v>400</v>
      </c>
      <c r="C459" s="4">
        <f>T1.PLATEREADER_VALUE("",E455)</f>
        <v>0</v>
      </c>
      <c r="D459" s="4">
        <f>T1.PLATEREADER_VALUE("",E455)</f>
        <v>0</v>
      </c>
      <c r="E459" s="4">
        <f>T1.PLATEREADER_VALUE("",E455)</f>
        <v>0</v>
      </c>
      <c r="F459" s="4">
        <f>T1.PLATEREADER_VALUE("",E455)</f>
        <v>0</v>
      </c>
      <c r="G459" s="4">
        <f>T1.PLATEREADER_VALUE("",E455)</f>
        <v>0</v>
      </c>
      <c r="H459" s="4">
        <f>T1.PLATEREADER_VALUE("",E455)</f>
        <v>0</v>
      </c>
      <c r="I459" s="4">
        <f>T1.PLATEREADER_VALUE("",E455)</f>
        <v>0</v>
      </c>
      <c r="J459" s="4">
        <f>T1.PLATEREADER_VALUE("",E455)</f>
        <v>0</v>
      </c>
      <c r="K459" s="4">
        <f>T1.PLATEREADER_VALUE("",E455)</f>
        <v>0</v>
      </c>
      <c r="L459" s="4">
        <f>T1.PLATEREADER_VALUE("",E455)</f>
        <v>0</v>
      </c>
      <c r="M459" s="4">
        <f>T1.PLATEREADER_VALUE("",E455)</f>
        <v>0</v>
      </c>
      <c r="N459" s="4">
        <f>T1.PLATEREADER_VALUE("",E455)</f>
        <v>0</v>
      </c>
      <c r="O459" s="4">
        <f>T1.PLATEREADER_VALUE("",E455)</f>
        <v>0</v>
      </c>
      <c r="P459" s="4">
        <f>T1.PLATEREADER_VALUE("",E455)</f>
        <v>0</v>
      </c>
      <c r="Q459" s="4">
        <f>T1.PLATEREADER_VALUE("",E455)</f>
        <v>0</v>
      </c>
      <c r="R459" s="4">
        <f>T1.PLATEREADER_VALUE("",E455)</f>
        <v>0</v>
      </c>
      <c r="S459" s="4">
        <f>T1.PLATEREADER_VALUE("",E455)</f>
        <v>0</v>
      </c>
      <c r="T459" s="4">
        <f>T1.PLATEREADER_VALUE("",E455)</f>
        <v>0</v>
      </c>
      <c r="U459" s="4">
        <f>T1.PLATEREADER_VALUE("",E455)</f>
        <v>0</v>
      </c>
      <c r="V459" s="4">
        <f>T1.PLATEREADER_VALUE("",E455)</f>
        <v>0</v>
      </c>
      <c r="W459" s="4">
        <f>T1.PLATEREADER_VALUE("",E455)</f>
        <v>0</v>
      </c>
      <c r="X459" s="4">
        <f>T1.PLATEREADER_VALUE("",E455)</f>
        <v>0</v>
      </c>
      <c r="Y459" s="4">
        <f>T1.PLATEREADER_VALUE("",E455)</f>
        <v>0</v>
      </c>
      <c r="Z459" s="4">
        <f>T1.PLATEREADER_VALUE("",E455)</f>
        <v>0</v>
      </c>
      <c r="AA459" s="4">
        <f>T1.PLATEREADER_VALUE("",E455)</f>
        <v>0</v>
      </c>
      <c r="AB459" s="4">
        <f>T1.PLATEREADER_VALUE("",E455)</f>
        <v>0</v>
      </c>
      <c r="AC459" s="4">
        <f>T1.PLATEREADER_VALUE("",E455)</f>
        <v>0</v>
      </c>
      <c r="AD459" s="4">
        <f>T1.PLATEREADER_VALUE("",E455)</f>
        <v>0</v>
      </c>
      <c r="AE459" s="4">
        <f>T1.PLATEREADER_VALUE("",E455)</f>
        <v>0</v>
      </c>
      <c r="AF459" s="4">
        <f>T1.PLATEREADER_VALUE("",E455)</f>
        <v>0</v>
      </c>
      <c r="AG459" s="4">
        <f>T1.PLATEREADER_VALUE("",E455)</f>
        <v>0</v>
      </c>
      <c r="AH459" s="4">
        <f>T1.PLATEREADER_VALUE("",E455)</f>
        <v>0</v>
      </c>
      <c r="AI459" s="4">
        <f>T1.PLATEREADER_VALUE("",E455)</f>
        <v>0</v>
      </c>
      <c r="AJ459" s="4">
        <f>T1.PLATEREADER_VALUE("",E455)</f>
        <v>0</v>
      </c>
      <c r="AK459" s="4">
        <f>T1.PLATEREADER_VALUE("",E455)</f>
        <v>0</v>
      </c>
      <c r="AL459" s="4">
        <f>T1.PLATEREADER_VALUE("",E455)</f>
        <v>0</v>
      </c>
      <c r="AM459" s="4">
        <f>T1.PLATEREADER_VALUE("",E455)</f>
        <v>0</v>
      </c>
      <c r="AN459" s="4">
        <f>T1.PLATEREADER_VALUE("",E455)</f>
        <v>0</v>
      </c>
      <c r="AO459" s="4">
        <f>T1.PLATEREADER_VALUE("",E455)</f>
        <v>0</v>
      </c>
      <c r="AP459" s="4">
        <f>T1.PLATEREADER_VALUE("",E455)</f>
        <v>0</v>
      </c>
      <c r="AQ459" s="4">
        <f>T1.PLATEREADER_VALUE("",E455)</f>
        <v>0</v>
      </c>
      <c r="AR459" s="4">
        <f>T1.PLATEREADER_VALUE("",E455)</f>
        <v>0</v>
      </c>
      <c r="AS459" s="4">
        <f>T1.PLATEREADER_VALUE("",E455)</f>
        <v>0</v>
      </c>
      <c r="AT459" s="4">
        <f>T1.PLATEREADER_VALUE("",E455)</f>
        <v>0</v>
      </c>
      <c r="AU459" s="4">
        <f>T1.PLATEREADER_VALUE("",E455)</f>
        <v>0</v>
      </c>
      <c r="AV459" s="4">
        <f>T1.PLATEREADER_VALUE("",E455)</f>
        <v>0</v>
      </c>
      <c r="AW459" s="4">
        <f>T1.PLATEREADER_VALUE("",E455)</f>
        <v>0</v>
      </c>
      <c r="AX459" s="4">
        <f>T1.PLATEREADER_VALUE("",E455)</f>
        <v>0</v>
      </c>
      <c r="AY459" s="49"/>
      <c r="AZ459" s="49"/>
      <c r="BA459" s="49"/>
    </row>
    <row r="460" spans="1:53" ht="11.25" hidden="1" customHeight="1">
      <c r="B460" s="36" t="s">
        <v>401</v>
      </c>
      <c r="C460" s="4">
        <f>T1.PLATEREADER_VALUE("",E455)</f>
        <v>0</v>
      </c>
      <c r="D460" s="4">
        <f>T1.PLATEREADER_VALUE("",E455)</f>
        <v>0</v>
      </c>
      <c r="E460" s="4">
        <f>T1.PLATEREADER_VALUE("",E455)</f>
        <v>0</v>
      </c>
      <c r="F460" s="4">
        <f>T1.PLATEREADER_VALUE("",E455)</f>
        <v>0</v>
      </c>
      <c r="G460" s="4">
        <f>T1.PLATEREADER_VALUE("",E455)</f>
        <v>0</v>
      </c>
      <c r="H460" s="4">
        <f>T1.PLATEREADER_VALUE("",E455)</f>
        <v>0</v>
      </c>
      <c r="I460" s="4">
        <f>T1.PLATEREADER_VALUE("",E455)</f>
        <v>0</v>
      </c>
      <c r="J460" s="4">
        <f>T1.PLATEREADER_VALUE("",E455)</f>
        <v>0</v>
      </c>
      <c r="K460" s="4">
        <f>T1.PLATEREADER_VALUE("",E455)</f>
        <v>0</v>
      </c>
      <c r="L460" s="4">
        <f>T1.PLATEREADER_VALUE("",E455)</f>
        <v>0</v>
      </c>
      <c r="M460" s="4">
        <f>T1.PLATEREADER_VALUE("",E455)</f>
        <v>0</v>
      </c>
      <c r="N460" s="4">
        <f>T1.PLATEREADER_VALUE("",E455)</f>
        <v>0</v>
      </c>
      <c r="O460" s="4">
        <f>T1.PLATEREADER_VALUE("",E455)</f>
        <v>0</v>
      </c>
      <c r="P460" s="4">
        <f>T1.PLATEREADER_VALUE("",E455)</f>
        <v>0</v>
      </c>
      <c r="Q460" s="4">
        <f>T1.PLATEREADER_VALUE("",E455)</f>
        <v>0</v>
      </c>
      <c r="R460" s="4">
        <f>T1.PLATEREADER_VALUE("",E455)</f>
        <v>0</v>
      </c>
      <c r="S460" s="4">
        <f>T1.PLATEREADER_VALUE("",E455)</f>
        <v>0</v>
      </c>
      <c r="T460" s="4">
        <f>T1.PLATEREADER_VALUE("",E455)</f>
        <v>0</v>
      </c>
      <c r="U460" s="4">
        <f>T1.PLATEREADER_VALUE("",E455)</f>
        <v>0</v>
      </c>
      <c r="V460" s="4">
        <f>T1.PLATEREADER_VALUE("",E455)</f>
        <v>0</v>
      </c>
      <c r="W460" s="4">
        <f>T1.PLATEREADER_VALUE("",E455)</f>
        <v>0</v>
      </c>
      <c r="X460" s="4">
        <f>T1.PLATEREADER_VALUE("",E455)</f>
        <v>0</v>
      </c>
      <c r="Y460" s="4">
        <f>T1.PLATEREADER_VALUE("",E455)</f>
        <v>0</v>
      </c>
      <c r="Z460" s="4">
        <f>T1.PLATEREADER_VALUE("",E455)</f>
        <v>0</v>
      </c>
      <c r="AA460" s="4">
        <f>T1.PLATEREADER_VALUE("",E455)</f>
        <v>0</v>
      </c>
      <c r="AB460" s="4">
        <f>T1.PLATEREADER_VALUE("",E455)</f>
        <v>0</v>
      </c>
      <c r="AC460" s="4">
        <f>T1.PLATEREADER_VALUE("",E455)</f>
        <v>0</v>
      </c>
      <c r="AD460" s="4">
        <f>T1.PLATEREADER_VALUE("",E455)</f>
        <v>0</v>
      </c>
      <c r="AE460" s="4">
        <f>T1.PLATEREADER_VALUE("",E455)</f>
        <v>0</v>
      </c>
      <c r="AF460" s="4">
        <f>T1.PLATEREADER_VALUE("",E455)</f>
        <v>0</v>
      </c>
      <c r="AG460" s="4">
        <f>T1.PLATEREADER_VALUE("",E455)</f>
        <v>0</v>
      </c>
      <c r="AH460" s="4">
        <f>T1.PLATEREADER_VALUE("",E455)</f>
        <v>0</v>
      </c>
      <c r="AI460" s="4">
        <f>T1.PLATEREADER_VALUE("",E455)</f>
        <v>0</v>
      </c>
      <c r="AJ460" s="4">
        <f>T1.PLATEREADER_VALUE("",E455)</f>
        <v>0</v>
      </c>
      <c r="AK460" s="4">
        <f>T1.PLATEREADER_VALUE("",E455)</f>
        <v>0</v>
      </c>
      <c r="AL460" s="4">
        <f>T1.PLATEREADER_VALUE("",E455)</f>
        <v>0</v>
      </c>
      <c r="AM460" s="4">
        <f>T1.PLATEREADER_VALUE("",E455)</f>
        <v>0</v>
      </c>
      <c r="AN460" s="4">
        <f>T1.PLATEREADER_VALUE("",E455)</f>
        <v>0</v>
      </c>
      <c r="AO460" s="4">
        <f>T1.PLATEREADER_VALUE("",E455)</f>
        <v>0</v>
      </c>
      <c r="AP460" s="4">
        <f>T1.PLATEREADER_VALUE("",E455)</f>
        <v>0</v>
      </c>
      <c r="AQ460" s="4">
        <f>T1.PLATEREADER_VALUE("",E455)</f>
        <v>0</v>
      </c>
      <c r="AR460" s="4">
        <f>T1.PLATEREADER_VALUE("",E455)</f>
        <v>0</v>
      </c>
      <c r="AS460" s="4">
        <f>T1.PLATEREADER_VALUE("",E455)</f>
        <v>0</v>
      </c>
      <c r="AT460" s="4">
        <f>T1.PLATEREADER_VALUE("",E455)</f>
        <v>0</v>
      </c>
      <c r="AU460" s="4">
        <f>T1.PLATEREADER_VALUE("",E455)</f>
        <v>0</v>
      </c>
      <c r="AV460" s="4">
        <f>T1.PLATEREADER_VALUE("",E455)</f>
        <v>0</v>
      </c>
      <c r="AW460" s="4">
        <f>T1.PLATEREADER_VALUE("",E455)</f>
        <v>0</v>
      </c>
      <c r="AX460" s="4">
        <f>T1.PLATEREADER_VALUE("",E455)</f>
        <v>0</v>
      </c>
      <c r="AY460" s="49"/>
      <c r="AZ460" s="49"/>
      <c r="BA460" s="49"/>
    </row>
    <row r="461" spans="1:53" ht="11.25" hidden="1" customHeight="1">
      <c r="B461" s="36" t="s">
        <v>402</v>
      </c>
      <c r="C461" s="4">
        <f>T1.PLATEREADER_VALUE("",E455)</f>
        <v>0</v>
      </c>
      <c r="D461" s="4">
        <f>T1.PLATEREADER_VALUE("",E455)</f>
        <v>0</v>
      </c>
      <c r="E461" s="4">
        <f>T1.PLATEREADER_VALUE("",E455)</f>
        <v>0</v>
      </c>
      <c r="F461" s="4">
        <f>T1.PLATEREADER_VALUE("",E455)</f>
        <v>0</v>
      </c>
      <c r="G461" s="4">
        <f>T1.PLATEREADER_VALUE("",E455)</f>
        <v>0</v>
      </c>
      <c r="H461" s="4">
        <f>T1.PLATEREADER_VALUE("",E455)</f>
        <v>0</v>
      </c>
      <c r="I461" s="4">
        <f>T1.PLATEREADER_VALUE("",E455)</f>
        <v>0</v>
      </c>
      <c r="J461" s="4">
        <f>T1.PLATEREADER_VALUE("",E455)</f>
        <v>0</v>
      </c>
      <c r="K461" s="4">
        <f>T1.PLATEREADER_VALUE("",E455)</f>
        <v>0</v>
      </c>
      <c r="L461" s="4">
        <f>T1.PLATEREADER_VALUE("",E455)</f>
        <v>0</v>
      </c>
      <c r="M461" s="4">
        <f>T1.PLATEREADER_VALUE("",E455)</f>
        <v>0</v>
      </c>
      <c r="N461" s="4">
        <f>T1.PLATEREADER_VALUE("",E455)</f>
        <v>0</v>
      </c>
      <c r="O461" s="4">
        <f>T1.PLATEREADER_VALUE("",E455)</f>
        <v>0</v>
      </c>
      <c r="P461" s="4">
        <f>T1.PLATEREADER_VALUE("",E455)</f>
        <v>0</v>
      </c>
      <c r="Q461" s="4">
        <f>T1.PLATEREADER_VALUE("",E455)</f>
        <v>0</v>
      </c>
      <c r="R461" s="4">
        <f>T1.PLATEREADER_VALUE("",E455)</f>
        <v>0</v>
      </c>
      <c r="S461" s="4">
        <f>T1.PLATEREADER_VALUE("",E455)</f>
        <v>0</v>
      </c>
      <c r="T461" s="4">
        <f>T1.PLATEREADER_VALUE("",E455)</f>
        <v>0</v>
      </c>
      <c r="U461" s="4">
        <f>T1.PLATEREADER_VALUE("",E455)</f>
        <v>0</v>
      </c>
      <c r="V461" s="4">
        <f>T1.PLATEREADER_VALUE("",E455)</f>
        <v>0</v>
      </c>
      <c r="W461" s="4">
        <f>T1.PLATEREADER_VALUE("",E455)</f>
        <v>0</v>
      </c>
      <c r="X461" s="4">
        <f>T1.PLATEREADER_VALUE("",E455)</f>
        <v>0</v>
      </c>
      <c r="Y461" s="4">
        <f>T1.PLATEREADER_VALUE("",E455)</f>
        <v>0</v>
      </c>
      <c r="Z461" s="4">
        <f>T1.PLATEREADER_VALUE("",E455)</f>
        <v>0</v>
      </c>
      <c r="AA461" s="4">
        <f>T1.PLATEREADER_VALUE("",E455)</f>
        <v>0</v>
      </c>
      <c r="AB461" s="4">
        <f>T1.PLATEREADER_VALUE("",E455)</f>
        <v>0</v>
      </c>
      <c r="AC461" s="4">
        <f>T1.PLATEREADER_VALUE("",E455)</f>
        <v>0</v>
      </c>
      <c r="AD461" s="4">
        <f>T1.PLATEREADER_VALUE("",E455)</f>
        <v>0</v>
      </c>
      <c r="AE461" s="4">
        <f>T1.PLATEREADER_VALUE("",E455)</f>
        <v>0</v>
      </c>
      <c r="AF461" s="4">
        <f>T1.PLATEREADER_VALUE("",E455)</f>
        <v>0</v>
      </c>
      <c r="AG461" s="4">
        <f>T1.PLATEREADER_VALUE("",E455)</f>
        <v>0</v>
      </c>
      <c r="AH461" s="4">
        <f>T1.PLATEREADER_VALUE("",E455)</f>
        <v>0</v>
      </c>
      <c r="AI461" s="4">
        <f>T1.PLATEREADER_VALUE("",E455)</f>
        <v>0</v>
      </c>
      <c r="AJ461" s="4">
        <f>T1.PLATEREADER_VALUE("",E455)</f>
        <v>0</v>
      </c>
      <c r="AK461" s="4">
        <f>T1.PLATEREADER_VALUE("",E455)</f>
        <v>0</v>
      </c>
      <c r="AL461" s="4">
        <f>T1.PLATEREADER_VALUE("",E455)</f>
        <v>0</v>
      </c>
      <c r="AM461" s="4">
        <f>T1.PLATEREADER_VALUE("",E455)</f>
        <v>0</v>
      </c>
      <c r="AN461" s="4">
        <f>T1.PLATEREADER_VALUE("",E455)</f>
        <v>0</v>
      </c>
      <c r="AO461" s="4">
        <f>T1.PLATEREADER_VALUE("",E455)</f>
        <v>0</v>
      </c>
      <c r="AP461" s="4">
        <f>T1.PLATEREADER_VALUE("",E455)</f>
        <v>0</v>
      </c>
      <c r="AQ461" s="4">
        <f>T1.PLATEREADER_VALUE("",E455)</f>
        <v>0</v>
      </c>
      <c r="AR461" s="4">
        <f>T1.PLATEREADER_VALUE("",E455)</f>
        <v>0</v>
      </c>
      <c r="AS461" s="4">
        <f>T1.PLATEREADER_VALUE("",E455)</f>
        <v>0</v>
      </c>
      <c r="AT461" s="4">
        <f>T1.PLATEREADER_VALUE("",E455)</f>
        <v>0</v>
      </c>
      <c r="AU461" s="4">
        <f>T1.PLATEREADER_VALUE("",E455)</f>
        <v>0</v>
      </c>
      <c r="AV461" s="4">
        <f>T1.PLATEREADER_VALUE("",E455)</f>
        <v>0</v>
      </c>
      <c r="AW461" s="4">
        <f>T1.PLATEREADER_VALUE("",E455)</f>
        <v>0</v>
      </c>
      <c r="AX461" s="4">
        <f>T1.PLATEREADER_VALUE("",E455)</f>
        <v>0</v>
      </c>
      <c r="AY461" s="49"/>
      <c r="AZ461" s="49"/>
      <c r="BA461" s="49"/>
    </row>
    <row r="462" spans="1:53" ht="11.25" hidden="1" customHeight="1">
      <c r="B462" s="36" t="s">
        <v>403</v>
      </c>
      <c r="C462" s="4">
        <f>T1.PLATEREADER_VALUE("",E455)</f>
        <v>0</v>
      </c>
      <c r="D462" s="4">
        <f>T1.PLATEREADER_VALUE("",E455)</f>
        <v>0</v>
      </c>
      <c r="E462" s="4">
        <f>T1.PLATEREADER_VALUE("",E455)</f>
        <v>0</v>
      </c>
      <c r="F462" s="4">
        <f>T1.PLATEREADER_VALUE("",E455)</f>
        <v>0</v>
      </c>
      <c r="G462" s="4">
        <f>T1.PLATEREADER_VALUE("",E455)</f>
        <v>0</v>
      </c>
      <c r="H462" s="4">
        <f>T1.PLATEREADER_VALUE("",E455)</f>
        <v>0</v>
      </c>
      <c r="I462" s="4">
        <f>T1.PLATEREADER_VALUE("",E455)</f>
        <v>0</v>
      </c>
      <c r="J462" s="4">
        <f>T1.PLATEREADER_VALUE("",E455)</f>
        <v>0</v>
      </c>
      <c r="K462" s="4">
        <f>T1.PLATEREADER_VALUE("",E455)</f>
        <v>0</v>
      </c>
      <c r="L462" s="4">
        <f>T1.PLATEREADER_VALUE("",E455)</f>
        <v>0</v>
      </c>
      <c r="M462" s="4">
        <f>T1.PLATEREADER_VALUE("",E455)</f>
        <v>0</v>
      </c>
      <c r="N462" s="4">
        <f>T1.PLATEREADER_VALUE("",E455)</f>
        <v>0</v>
      </c>
      <c r="O462" s="4">
        <f>T1.PLATEREADER_VALUE("",E455)</f>
        <v>0</v>
      </c>
      <c r="P462" s="4">
        <f>T1.PLATEREADER_VALUE("",E455)</f>
        <v>0</v>
      </c>
      <c r="Q462" s="4">
        <f>T1.PLATEREADER_VALUE("",E455)</f>
        <v>0</v>
      </c>
      <c r="R462" s="4">
        <f>T1.PLATEREADER_VALUE("",E455)</f>
        <v>0</v>
      </c>
      <c r="S462" s="4">
        <f>T1.PLATEREADER_VALUE("",E455)</f>
        <v>0</v>
      </c>
      <c r="T462" s="4">
        <f>T1.PLATEREADER_VALUE("",E455)</f>
        <v>0</v>
      </c>
      <c r="U462" s="4">
        <f>T1.PLATEREADER_VALUE("",E455)</f>
        <v>0</v>
      </c>
      <c r="V462" s="4">
        <f>T1.PLATEREADER_VALUE("",E455)</f>
        <v>0</v>
      </c>
      <c r="W462" s="4">
        <f>T1.PLATEREADER_VALUE("",E455)</f>
        <v>0</v>
      </c>
      <c r="X462" s="4">
        <f>T1.PLATEREADER_VALUE("",E455)</f>
        <v>0</v>
      </c>
      <c r="Y462" s="4">
        <f>T1.PLATEREADER_VALUE("",E455)</f>
        <v>0</v>
      </c>
      <c r="Z462" s="4">
        <f>T1.PLATEREADER_VALUE("",E455)</f>
        <v>0</v>
      </c>
      <c r="AA462" s="4">
        <f>T1.PLATEREADER_VALUE("",E455)</f>
        <v>0</v>
      </c>
      <c r="AB462" s="4">
        <f>T1.PLATEREADER_VALUE("",E455)</f>
        <v>0</v>
      </c>
      <c r="AC462" s="4">
        <f>T1.PLATEREADER_VALUE("",E455)</f>
        <v>0</v>
      </c>
      <c r="AD462" s="4">
        <f>T1.PLATEREADER_VALUE("",E455)</f>
        <v>0</v>
      </c>
      <c r="AE462" s="4">
        <f>T1.PLATEREADER_VALUE("",E455)</f>
        <v>0</v>
      </c>
      <c r="AF462" s="4">
        <f>T1.PLATEREADER_VALUE("",E455)</f>
        <v>0</v>
      </c>
      <c r="AG462" s="4">
        <f>T1.PLATEREADER_VALUE("",E455)</f>
        <v>0</v>
      </c>
      <c r="AH462" s="4">
        <f>T1.PLATEREADER_VALUE("",E455)</f>
        <v>0</v>
      </c>
      <c r="AI462" s="4">
        <f>T1.PLATEREADER_VALUE("",E455)</f>
        <v>0</v>
      </c>
      <c r="AJ462" s="4">
        <f>T1.PLATEREADER_VALUE("",E455)</f>
        <v>0</v>
      </c>
      <c r="AK462" s="4">
        <f>T1.PLATEREADER_VALUE("",E455)</f>
        <v>0</v>
      </c>
      <c r="AL462" s="4">
        <f>T1.PLATEREADER_VALUE("",E455)</f>
        <v>0</v>
      </c>
      <c r="AM462" s="4">
        <f>T1.PLATEREADER_VALUE("",E455)</f>
        <v>0</v>
      </c>
      <c r="AN462" s="4">
        <f>T1.PLATEREADER_VALUE("",E455)</f>
        <v>0</v>
      </c>
      <c r="AO462" s="4">
        <f>T1.PLATEREADER_VALUE("",E455)</f>
        <v>0</v>
      </c>
      <c r="AP462" s="4">
        <f>T1.PLATEREADER_VALUE("",E455)</f>
        <v>0</v>
      </c>
      <c r="AQ462" s="4">
        <f>T1.PLATEREADER_VALUE("",E455)</f>
        <v>0</v>
      </c>
      <c r="AR462" s="4">
        <f>T1.PLATEREADER_VALUE("",E455)</f>
        <v>0</v>
      </c>
      <c r="AS462" s="4">
        <f>T1.PLATEREADER_VALUE("",E455)</f>
        <v>0</v>
      </c>
      <c r="AT462" s="4">
        <f>T1.PLATEREADER_VALUE("",E455)</f>
        <v>0</v>
      </c>
      <c r="AU462" s="4">
        <f>T1.PLATEREADER_VALUE("",E455)</f>
        <v>0</v>
      </c>
      <c r="AV462" s="4">
        <f>T1.PLATEREADER_VALUE("",E455)</f>
        <v>0</v>
      </c>
      <c r="AW462" s="4">
        <f>T1.PLATEREADER_VALUE("",E455)</f>
        <v>0</v>
      </c>
      <c r="AX462" s="4">
        <f>T1.PLATEREADER_VALUE("",E455)</f>
        <v>0</v>
      </c>
      <c r="AY462" s="49"/>
      <c r="AZ462" s="49"/>
      <c r="BA462" s="49"/>
    </row>
    <row r="463" spans="1:53" ht="11.25" hidden="1" customHeight="1">
      <c r="B463" s="36" t="s">
        <v>404</v>
      </c>
      <c r="C463" s="4">
        <f>T1.PLATEREADER_VALUE("",E455)</f>
        <v>0</v>
      </c>
      <c r="D463" s="4">
        <f>T1.PLATEREADER_VALUE("",E455)</f>
        <v>0</v>
      </c>
      <c r="E463" s="4">
        <f>T1.PLATEREADER_VALUE("",E455)</f>
        <v>0</v>
      </c>
      <c r="F463" s="4">
        <f>T1.PLATEREADER_VALUE("",E455)</f>
        <v>0</v>
      </c>
      <c r="G463" s="4">
        <f>T1.PLATEREADER_VALUE("",E455)</f>
        <v>0</v>
      </c>
      <c r="H463" s="4">
        <f>T1.PLATEREADER_VALUE("",E455)</f>
        <v>0</v>
      </c>
      <c r="I463" s="4">
        <f>T1.PLATEREADER_VALUE("",E455)</f>
        <v>0</v>
      </c>
      <c r="J463" s="4">
        <f>T1.PLATEREADER_VALUE("",E455)</f>
        <v>0</v>
      </c>
      <c r="K463" s="4">
        <f>T1.PLATEREADER_VALUE("",E455)</f>
        <v>0</v>
      </c>
      <c r="L463" s="4">
        <f>T1.PLATEREADER_VALUE("",E455)</f>
        <v>0</v>
      </c>
      <c r="M463" s="4">
        <f>T1.PLATEREADER_VALUE("",E455)</f>
        <v>0</v>
      </c>
      <c r="N463" s="4">
        <f>T1.PLATEREADER_VALUE("",E455)</f>
        <v>0</v>
      </c>
      <c r="O463" s="4">
        <f>T1.PLATEREADER_VALUE("",E455)</f>
        <v>0</v>
      </c>
      <c r="P463" s="4">
        <f>T1.PLATEREADER_VALUE("",E455)</f>
        <v>0</v>
      </c>
      <c r="Q463" s="4">
        <f>T1.PLATEREADER_VALUE("",E455)</f>
        <v>0</v>
      </c>
      <c r="R463" s="4">
        <f>T1.PLATEREADER_VALUE("",E455)</f>
        <v>0</v>
      </c>
      <c r="S463" s="4">
        <f>T1.PLATEREADER_VALUE("",E455)</f>
        <v>0</v>
      </c>
      <c r="T463" s="4">
        <f>T1.PLATEREADER_VALUE("",E455)</f>
        <v>0</v>
      </c>
      <c r="U463" s="4">
        <f>T1.PLATEREADER_VALUE("",E455)</f>
        <v>0</v>
      </c>
      <c r="V463" s="4">
        <f>T1.PLATEREADER_VALUE("",E455)</f>
        <v>0</v>
      </c>
      <c r="W463" s="4">
        <f>T1.PLATEREADER_VALUE("",E455)</f>
        <v>0</v>
      </c>
      <c r="X463" s="4">
        <f>T1.PLATEREADER_VALUE("",E455)</f>
        <v>0</v>
      </c>
      <c r="Y463" s="4">
        <f>T1.PLATEREADER_VALUE("",E455)</f>
        <v>0</v>
      </c>
      <c r="Z463" s="4">
        <f>T1.PLATEREADER_VALUE("",E455)</f>
        <v>0</v>
      </c>
      <c r="AA463" s="4">
        <f>T1.PLATEREADER_VALUE("",E455)</f>
        <v>0</v>
      </c>
      <c r="AB463" s="4">
        <f>T1.PLATEREADER_VALUE("",E455)</f>
        <v>0</v>
      </c>
      <c r="AC463" s="4">
        <f>T1.PLATEREADER_VALUE("",E455)</f>
        <v>0</v>
      </c>
      <c r="AD463" s="4">
        <f>T1.PLATEREADER_VALUE("",E455)</f>
        <v>0</v>
      </c>
      <c r="AE463" s="4">
        <f>T1.PLATEREADER_VALUE("",E455)</f>
        <v>0</v>
      </c>
      <c r="AF463" s="4">
        <f>T1.PLATEREADER_VALUE("",E455)</f>
        <v>0</v>
      </c>
      <c r="AG463" s="4">
        <f>T1.PLATEREADER_VALUE("",E455)</f>
        <v>0</v>
      </c>
      <c r="AH463" s="4">
        <f>T1.PLATEREADER_VALUE("",E455)</f>
        <v>0</v>
      </c>
      <c r="AI463" s="4">
        <f>T1.PLATEREADER_VALUE("",E455)</f>
        <v>0</v>
      </c>
      <c r="AJ463" s="4">
        <f>T1.PLATEREADER_VALUE("",E455)</f>
        <v>0</v>
      </c>
      <c r="AK463" s="4">
        <f>T1.PLATEREADER_VALUE("",E455)</f>
        <v>0</v>
      </c>
      <c r="AL463" s="4">
        <f>T1.PLATEREADER_VALUE("",E455)</f>
        <v>0</v>
      </c>
      <c r="AM463" s="4">
        <f>T1.PLATEREADER_VALUE("",E455)</f>
        <v>0</v>
      </c>
      <c r="AN463" s="4">
        <f>T1.PLATEREADER_VALUE("",E455)</f>
        <v>0</v>
      </c>
      <c r="AO463" s="4">
        <f>T1.PLATEREADER_VALUE("",E455)</f>
        <v>0</v>
      </c>
      <c r="AP463" s="4">
        <f>T1.PLATEREADER_VALUE("",E455)</f>
        <v>0</v>
      </c>
      <c r="AQ463" s="4">
        <f>T1.PLATEREADER_VALUE("",E455)</f>
        <v>0</v>
      </c>
      <c r="AR463" s="4">
        <f>T1.PLATEREADER_VALUE("",E455)</f>
        <v>0</v>
      </c>
      <c r="AS463" s="4">
        <f>T1.PLATEREADER_VALUE("",E455)</f>
        <v>0</v>
      </c>
      <c r="AT463" s="4">
        <f>T1.PLATEREADER_VALUE("",E455)</f>
        <v>0</v>
      </c>
      <c r="AU463" s="4">
        <f>T1.PLATEREADER_VALUE("",E455)</f>
        <v>0</v>
      </c>
      <c r="AV463" s="4">
        <f>T1.PLATEREADER_VALUE("",E455)</f>
        <v>0</v>
      </c>
      <c r="AW463" s="4">
        <f>T1.PLATEREADER_VALUE("",E455)</f>
        <v>0</v>
      </c>
      <c r="AX463" s="4">
        <f>T1.PLATEREADER_VALUE("",E455)</f>
        <v>0</v>
      </c>
      <c r="AY463" s="49"/>
      <c r="AZ463" s="49"/>
      <c r="BA463" s="49"/>
    </row>
    <row r="464" spans="1:53" ht="11.25" hidden="1" customHeight="1">
      <c r="B464" s="36" t="s">
        <v>405</v>
      </c>
      <c r="C464" s="4">
        <f>T1.PLATEREADER_VALUE("",E455)</f>
        <v>0</v>
      </c>
      <c r="D464" s="4">
        <f>T1.PLATEREADER_VALUE("",E455)</f>
        <v>0</v>
      </c>
      <c r="E464" s="4">
        <f>T1.PLATEREADER_VALUE("",E455)</f>
        <v>0</v>
      </c>
      <c r="F464" s="4">
        <f>T1.PLATEREADER_VALUE("",E455)</f>
        <v>0</v>
      </c>
      <c r="G464" s="4">
        <f>T1.PLATEREADER_VALUE("",E455)</f>
        <v>0</v>
      </c>
      <c r="H464" s="4">
        <f>T1.PLATEREADER_VALUE("",E455)</f>
        <v>0</v>
      </c>
      <c r="I464" s="4">
        <f>T1.PLATEREADER_VALUE("",E455)</f>
        <v>0</v>
      </c>
      <c r="J464" s="4">
        <f>T1.PLATEREADER_VALUE("",E455)</f>
        <v>0</v>
      </c>
      <c r="K464" s="4">
        <f>T1.PLATEREADER_VALUE("",E455)</f>
        <v>0</v>
      </c>
      <c r="L464" s="4">
        <f>T1.PLATEREADER_VALUE("",E455)</f>
        <v>0</v>
      </c>
      <c r="M464" s="4">
        <f>T1.PLATEREADER_VALUE("",E455)</f>
        <v>0</v>
      </c>
      <c r="N464" s="4">
        <f>T1.PLATEREADER_VALUE("",E455)</f>
        <v>0</v>
      </c>
      <c r="O464" s="4">
        <f>T1.PLATEREADER_VALUE("",E455)</f>
        <v>0</v>
      </c>
      <c r="P464" s="4">
        <f>T1.PLATEREADER_VALUE("",E455)</f>
        <v>0</v>
      </c>
      <c r="Q464" s="4">
        <f>T1.PLATEREADER_VALUE("",E455)</f>
        <v>0</v>
      </c>
      <c r="R464" s="4">
        <f>T1.PLATEREADER_VALUE("",E455)</f>
        <v>0</v>
      </c>
      <c r="S464" s="4">
        <f>T1.PLATEREADER_VALUE("",E455)</f>
        <v>0</v>
      </c>
      <c r="T464" s="4">
        <f>T1.PLATEREADER_VALUE("",E455)</f>
        <v>0</v>
      </c>
      <c r="U464" s="4">
        <f>T1.PLATEREADER_VALUE("",E455)</f>
        <v>0</v>
      </c>
      <c r="V464" s="4">
        <f>T1.PLATEREADER_VALUE("",E455)</f>
        <v>0</v>
      </c>
      <c r="W464" s="4">
        <f>T1.PLATEREADER_VALUE("",E455)</f>
        <v>0</v>
      </c>
      <c r="X464" s="4">
        <f>T1.PLATEREADER_VALUE("",E455)</f>
        <v>0</v>
      </c>
      <c r="Y464" s="4">
        <f>T1.PLATEREADER_VALUE("",E455)</f>
        <v>0</v>
      </c>
      <c r="Z464" s="4">
        <f>T1.PLATEREADER_VALUE("",E455)</f>
        <v>0</v>
      </c>
      <c r="AA464" s="4">
        <f>T1.PLATEREADER_VALUE("",E455)</f>
        <v>0</v>
      </c>
      <c r="AB464" s="4">
        <f>T1.PLATEREADER_VALUE("",E455)</f>
        <v>0</v>
      </c>
      <c r="AC464" s="4">
        <f>T1.PLATEREADER_VALUE("",E455)</f>
        <v>0</v>
      </c>
      <c r="AD464" s="4">
        <f>T1.PLATEREADER_VALUE("",E455)</f>
        <v>0</v>
      </c>
      <c r="AE464" s="4">
        <f>T1.PLATEREADER_VALUE("",E455)</f>
        <v>0</v>
      </c>
      <c r="AF464" s="4">
        <f>T1.PLATEREADER_VALUE("",E455)</f>
        <v>0</v>
      </c>
      <c r="AG464" s="4">
        <f>T1.PLATEREADER_VALUE("",E455)</f>
        <v>0</v>
      </c>
      <c r="AH464" s="4">
        <f>T1.PLATEREADER_VALUE("",E455)</f>
        <v>0</v>
      </c>
      <c r="AI464" s="4">
        <f>T1.PLATEREADER_VALUE("",E455)</f>
        <v>0</v>
      </c>
      <c r="AJ464" s="4">
        <f>T1.PLATEREADER_VALUE("",E455)</f>
        <v>0</v>
      </c>
      <c r="AK464" s="4">
        <f>T1.PLATEREADER_VALUE("",E455)</f>
        <v>0</v>
      </c>
      <c r="AL464" s="4">
        <f>T1.PLATEREADER_VALUE("",E455)</f>
        <v>0</v>
      </c>
      <c r="AM464" s="4">
        <f>T1.PLATEREADER_VALUE("",E455)</f>
        <v>0</v>
      </c>
      <c r="AN464" s="4">
        <f>T1.PLATEREADER_VALUE("",E455)</f>
        <v>0</v>
      </c>
      <c r="AO464" s="4">
        <f>T1.PLATEREADER_VALUE("",E455)</f>
        <v>0</v>
      </c>
      <c r="AP464" s="4">
        <f>T1.PLATEREADER_VALUE("",E455)</f>
        <v>0</v>
      </c>
      <c r="AQ464" s="4">
        <f>T1.PLATEREADER_VALUE("",E455)</f>
        <v>0</v>
      </c>
      <c r="AR464" s="4">
        <f>T1.PLATEREADER_VALUE("",E455)</f>
        <v>0</v>
      </c>
      <c r="AS464" s="4">
        <f>T1.PLATEREADER_VALUE("",E455)</f>
        <v>0</v>
      </c>
      <c r="AT464" s="4">
        <f>T1.PLATEREADER_VALUE("",E455)</f>
        <v>0</v>
      </c>
      <c r="AU464" s="4">
        <f>T1.PLATEREADER_VALUE("",E455)</f>
        <v>0</v>
      </c>
      <c r="AV464" s="4">
        <f>T1.PLATEREADER_VALUE("",E455)</f>
        <v>0</v>
      </c>
      <c r="AW464" s="4">
        <f>T1.PLATEREADER_VALUE("",E455)</f>
        <v>0</v>
      </c>
      <c r="AX464" s="4">
        <f>T1.PLATEREADER_VALUE("",E455)</f>
        <v>0</v>
      </c>
      <c r="AY464" s="49"/>
      <c r="AZ464" s="49"/>
      <c r="BA464" s="49"/>
    </row>
    <row r="465" spans="2:53" ht="11.25" hidden="1" customHeight="1">
      <c r="B465" s="36" t="s">
        <v>406</v>
      </c>
      <c r="C465" s="4">
        <f>T1.PLATEREADER_VALUE("",E455)</f>
        <v>0</v>
      </c>
      <c r="D465" s="4">
        <f>T1.PLATEREADER_VALUE("",E455)</f>
        <v>0</v>
      </c>
      <c r="E465" s="4">
        <f>T1.PLATEREADER_VALUE("",E455)</f>
        <v>0</v>
      </c>
      <c r="F465" s="4">
        <f>T1.PLATEREADER_VALUE("",E455)</f>
        <v>0</v>
      </c>
      <c r="G465" s="4">
        <f>T1.PLATEREADER_VALUE("",E455)</f>
        <v>0</v>
      </c>
      <c r="H465" s="4">
        <f>T1.PLATEREADER_VALUE("",E455)</f>
        <v>0</v>
      </c>
      <c r="I465" s="4">
        <f>T1.PLATEREADER_VALUE("",E455)</f>
        <v>0</v>
      </c>
      <c r="J465" s="4">
        <f>T1.PLATEREADER_VALUE("",E455)</f>
        <v>0</v>
      </c>
      <c r="K465" s="4">
        <f>T1.PLATEREADER_VALUE("",E455)</f>
        <v>0</v>
      </c>
      <c r="L465" s="4">
        <f>T1.PLATEREADER_VALUE("",E455)</f>
        <v>0</v>
      </c>
      <c r="M465" s="4">
        <f>T1.PLATEREADER_VALUE("",E455)</f>
        <v>0</v>
      </c>
      <c r="N465" s="4">
        <f>T1.PLATEREADER_VALUE("",E455)</f>
        <v>0</v>
      </c>
      <c r="O465" s="4">
        <f>T1.PLATEREADER_VALUE("",E455)</f>
        <v>0</v>
      </c>
      <c r="P465" s="4">
        <f>T1.PLATEREADER_VALUE("",E455)</f>
        <v>0</v>
      </c>
      <c r="Q465" s="4">
        <f>T1.PLATEREADER_VALUE("",E455)</f>
        <v>0</v>
      </c>
      <c r="R465" s="4">
        <f>T1.PLATEREADER_VALUE("",E455)</f>
        <v>0</v>
      </c>
      <c r="S465" s="4">
        <f>T1.PLATEREADER_VALUE("",E455)</f>
        <v>0</v>
      </c>
      <c r="T465" s="4">
        <f>T1.PLATEREADER_VALUE("",E455)</f>
        <v>0</v>
      </c>
      <c r="U465" s="4">
        <f>T1.PLATEREADER_VALUE("",E455)</f>
        <v>0</v>
      </c>
      <c r="V465" s="4">
        <f>T1.PLATEREADER_VALUE("",E455)</f>
        <v>0</v>
      </c>
      <c r="W465" s="4">
        <f>T1.PLATEREADER_VALUE("",E455)</f>
        <v>0</v>
      </c>
      <c r="X465" s="4">
        <f>T1.PLATEREADER_VALUE("",E455)</f>
        <v>0</v>
      </c>
      <c r="Y465" s="4">
        <f>T1.PLATEREADER_VALUE("",E455)</f>
        <v>0</v>
      </c>
      <c r="Z465" s="4">
        <f>T1.PLATEREADER_VALUE("",E455)</f>
        <v>0</v>
      </c>
      <c r="AA465" s="4">
        <f>T1.PLATEREADER_VALUE("",E455)</f>
        <v>0</v>
      </c>
      <c r="AB465" s="4">
        <f>T1.PLATEREADER_VALUE("",E455)</f>
        <v>0</v>
      </c>
      <c r="AC465" s="4">
        <f>T1.PLATEREADER_VALUE("",E455)</f>
        <v>0</v>
      </c>
      <c r="AD465" s="4">
        <f>T1.PLATEREADER_VALUE("",E455)</f>
        <v>0</v>
      </c>
      <c r="AE465" s="4">
        <f>T1.PLATEREADER_VALUE("",E455)</f>
        <v>0</v>
      </c>
      <c r="AF465" s="4">
        <f>T1.PLATEREADER_VALUE("",E455)</f>
        <v>0</v>
      </c>
      <c r="AG465" s="4">
        <f>T1.PLATEREADER_VALUE("",E455)</f>
        <v>0</v>
      </c>
      <c r="AH465" s="4">
        <f>T1.PLATEREADER_VALUE("",E455)</f>
        <v>0</v>
      </c>
      <c r="AI465" s="4">
        <f>T1.PLATEREADER_VALUE("",E455)</f>
        <v>0</v>
      </c>
      <c r="AJ465" s="4">
        <f>T1.PLATEREADER_VALUE("",E455)</f>
        <v>0</v>
      </c>
      <c r="AK465" s="4">
        <f>T1.PLATEREADER_VALUE("",E455)</f>
        <v>0</v>
      </c>
      <c r="AL465" s="4">
        <f>T1.PLATEREADER_VALUE("",E455)</f>
        <v>0</v>
      </c>
      <c r="AM465" s="4">
        <f>T1.PLATEREADER_VALUE("",E455)</f>
        <v>0</v>
      </c>
      <c r="AN465" s="4">
        <f>T1.PLATEREADER_VALUE("",E455)</f>
        <v>0</v>
      </c>
      <c r="AO465" s="4">
        <f>T1.PLATEREADER_VALUE("",E455)</f>
        <v>0</v>
      </c>
      <c r="AP465" s="4">
        <f>T1.PLATEREADER_VALUE("",E455)</f>
        <v>0</v>
      </c>
      <c r="AQ465" s="4">
        <f>T1.PLATEREADER_VALUE("",E455)</f>
        <v>0</v>
      </c>
      <c r="AR465" s="4">
        <f>T1.PLATEREADER_VALUE("",E455)</f>
        <v>0</v>
      </c>
      <c r="AS465" s="4">
        <f>T1.PLATEREADER_VALUE("",E455)</f>
        <v>0</v>
      </c>
      <c r="AT465" s="4">
        <f>T1.PLATEREADER_VALUE("",E455)</f>
        <v>0</v>
      </c>
      <c r="AU465" s="4">
        <f>T1.PLATEREADER_VALUE("",E455)</f>
        <v>0</v>
      </c>
      <c r="AV465" s="4">
        <f>T1.PLATEREADER_VALUE("",E455)</f>
        <v>0</v>
      </c>
      <c r="AW465" s="4">
        <f>T1.PLATEREADER_VALUE("",E455)</f>
        <v>0</v>
      </c>
      <c r="AX465" s="4">
        <f>T1.PLATEREADER_VALUE("",E455)</f>
        <v>0</v>
      </c>
      <c r="AY465" s="49"/>
      <c r="AZ465" s="49"/>
      <c r="BA465" s="49"/>
    </row>
    <row r="466" spans="2:53" ht="11.25" hidden="1" customHeight="1">
      <c r="B466" s="36" t="s">
        <v>407</v>
      </c>
      <c r="C466" s="4">
        <f>T1.PLATEREADER_VALUE("",E455)</f>
        <v>0</v>
      </c>
      <c r="D466" s="4">
        <f>T1.PLATEREADER_VALUE("",E455)</f>
        <v>0</v>
      </c>
      <c r="E466" s="4">
        <f>T1.PLATEREADER_VALUE("",E455)</f>
        <v>0</v>
      </c>
      <c r="F466" s="4">
        <f>T1.PLATEREADER_VALUE("",E455)</f>
        <v>0</v>
      </c>
      <c r="G466" s="4">
        <f>T1.PLATEREADER_VALUE("",E455)</f>
        <v>0</v>
      </c>
      <c r="H466" s="4">
        <f>T1.PLATEREADER_VALUE("",E455)</f>
        <v>0</v>
      </c>
      <c r="I466" s="4">
        <f>T1.PLATEREADER_VALUE("",E455)</f>
        <v>0</v>
      </c>
      <c r="J466" s="4">
        <f>T1.PLATEREADER_VALUE("",E455)</f>
        <v>0</v>
      </c>
      <c r="K466" s="4">
        <f>T1.PLATEREADER_VALUE("",E455)</f>
        <v>0</v>
      </c>
      <c r="L466" s="4">
        <f>T1.PLATEREADER_VALUE("",E455)</f>
        <v>0</v>
      </c>
      <c r="M466" s="4">
        <f>T1.PLATEREADER_VALUE("",E455)</f>
        <v>0</v>
      </c>
      <c r="N466" s="4">
        <f>T1.PLATEREADER_VALUE("",E455)</f>
        <v>0</v>
      </c>
      <c r="O466" s="4">
        <f>T1.PLATEREADER_VALUE("",E455)</f>
        <v>0</v>
      </c>
      <c r="P466" s="4">
        <f>T1.PLATEREADER_VALUE("",E455)</f>
        <v>0</v>
      </c>
      <c r="Q466" s="4">
        <f>T1.PLATEREADER_VALUE("",E455)</f>
        <v>0</v>
      </c>
      <c r="R466" s="4">
        <f>T1.PLATEREADER_VALUE("",E455)</f>
        <v>0</v>
      </c>
      <c r="S466" s="4">
        <f>T1.PLATEREADER_VALUE("",E455)</f>
        <v>0</v>
      </c>
      <c r="T466" s="4">
        <f>T1.PLATEREADER_VALUE("",E455)</f>
        <v>0</v>
      </c>
      <c r="U466" s="4">
        <f>T1.PLATEREADER_VALUE("",E455)</f>
        <v>0</v>
      </c>
      <c r="V466" s="4">
        <f>T1.PLATEREADER_VALUE("",E455)</f>
        <v>0</v>
      </c>
      <c r="W466" s="4">
        <f>T1.PLATEREADER_VALUE("",E455)</f>
        <v>0</v>
      </c>
      <c r="X466" s="4">
        <f>T1.PLATEREADER_VALUE("",E455)</f>
        <v>0</v>
      </c>
      <c r="Y466" s="4">
        <f>T1.PLATEREADER_VALUE("",E455)</f>
        <v>0</v>
      </c>
      <c r="Z466" s="4">
        <f>T1.PLATEREADER_VALUE("",E455)</f>
        <v>0</v>
      </c>
      <c r="AA466" s="4">
        <f>T1.PLATEREADER_VALUE("",E455)</f>
        <v>0</v>
      </c>
      <c r="AB466" s="4">
        <f>T1.PLATEREADER_VALUE("",E455)</f>
        <v>0</v>
      </c>
      <c r="AC466" s="4">
        <f>T1.PLATEREADER_VALUE("",E455)</f>
        <v>0</v>
      </c>
      <c r="AD466" s="4">
        <f>T1.PLATEREADER_VALUE("",E455)</f>
        <v>0</v>
      </c>
      <c r="AE466" s="4">
        <f>T1.PLATEREADER_VALUE("",E455)</f>
        <v>0</v>
      </c>
      <c r="AF466" s="4">
        <f>T1.PLATEREADER_VALUE("",E455)</f>
        <v>0</v>
      </c>
      <c r="AG466" s="4">
        <f>T1.PLATEREADER_VALUE("",E455)</f>
        <v>0</v>
      </c>
      <c r="AH466" s="4">
        <f>T1.PLATEREADER_VALUE("",E455)</f>
        <v>0</v>
      </c>
      <c r="AI466" s="4">
        <f>T1.PLATEREADER_VALUE("",E455)</f>
        <v>0</v>
      </c>
      <c r="AJ466" s="4">
        <f>T1.PLATEREADER_VALUE("",E455)</f>
        <v>0</v>
      </c>
      <c r="AK466" s="4">
        <f>T1.PLATEREADER_VALUE("",E455)</f>
        <v>0</v>
      </c>
      <c r="AL466" s="4">
        <f>T1.PLATEREADER_VALUE("",E455)</f>
        <v>0</v>
      </c>
      <c r="AM466" s="4">
        <f>T1.PLATEREADER_VALUE("",E455)</f>
        <v>0</v>
      </c>
      <c r="AN466" s="4">
        <f>T1.PLATEREADER_VALUE("",E455)</f>
        <v>0</v>
      </c>
      <c r="AO466" s="4">
        <f>T1.PLATEREADER_VALUE("",E455)</f>
        <v>0</v>
      </c>
      <c r="AP466" s="4">
        <f>T1.PLATEREADER_VALUE("",E455)</f>
        <v>0</v>
      </c>
      <c r="AQ466" s="4">
        <f>T1.PLATEREADER_VALUE("",E455)</f>
        <v>0</v>
      </c>
      <c r="AR466" s="4">
        <f>T1.PLATEREADER_VALUE("",E455)</f>
        <v>0</v>
      </c>
      <c r="AS466" s="4">
        <f>T1.PLATEREADER_VALUE("",E455)</f>
        <v>0</v>
      </c>
      <c r="AT466" s="4">
        <f>T1.PLATEREADER_VALUE("",E455)</f>
        <v>0</v>
      </c>
      <c r="AU466" s="4">
        <f>T1.PLATEREADER_VALUE("",E455)</f>
        <v>0</v>
      </c>
      <c r="AV466" s="4">
        <f>T1.PLATEREADER_VALUE("",E455)</f>
        <v>0</v>
      </c>
      <c r="AW466" s="4">
        <f>T1.PLATEREADER_VALUE("",E455)</f>
        <v>0</v>
      </c>
      <c r="AX466" s="4">
        <f>T1.PLATEREADER_VALUE("",E455)</f>
        <v>0</v>
      </c>
      <c r="AY466" s="49"/>
      <c r="AZ466" s="49"/>
      <c r="BA466" s="49"/>
    </row>
    <row r="467" spans="2:53" ht="11.25" hidden="1" customHeight="1">
      <c r="B467" s="36" t="s">
        <v>408</v>
      </c>
      <c r="C467" s="4">
        <f>T1.PLATEREADER_VALUE("",E455)</f>
        <v>0</v>
      </c>
      <c r="D467" s="4">
        <f>T1.PLATEREADER_VALUE("",E455)</f>
        <v>0</v>
      </c>
      <c r="E467" s="4">
        <f>T1.PLATEREADER_VALUE("",E455)</f>
        <v>0</v>
      </c>
      <c r="F467" s="4">
        <f>T1.PLATEREADER_VALUE("",E455)</f>
        <v>0</v>
      </c>
      <c r="G467" s="4">
        <f>T1.PLATEREADER_VALUE("",E455)</f>
        <v>0</v>
      </c>
      <c r="H467" s="4">
        <f>T1.PLATEREADER_VALUE("",E455)</f>
        <v>0</v>
      </c>
      <c r="I467" s="4">
        <f>T1.PLATEREADER_VALUE("",E455)</f>
        <v>0</v>
      </c>
      <c r="J467" s="4">
        <f>T1.PLATEREADER_VALUE("",E455)</f>
        <v>0</v>
      </c>
      <c r="K467" s="4">
        <f>T1.PLATEREADER_VALUE("",E455)</f>
        <v>0</v>
      </c>
      <c r="L467" s="4">
        <f>T1.PLATEREADER_VALUE("",E455)</f>
        <v>0</v>
      </c>
      <c r="M467" s="4">
        <f>T1.PLATEREADER_VALUE("",E455)</f>
        <v>0</v>
      </c>
      <c r="N467" s="4">
        <f>T1.PLATEREADER_VALUE("",E455)</f>
        <v>0</v>
      </c>
      <c r="O467" s="4">
        <f>T1.PLATEREADER_VALUE("",E455)</f>
        <v>0</v>
      </c>
      <c r="P467" s="4">
        <f>T1.PLATEREADER_VALUE("",E455)</f>
        <v>0</v>
      </c>
      <c r="Q467" s="4">
        <f>T1.PLATEREADER_VALUE("",E455)</f>
        <v>0</v>
      </c>
      <c r="R467" s="4">
        <f>T1.PLATEREADER_VALUE("",E455)</f>
        <v>0</v>
      </c>
      <c r="S467" s="4">
        <f>T1.PLATEREADER_VALUE("",E455)</f>
        <v>0</v>
      </c>
      <c r="T467" s="4">
        <f>T1.PLATEREADER_VALUE("",E455)</f>
        <v>0</v>
      </c>
      <c r="U467" s="4">
        <f>T1.PLATEREADER_VALUE("",E455)</f>
        <v>0</v>
      </c>
      <c r="V467" s="4">
        <f>T1.PLATEREADER_VALUE("",E455)</f>
        <v>0</v>
      </c>
      <c r="W467" s="4">
        <f>T1.PLATEREADER_VALUE("",E455)</f>
        <v>0</v>
      </c>
      <c r="X467" s="4">
        <f>T1.PLATEREADER_VALUE("",E455)</f>
        <v>0</v>
      </c>
      <c r="Y467" s="4">
        <f>T1.PLATEREADER_VALUE("",E455)</f>
        <v>0</v>
      </c>
      <c r="Z467" s="4">
        <f>T1.PLATEREADER_VALUE("",E455)</f>
        <v>0</v>
      </c>
      <c r="AA467" s="4">
        <f>T1.PLATEREADER_VALUE("",E455)</f>
        <v>0</v>
      </c>
      <c r="AB467" s="4">
        <f>T1.PLATEREADER_VALUE("",E455)</f>
        <v>0</v>
      </c>
      <c r="AC467" s="4">
        <f>T1.PLATEREADER_VALUE("",E455)</f>
        <v>0</v>
      </c>
      <c r="AD467" s="4">
        <f>T1.PLATEREADER_VALUE("",E455)</f>
        <v>0</v>
      </c>
      <c r="AE467" s="4">
        <f>T1.PLATEREADER_VALUE("",E455)</f>
        <v>0</v>
      </c>
      <c r="AF467" s="4">
        <f>T1.PLATEREADER_VALUE("",E455)</f>
        <v>0</v>
      </c>
      <c r="AG467" s="4">
        <f>T1.PLATEREADER_VALUE("",E455)</f>
        <v>0</v>
      </c>
      <c r="AH467" s="4">
        <f>T1.PLATEREADER_VALUE("",E455)</f>
        <v>0</v>
      </c>
      <c r="AI467" s="4">
        <f>T1.PLATEREADER_VALUE("",E455)</f>
        <v>0</v>
      </c>
      <c r="AJ467" s="4">
        <f>T1.PLATEREADER_VALUE("",E455)</f>
        <v>0</v>
      </c>
      <c r="AK467" s="4">
        <f>T1.PLATEREADER_VALUE("",E455)</f>
        <v>0</v>
      </c>
      <c r="AL467" s="4">
        <f>T1.PLATEREADER_VALUE("",E455)</f>
        <v>0</v>
      </c>
      <c r="AM467" s="4">
        <f>T1.PLATEREADER_VALUE("",E455)</f>
        <v>0</v>
      </c>
      <c r="AN467" s="4">
        <f>T1.PLATEREADER_VALUE("",E455)</f>
        <v>0</v>
      </c>
      <c r="AO467" s="4">
        <f>T1.PLATEREADER_VALUE("",E455)</f>
        <v>0</v>
      </c>
      <c r="AP467" s="4">
        <f>T1.PLATEREADER_VALUE("",E455)</f>
        <v>0</v>
      </c>
      <c r="AQ467" s="4">
        <f>T1.PLATEREADER_VALUE("",E455)</f>
        <v>0</v>
      </c>
      <c r="AR467" s="4">
        <f>T1.PLATEREADER_VALUE("",E455)</f>
        <v>0</v>
      </c>
      <c r="AS467" s="4">
        <f>T1.PLATEREADER_VALUE("",E455)</f>
        <v>0</v>
      </c>
      <c r="AT467" s="4">
        <f>T1.PLATEREADER_VALUE("",E455)</f>
        <v>0</v>
      </c>
      <c r="AU467" s="4">
        <f>T1.PLATEREADER_VALUE("",E455)</f>
        <v>0</v>
      </c>
      <c r="AV467" s="4">
        <f>T1.PLATEREADER_VALUE("",E455)</f>
        <v>0</v>
      </c>
      <c r="AW467" s="4">
        <f>T1.PLATEREADER_VALUE("",E455)</f>
        <v>0</v>
      </c>
      <c r="AX467" s="4">
        <f>T1.PLATEREADER_VALUE("",E455)</f>
        <v>0</v>
      </c>
      <c r="AY467" s="49"/>
      <c r="AZ467" s="49"/>
      <c r="BA467" s="49"/>
    </row>
    <row r="468" spans="2:53" ht="11.25" hidden="1" customHeight="1">
      <c r="B468" s="36" t="s">
        <v>409</v>
      </c>
      <c r="C468" s="4">
        <f>T1.PLATEREADER_VALUE("",E455)</f>
        <v>0</v>
      </c>
      <c r="D468" s="4">
        <f>T1.PLATEREADER_VALUE("",E455)</f>
        <v>0</v>
      </c>
      <c r="E468" s="4">
        <f>T1.PLATEREADER_VALUE("",E455)</f>
        <v>0</v>
      </c>
      <c r="F468" s="4">
        <f>T1.PLATEREADER_VALUE("",E455)</f>
        <v>0</v>
      </c>
      <c r="G468" s="4">
        <f>T1.PLATEREADER_VALUE("",E455)</f>
        <v>0</v>
      </c>
      <c r="H468" s="4">
        <f>T1.PLATEREADER_VALUE("",E455)</f>
        <v>0</v>
      </c>
      <c r="I468" s="4">
        <f>T1.PLATEREADER_VALUE("",E455)</f>
        <v>0</v>
      </c>
      <c r="J468" s="4">
        <f>T1.PLATEREADER_VALUE("",E455)</f>
        <v>0</v>
      </c>
      <c r="K468" s="4">
        <f>T1.PLATEREADER_VALUE("",E455)</f>
        <v>0</v>
      </c>
      <c r="L468" s="4">
        <f>T1.PLATEREADER_VALUE("",E455)</f>
        <v>0</v>
      </c>
      <c r="M468" s="4">
        <f>T1.PLATEREADER_VALUE("",E455)</f>
        <v>0</v>
      </c>
      <c r="N468" s="4">
        <f>T1.PLATEREADER_VALUE("",E455)</f>
        <v>0</v>
      </c>
      <c r="O468" s="4">
        <f>T1.PLATEREADER_VALUE("",E455)</f>
        <v>0</v>
      </c>
      <c r="P468" s="4">
        <f>T1.PLATEREADER_VALUE("",E455)</f>
        <v>0</v>
      </c>
      <c r="Q468" s="4">
        <f>T1.PLATEREADER_VALUE("",E455)</f>
        <v>0</v>
      </c>
      <c r="R468" s="4">
        <f>T1.PLATEREADER_VALUE("",E455)</f>
        <v>0</v>
      </c>
      <c r="S468" s="4">
        <f>T1.PLATEREADER_VALUE("",E455)</f>
        <v>0</v>
      </c>
      <c r="T468" s="4">
        <f>T1.PLATEREADER_VALUE("",E455)</f>
        <v>0</v>
      </c>
      <c r="U468" s="4">
        <f>T1.PLATEREADER_VALUE("",E455)</f>
        <v>0</v>
      </c>
      <c r="V468" s="4">
        <f>T1.PLATEREADER_VALUE("",E455)</f>
        <v>0</v>
      </c>
      <c r="W468" s="4">
        <f>T1.PLATEREADER_VALUE("",E455)</f>
        <v>0</v>
      </c>
      <c r="X468" s="4">
        <f>T1.PLATEREADER_VALUE("",E455)</f>
        <v>0</v>
      </c>
      <c r="Y468" s="4">
        <f>T1.PLATEREADER_VALUE("",E455)</f>
        <v>0</v>
      </c>
      <c r="Z468" s="4">
        <f>T1.PLATEREADER_VALUE("",E455)</f>
        <v>0</v>
      </c>
      <c r="AA468" s="4">
        <f>T1.PLATEREADER_VALUE("",E455)</f>
        <v>0</v>
      </c>
      <c r="AB468" s="4">
        <f>T1.PLATEREADER_VALUE("",E455)</f>
        <v>0</v>
      </c>
      <c r="AC468" s="4">
        <f>T1.PLATEREADER_VALUE("",E455)</f>
        <v>0</v>
      </c>
      <c r="AD468" s="4">
        <f>T1.PLATEREADER_VALUE("",E455)</f>
        <v>0</v>
      </c>
      <c r="AE468" s="4">
        <f>T1.PLATEREADER_VALUE("",E455)</f>
        <v>0</v>
      </c>
      <c r="AF468" s="4">
        <f>T1.PLATEREADER_VALUE("",E455)</f>
        <v>0</v>
      </c>
      <c r="AG468" s="4">
        <f>T1.PLATEREADER_VALUE("",E455)</f>
        <v>0</v>
      </c>
      <c r="AH468" s="4">
        <f>T1.PLATEREADER_VALUE("",E455)</f>
        <v>0</v>
      </c>
      <c r="AI468" s="4">
        <f>T1.PLATEREADER_VALUE("",E455)</f>
        <v>0</v>
      </c>
      <c r="AJ468" s="4">
        <f>T1.PLATEREADER_VALUE("",E455)</f>
        <v>0</v>
      </c>
      <c r="AK468" s="4">
        <f>T1.PLATEREADER_VALUE("",E455)</f>
        <v>0</v>
      </c>
      <c r="AL468" s="4">
        <f>T1.PLATEREADER_VALUE("",E455)</f>
        <v>0</v>
      </c>
      <c r="AM468" s="4">
        <f>T1.PLATEREADER_VALUE("",E455)</f>
        <v>0</v>
      </c>
      <c r="AN468" s="4">
        <f>T1.PLATEREADER_VALUE("",E455)</f>
        <v>0</v>
      </c>
      <c r="AO468" s="4">
        <f>T1.PLATEREADER_VALUE("",E455)</f>
        <v>0</v>
      </c>
      <c r="AP468" s="4">
        <f>T1.PLATEREADER_VALUE("",E455)</f>
        <v>0</v>
      </c>
      <c r="AQ468" s="4">
        <f>T1.PLATEREADER_VALUE("",E455)</f>
        <v>0</v>
      </c>
      <c r="AR468" s="4">
        <f>T1.PLATEREADER_VALUE("",E455)</f>
        <v>0</v>
      </c>
      <c r="AS468" s="4">
        <f>T1.PLATEREADER_VALUE("",E455)</f>
        <v>0</v>
      </c>
      <c r="AT468" s="4">
        <f>T1.PLATEREADER_VALUE("",E455)</f>
        <v>0</v>
      </c>
      <c r="AU468" s="4">
        <f>T1.PLATEREADER_VALUE("",E455)</f>
        <v>0</v>
      </c>
      <c r="AV468" s="4">
        <f>T1.PLATEREADER_VALUE("",E455)</f>
        <v>0</v>
      </c>
      <c r="AW468" s="4">
        <f>T1.PLATEREADER_VALUE("",E455)</f>
        <v>0</v>
      </c>
      <c r="AX468" s="4">
        <f>T1.PLATEREADER_VALUE("",E455)</f>
        <v>0</v>
      </c>
      <c r="AY468" s="49"/>
      <c r="AZ468" s="49"/>
      <c r="BA468" s="49"/>
    </row>
    <row r="469" spans="2:53" ht="11.25" hidden="1" customHeight="1">
      <c r="B469" s="36" t="s">
        <v>410</v>
      </c>
      <c r="C469" s="4">
        <f>T1.PLATEREADER_VALUE("",E455)</f>
        <v>0</v>
      </c>
      <c r="D469" s="4">
        <f>T1.PLATEREADER_VALUE("",E455)</f>
        <v>0</v>
      </c>
      <c r="E469" s="4">
        <f>T1.PLATEREADER_VALUE("",E455)</f>
        <v>0</v>
      </c>
      <c r="F469" s="4">
        <f>T1.PLATEREADER_VALUE("",E455)</f>
        <v>0</v>
      </c>
      <c r="G469" s="4">
        <f>T1.PLATEREADER_VALUE("",E455)</f>
        <v>0</v>
      </c>
      <c r="H469" s="4">
        <f>T1.PLATEREADER_VALUE("",E455)</f>
        <v>0</v>
      </c>
      <c r="I469" s="4">
        <f>T1.PLATEREADER_VALUE("",E455)</f>
        <v>0</v>
      </c>
      <c r="J469" s="4">
        <f>T1.PLATEREADER_VALUE("",E455)</f>
        <v>0</v>
      </c>
      <c r="K469" s="4">
        <f>T1.PLATEREADER_VALUE("",E455)</f>
        <v>0</v>
      </c>
      <c r="L469" s="4">
        <f>T1.PLATEREADER_VALUE("",E455)</f>
        <v>0</v>
      </c>
      <c r="M469" s="4">
        <f>T1.PLATEREADER_VALUE("",E455)</f>
        <v>0</v>
      </c>
      <c r="N469" s="4">
        <f>T1.PLATEREADER_VALUE("",E455)</f>
        <v>0</v>
      </c>
      <c r="O469" s="4">
        <f>T1.PLATEREADER_VALUE("",E455)</f>
        <v>0</v>
      </c>
      <c r="P469" s="4">
        <f>T1.PLATEREADER_VALUE("",E455)</f>
        <v>0</v>
      </c>
      <c r="Q469" s="4">
        <f>T1.PLATEREADER_VALUE("",E455)</f>
        <v>0</v>
      </c>
      <c r="R469" s="4">
        <f>T1.PLATEREADER_VALUE("",E455)</f>
        <v>0</v>
      </c>
      <c r="S469" s="4">
        <f>T1.PLATEREADER_VALUE("",E455)</f>
        <v>0</v>
      </c>
      <c r="T469" s="4">
        <f>T1.PLATEREADER_VALUE("",E455)</f>
        <v>0</v>
      </c>
      <c r="U469" s="4">
        <f>T1.PLATEREADER_VALUE("",E455)</f>
        <v>0</v>
      </c>
      <c r="V469" s="4">
        <f>T1.PLATEREADER_VALUE("",E455)</f>
        <v>0</v>
      </c>
      <c r="W469" s="4">
        <f>T1.PLATEREADER_VALUE("",E455)</f>
        <v>0</v>
      </c>
      <c r="X469" s="4">
        <f>T1.PLATEREADER_VALUE("",E455)</f>
        <v>0</v>
      </c>
      <c r="Y469" s="4">
        <f>T1.PLATEREADER_VALUE("",E455)</f>
        <v>0</v>
      </c>
      <c r="Z469" s="4">
        <f>T1.PLATEREADER_VALUE("",E455)</f>
        <v>0</v>
      </c>
      <c r="AA469" s="4">
        <f>T1.PLATEREADER_VALUE("",E455)</f>
        <v>0</v>
      </c>
      <c r="AB469" s="4">
        <f>T1.PLATEREADER_VALUE("",E455)</f>
        <v>0</v>
      </c>
      <c r="AC469" s="4">
        <f>T1.PLATEREADER_VALUE("",E455)</f>
        <v>0</v>
      </c>
      <c r="AD469" s="4">
        <f>T1.PLATEREADER_VALUE("",E455)</f>
        <v>0</v>
      </c>
      <c r="AE469" s="4">
        <f>T1.PLATEREADER_VALUE("",E455)</f>
        <v>0</v>
      </c>
      <c r="AF469" s="4">
        <f>T1.PLATEREADER_VALUE("",E455)</f>
        <v>0</v>
      </c>
      <c r="AG469" s="4">
        <f>T1.PLATEREADER_VALUE("",E455)</f>
        <v>0</v>
      </c>
      <c r="AH469" s="4">
        <f>T1.PLATEREADER_VALUE("",E455)</f>
        <v>0</v>
      </c>
      <c r="AI469" s="4">
        <f>T1.PLATEREADER_VALUE("",E455)</f>
        <v>0</v>
      </c>
      <c r="AJ469" s="4">
        <f>T1.PLATEREADER_VALUE("",E455)</f>
        <v>0</v>
      </c>
      <c r="AK469" s="4">
        <f>T1.PLATEREADER_VALUE("",E455)</f>
        <v>0</v>
      </c>
      <c r="AL469" s="4">
        <f>T1.PLATEREADER_VALUE("",E455)</f>
        <v>0</v>
      </c>
      <c r="AM469" s="4">
        <f>T1.PLATEREADER_VALUE("",E455)</f>
        <v>0</v>
      </c>
      <c r="AN469" s="4">
        <f>T1.PLATEREADER_VALUE("",E455)</f>
        <v>0</v>
      </c>
      <c r="AO469" s="4">
        <f>T1.PLATEREADER_VALUE("",E455)</f>
        <v>0</v>
      </c>
      <c r="AP469" s="4">
        <f>T1.PLATEREADER_VALUE("",E455)</f>
        <v>0</v>
      </c>
      <c r="AQ469" s="4">
        <f>T1.PLATEREADER_VALUE("",E455)</f>
        <v>0</v>
      </c>
      <c r="AR469" s="4">
        <f>T1.PLATEREADER_VALUE("",E455)</f>
        <v>0</v>
      </c>
      <c r="AS469" s="4">
        <f>T1.PLATEREADER_VALUE("",E455)</f>
        <v>0</v>
      </c>
      <c r="AT469" s="4">
        <f>T1.PLATEREADER_VALUE("",E455)</f>
        <v>0</v>
      </c>
      <c r="AU469" s="4">
        <f>T1.PLATEREADER_VALUE("",E455)</f>
        <v>0</v>
      </c>
      <c r="AV469" s="4">
        <f>T1.PLATEREADER_VALUE("",E455)</f>
        <v>0</v>
      </c>
      <c r="AW469" s="4">
        <f>T1.PLATEREADER_VALUE("",E455)</f>
        <v>0</v>
      </c>
      <c r="AX469" s="4">
        <f>T1.PLATEREADER_VALUE("",E455)</f>
        <v>0</v>
      </c>
      <c r="AY469" s="49"/>
      <c r="AZ469" s="49"/>
      <c r="BA469" s="49"/>
    </row>
    <row r="470" spans="2:53" ht="11.25" hidden="1" customHeight="1">
      <c r="B470" s="36" t="s">
        <v>411</v>
      </c>
      <c r="C470" s="4">
        <f>T1.PLATEREADER_VALUE("",E455)</f>
        <v>0</v>
      </c>
      <c r="D470" s="4">
        <f>T1.PLATEREADER_VALUE("",E455)</f>
        <v>0</v>
      </c>
      <c r="E470" s="4">
        <f>T1.PLATEREADER_VALUE("",E455)</f>
        <v>0</v>
      </c>
      <c r="F470" s="4">
        <f>T1.PLATEREADER_VALUE("",E455)</f>
        <v>0</v>
      </c>
      <c r="G470" s="4">
        <f>T1.PLATEREADER_VALUE("",E455)</f>
        <v>0</v>
      </c>
      <c r="H470" s="4">
        <f>T1.PLATEREADER_VALUE("",E455)</f>
        <v>0</v>
      </c>
      <c r="I470" s="4">
        <f>T1.PLATEREADER_VALUE("",E455)</f>
        <v>0</v>
      </c>
      <c r="J470" s="4">
        <f>T1.PLATEREADER_VALUE("",E455)</f>
        <v>0</v>
      </c>
      <c r="K470" s="4">
        <f>T1.PLATEREADER_VALUE("",E455)</f>
        <v>0</v>
      </c>
      <c r="L470" s="4">
        <f>T1.PLATEREADER_VALUE("",E455)</f>
        <v>0</v>
      </c>
      <c r="M470" s="4">
        <f>T1.PLATEREADER_VALUE("",E455)</f>
        <v>0</v>
      </c>
      <c r="N470" s="4">
        <f>T1.PLATEREADER_VALUE("",E455)</f>
        <v>0</v>
      </c>
      <c r="O470" s="4">
        <f>T1.PLATEREADER_VALUE("",E455)</f>
        <v>0</v>
      </c>
      <c r="P470" s="4">
        <f>T1.PLATEREADER_VALUE("",E455)</f>
        <v>0</v>
      </c>
      <c r="Q470" s="4">
        <f>T1.PLATEREADER_VALUE("",E455)</f>
        <v>0</v>
      </c>
      <c r="R470" s="4">
        <f>T1.PLATEREADER_VALUE("",E455)</f>
        <v>0</v>
      </c>
      <c r="S470" s="4">
        <f>T1.PLATEREADER_VALUE("",E455)</f>
        <v>0</v>
      </c>
      <c r="T470" s="4">
        <f>T1.PLATEREADER_VALUE("",E455)</f>
        <v>0</v>
      </c>
      <c r="U470" s="4">
        <f>T1.PLATEREADER_VALUE("",E455)</f>
        <v>0</v>
      </c>
      <c r="V470" s="4">
        <f>T1.PLATEREADER_VALUE("",E455)</f>
        <v>0</v>
      </c>
      <c r="W470" s="4">
        <f>T1.PLATEREADER_VALUE("",E455)</f>
        <v>0</v>
      </c>
      <c r="X470" s="4">
        <f>T1.PLATEREADER_VALUE("",E455)</f>
        <v>0</v>
      </c>
      <c r="Y470" s="4">
        <f>T1.PLATEREADER_VALUE("",E455)</f>
        <v>0</v>
      </c>
      <c r="Z470" s="4">
        <f>T1.PLATEREADER_VALUE("",E455)</f>
        <v>0</v>
      </c>
      <c r="AA470" s="4">
        <f>T1.PLATEREADER_VALUE("",E455)</f>
        <v>0</v>
      </c>
      <c r="AB470" s="4">
        <f>T1.PLATEREADER_VALUE("",E455)</f>
        <v>0</v>
      </c>
      <c r="AC470" s="4">
        <f>T1.PLATEREADER_VALUE("",E455)</f>
        <v>0</v>
      </c>
      <c r="AD470" s="4">
        <f>T1.PLATEREADER_VALUE("",E455)</f>
        <v>0</v>
      </c>
      <c r="AE470" s="4">
        <f>T1.PLATEREADER_VALUE("",E455)</f>
        <v>0</v>
      </c>
      <c r="AF470" s="4">
        <f>T1.PLATEREADER_VALUE("",E455)</f>
        <v>0</v>
      </c>
      <c r="AG470" s="4">
        <f>T1.PLATEREADER_VALUE("",E455)</f>
        <v>0</v>
      </c>
      <c r="AH470" s="4">
        <f>T1.PLATEREADER_VALUE("",E455)</f>
        <v>0</v>
      </c>
      <c r="AI470" s="4">
        <f>T1.PLATEREADER_VALUE("",E455)</f>
        <v>0</v>
      </c>
      <c r="AJ470" s="4">
        <f>T1.PLATEREADER_VALUE("",E455)</f>
        <v>0</v>
      </c>
      <c r="AK470" s="4">
        <f>T1.PLATEREADER_VALUE("",E455)</f>
        <v>0</v>
      </c>
      <c r="AL470" s="4">
        <f>T1.PLATEREADER_VALUE("",E455)</f>
        <v>0</v>
      </c>
      <c r="AM470" s="4">
        <f>T1.PLATEREADER_VALUE("",E455)</f>
        <v>0</v>
      </c>
      <c r="AN470" s="4">
        <f>T1.PLATEREADER_VALUE("",E455)</f>
        <v>0</v>
      </c>
      <c r="AO470" s="4">
        <f>T1.PLATEREADER_VALUE("",E455)</f>
        <v>0</v>
      </c>
      <c r="AP470" s="4">
        <f>T1.PLATEREADER_VALUE("",E455)</f>
        <v>0</v>
      </c>
      <c r="AQ470" s="4">
        <f>T1.PLATEREADER_VALUE("",E455)</f>
        <v>0</v>
      </c>
      <c r="AR470" s="4">
        <f>T1.PLATEREADER_VALUE("",E455)</f>
        <v>0</v>
      </c>
      <c r="AS470" s="4">
        <f>T1.PLATEREADER_VALUE("",E455)</f>
        <v>0</v>
      </c>
      <c r="AT470" s="4">
        <f>T1.PLATEREADER_VALUE("",E455)</f>
        <v>0</v>
      </c>
      <c r="AU470" s="4">
        <f>T1.PLATEREADER_VALUE("",E455)</f>
        <v>0</v>
      </c>
      <c r="AV470" s="4">
        <f>T1.PLATEREADER_VALUE("",E455)</f>
        <v>0</v>
      </c>
      <c r="AW470" s="4">
        <f>T1.PLATEREADER_VALUE("",E455)</f>
        <v>0</v>
      </c>
      <c r="AX470" s="4">
        <f>T1.PLATEREADER_VALUE("",E455)</f>
        <v>0</v>
      </c>
      <c r="AY470" s="49"/>
      <c r="AZ470" s="49"/>
      <c r="BA470" s="49"/>
    </row>
    <row r="471" spans="2:53" ht="11.25" hidden="1" customHeight="1">
      <c r="B471" s="36" t="s">
        <v>412</v>
      </c>
      <c r="C471" s="4">
        <f>T1.PLATEREADER_VALUE("",E455)</f>
        <v>0</v>
      </c>
      <c r="D471" s="4">
        <f>T1.PLATEREADER_VALUE("",E455)</f>
        <v>0</v>
      </c>
      <c r="E471" s="4">
        <f>T1.PLATEREADER_VALUE("",E455)</f>
        <v>0</v>
      </c>
      <c r="F471" s="4">
        <f>T1.PLATEREADER_VALUE("",E455)</f>
        <v>0</v>
      </c>
      <c r="G471" s="4">
        <f>T1.PLATEREADER_VALUE("",E455)</f>
        <v>0</v>
      </c>
      <c r="H471" s="4">
        <f>T1.PLATEREADER_VALUE("",E455)</f>
        <v>0</v>
      </c>
      <c r="I471" s="4">
        <f>T1.PLATEREADER_VALUE("",E455)</f>
        <v>0</v>
      </c>
      <c r="J471" s="4">
        <f>T1.PLATEREADER_VALUE("",E455)</f>
        <v>0</v>
      </c>
      <c r="K471" s="4">
        <f>T1.PLATEREADER_VALUE("",E455)</f>
        <v>0</v>
      </c>
      <c r="L471" s="4">
        <f>T1.PLATEREADER_VALUE("",E455)</f>
        <v>0</v>
      </c>
      <c r="M471" s="4">
        <f>T1.PLATEREADER_VALUE("",E455)</f>
        <v>0</v>
      </c>
      <c r="N471" s="4">
        <f>T1.PLATEREADER_VALUE("",E455)</f>
        <v>0</v>
      </c>
      <c r="O471" s="4">
        <f>T1.PLATEREADER_VALUE("",E455)</f>
        <v>0</v>
      </c>
      <c r="P471" s="4">
        <f>T1.PLATEREADER_VALUE("",E455)</f>
        <v>0</v>
      </c>
      <c r="Q471" s="4">
        <f>T1.PLATEREADER_VALUE("",E455)</f>
        <v>0</v>
      </c>
      <c r="R471" s="4">
        <f>T1.PLATEREADER_VALUE("",E455)</f>
        <v>0</v>
      </c>
      <c r="S471" s="4">
        <f>T1.PLATEREADER_VALUE("",E455)</f>
        <v>0</v>
      </c>
      <c r="T471" s="4">
        <f>T1.PLATEREADER_VALUE("",E455)</f>
        <v>0</v>
      </c>
      <c r="U471" s="4">
        <f>T1.PLATEREADER_VALUE("",E455)</f>
        <v>0</v>
      </c>
      <c r="V471" s="4">
        <f>T1.PLATEREADER_VALUE("",E455)</f>
        <v>0</v>
      </c>
      <c r="W471" s="4">
        <f>T1.PLATEREADER_VALUE("",E455)</f>
        <v>0</v>
      </c>
      <c r="X471" s="4">
        <f>T1.PLATEREADER_VALUE("",E455)</f>
        <v>0</v>
      </c>
      <c r="Y471" s="4">
        <f>T1.PLATEREADER_VALUE("",E455)</f>
        <v>0</v>
      </c>
      <c r="Z471" s="4">
        <f>T1.PLATEREADER_VALUE("",E455)</f>
        <v>0</v>
      </c>
      <c r="AA471" s="4">
        <f>T1.PLATEREADER_VALUE("",E455)</f>
        <v>0</v>
      </c>
      <c r="AB471" s="4">
        <f>T1.PLATEREADER_VALUE("",E455)</f>
        <v>0</v>
      </c>
      <c r="AC471" s="4">
        <f>T1.PLATEREADER_VALUE("",E455)</f>
        <v>0</v>
      </c>
      <c r="AD471" s="4">
        <f>T1.PLATEREADER_VALUE("",E455)</f>
        <v>0</v>
      </c>
      <c r="AE471" s="4">
        <f>T1.PLATEREADER_VALUE("",E455)</f>
        <v>0</v>
      </c>
      <c r="AF471" s="4">
        <f>T1.PLATEREADER_VALUE("",E455)</f>
        <v>0</v>
      </c>
      <c r="AG471" s="4">
        <f>T1.PLATEREADER_VALUE("",E455)</f>
        <v>0</v>
      </c>
      <c r="AH471" s="4">
        <f>T1.PLATEREADER_VALUE("",E455)</f>
        <v>0</v>
      </c>
      <c r="AI471" s="4">
        <f>T1.PLATEREADER_VALUE("",E455)</f>
        <v>0</v>
      </c>
      <c r="AJ471" s="4">
        <f>T1.PLATEREADER_VALUE("",E455)</f>
        <v>0</v>
      </c>
      <c r="AK471" s="4">
        <f>T1.PLATEREADER_VALUE("",E455)</f>
        <v>0</v>
      </c>
      <c r="AL471" s="4">
        <f>T1.PLATEREADER_VALUE("",E455)</f>
        <v>0</v>
      </c>
      <c r="AM471" s="4">
        <f>T1.PLATEREADER_VALUE("",E455)</f>
        <v>0</v>
      </c>
      <c r="AN471" s="4">
        <f>T1.PLATEREADER_VALUE("",E455)</f>
        <v>0</v>
      </c>
      <c r="AO471" s="4">
        <f>T1.PLATEREADER_VALUE("",E455)</f>
        <v>0</v>
      </c>
      <c r="AP471" s="4">
        <f>T1.PLATEREADER_VALUE("",E455)</f>
        <v>0</v>
      </c>
      <c r="AQ471" s="4">
        <f>T1.PLATEREADER_VALUE("",E455)</f>
        <v>0</v>
      </c>
      <c r="AR471" s="4">
        <f>T1.PLATEREADER_VALUE("",E455)</f>
        <v>0</v>
      </c>
      <c r="AS471" s="4">
        <f>T1.PLATEREADER_VALUE("",E455)</f>
        <v>0</v>
      </c>
      <c r="AT471" s="4">
        <f>T1.PLATEREADER_VALUE("",E455)</f>
        <v>0</v>
      </c>
      <c r="AU471" s="4">
        <f>T1.PLATEREADER_VALUE("",E455)</f>
        <v>0</v>
      </c>
      <c r="AV471" s="4">
        <f>T1.PLATEREADER_VALUE("",E455)</f>
        <v>0</v>
      </c>
      <c r="AW471" s="4">
        <f>T1.PLATEREADER_VALUE("",E455)</f>
        <v>0</v>
      </c>
      <c r="AX471" s="4">
        <f>T1.PLATEREADER_VALUE("",E455)</f>
        <v>0</v>
      </c>
      <c r="AY471" s="49"/>
      <c r="AZ471" s="49"/>
      <c r="BA471" s="49"/>
    </row>
    <row r="472" spans="2:53" ht="11.25" hidden="1" customHeight="1">
      <c r="B472" s="36" t="s">
        <v>413</v>
      </c>
      <c r="C472" s="4">
        <f>T1.PLATEREADER_VALUE("",E455)</f>
        <v>0</v>
      </c>
      <c r="D472" s="4">
        <f>T1.PLATEREADER_VALUE("",E455)</f>
        <v>0</v>
      </c>
      <c r="E472" s="4">
        <f>T1.PLATEREADER_VALUE("",E455)</f>
        <v>0</v>
      </c>
      <c r="F472" s="4">
        <f>T1.PLATEREADER_VALUE("",E455)</f>
        <v>0</v>
      </c>
      <c r="G472" s="4">
        <f>T1.PLATEREADER_VALUE("",E455)</f>
        <v>0</v>
      </c>
      <c r="H472" s="4">
        <f>T1.PLATEREADER_VALUE("",E455)</f>
        <v>0</v>
      </c>
      <c r="I472" s="4">
        <f>T1.PLATEREADER_VALUE("",E455)</f>
        <v>0</v>
      </c>
      <c r="J472" s="4">
        <f>T1.PLATEREADER_VALUE("",E455)</f>
        <v>0</v>
      </c>
      <c r="K472" s="4">
        <f>T1.PLATEREADER_VALUE("",E455)</f>
        <v>0</v>
      </c>
      <c r="L472" s="4">
        <f>T1.PLATEREADER_VALUE("",E455)</f>
        <v>0</v>
      </c>
      <c r="M472" s="4">
        <f>T1.PLATEREADER_VALUE("",E455)</f>
        <v>0</v>
      </c>
      <c r="N472" s="4">
        <f>T1.PLATEREADER_VALUE("",E455)</f>
        <v>0</v>
      </c>
      <c r="O472" s="4">
        <f>T1.PLATEREADER_VALUE("",E455)</f>
        <v>0</v>
      </c>
      <c r="P472" s="4">
        <f>T1.PLATEREADER_VALUE("",E455)</f>
        <v>0</v>
      </c>
      <c r="Q472" s="4">
        <f>T1.PLATEREADER_VALUE("",E455)</f>
        <v>0</v>
      </c>
      <c r="R472" s="4">
        <f>T1.PLATEREADER_VALUE("",E455)</f>
        <v>0</v>
      </c>
      <c r="S472" s="4">
        <f>T1.PLATEREADER_VALUE("",E455)</f>
        <v>0</v>
      </c>
      <c r="T472" s="4">
        <f>T1.PLATEREADER_VALUE("",E455)</f>
        <v>0</v>
      </c>
      <c r="U472" s="4">
        <f>T1.PLATEREADER_VALUE("",E455)</f>
        <v>0</v>
      </c>
      <c r="V472" s="4">
        <f>T1.PLATEREADER_VALUE("",E455)</f>
        <v>0</v>
      </c>
      <c r="W472" s="4">
        <f>T1.PLATEREADER_VALUE("",E455)</f>
        <v>0</v>
      </c>
      <c r="X472" s="4">
        <f>T1.PLATEREADER_VALUE("",E455)</f>
        <v>0</v>
      </c>
      <c r="Y472" s="4">
        <f>T1.PLATEREADER_VALUE("",E455)</f>
        <v>0</v>
      </c>
      <c r="Z472" s="4">
        <f>T1.PLATEREADER_VALUE("",E455)</f>
        <v>0</v>
      </c>
      <c r="AA472" s="4">
        <f>T1.PLATEREADER_VALUE("",E455)</f>
        <v>0</v>
      </c>
      <c r="AB472" s="4">
        <f>T1.PLATEREADER_VALUE("",E455)</f>
        <v>0</v>
      </c>
      <c r="AC472" s="4">
        <f>T1.PLATEREADER_VALUE("",E455)</f>
        <v>0</v>
      </c>
      <c r="AD472" s="4">
        <f>T1.PLATEREADER_VALUE("",E455)</f>
        <v>0</v>
      </c>
      <c r="AE472" s="4">
        <f>T1.PLATEREADER_VALUE("",E455)</f>
        <v>0</v>
      </c>
      <c r="AF472" s="4">
        <f>T1.PLATEREADER_VALUE("",E455)</f>
        <v>0</v>
      </c>
      <c r="AG472" s="4">
        <f>T1.PLATEREADER_VALUE("",E455)</f>
        <v>0</v>
      </c>
      <c r="AH472" s="4">
        <f>T1.PLATEREADER_VALUE("",E455)</f>
        <v>0</v>
      </c>
      <c r="AI472" s="4">
        <f>T1.PLATEREADER_VALUE("",E455)</f>
        <v>0</v>
      </c>
      <c r="AJ472" s="4">
        <f>T1.PLATEREADER_VALUE("",E455)</f>
        <v>0</v>
      </c>
      <c r="AK472" s="4">
        <f>T1.PLATEREADER_VALUE("",E455)</f>
        <v>0</v>
      </c>
      <c r="AL472" s="4">
        <f>T1.PLATEREADER_VALUE("",E455)</f>
        <v>0</v>
      </c>
      <c r="AM472" s="4">
        <f>T1.PLATEREADER_VALUE("",E455)</f>
        <v>0</v>
      </c>
      <c r="AN472" s="4">
        <f>T1.PLATEREADER_VALUE("",E455)</f>
        <v>0</v>
      </c>
      <c r="AO472" s="4">
        <f>T1.PLATEREADER_VALUE("",E455)</f>
        <v>0</v>
      </c>
      <c r="AP472" s="4">
        <f>T1.PLATEREADER_VALUE("",E455)</f>
        <v>0</v>
      </c>
      <c r="AQ472" s="4">
        <f>T1.PLATEREADER_VALUE("",E455)</f>
        <v>0</v>
      </c>
      <c r="AR472" s="4">
        <f>T1.PLATEREADER_VALUE("",E455)</f>
        <v>0</v>
      </c>
      <c r="AS472" s="4">
        <f>T1.PLATEREADER_VALUE("",E455)</f>
        <v>0</v>
      </c>
      <c r="AT472" s="4">
        <f>T1.PLATEREADER_VALUE("",E455)</f>
        <v>0</v>
      </c>
      <c r="AU472" s="4">
        <f>T1.PLATEREADER_VALUE("",E455)</f>
        <v>0</v>
      </c>
      <c r="AV472" s="4">
        <f>T1.PLATEREADER_VALUE("",E455)</f>
        <v>0</v>
      </c>
      <c r="AW472" s="4">
        <f>T1.PLATEREADER_VALUE("",E455)</f>
        <v>0</v>
      </c>
      <c r="AX472" s="4">
        <f>T1.PLATEREADER_VALUE("",E455)</f>
        <v>0</v>
      </c>
      <c r="AY472" s="49"/>
      <c r="AZ472" s="49"/>
      <c r="BA472" s="49"/>
    </row>
    <row r="473" spans="2:53" ht="11.25" hidden="1" customHeight="1">
      <c r="B473" s="36" t="s">
        <v>414</v>
      </c>
      <c r="C473" s="4">
        <f>T1.PLATEREADER_VALUE("",E455)</f>
        <v>0</v>
      </c>
      <c r="D473" s="4">
        <f>T1.PLATEREADER_VALUE("",E455)</f>
        <v>0</v>
      </c>
      <c r="E473" s="4">
        <f>T1.PLATEREADER_VALUE("",E455)</f>
        <v>0</v>
      </c>
      <c r="F473" s="4">
        <f>T1.PLATEREADER_VALUE("",E455)</f>
        <v>0</v>
      </c>
      <c r="G473" s="4">
        <f>T1.PLATEREADER_VALUE("",E455)</f>
        <v>0</v>
      </c>
      <c r="H473" s="4">
        <f>T1.PLATEREADER_VALUE("",E455)</f>
        <v>0</v>
      </c>
      <c r="I473" s="4">
        <f>T1.PLATEREADER_VALUE("",E455)</f>
        <v>0</v>
      </c>
      <c r="J473" s="4">
        <f>T1.PLATEREADER_VALUE("",E455)</f>
        <v>0</v>
      </c>
      <c r="K473" s="4">
        <f>T1.PLATEREADER_VALUE("",E455)</f>
        <v>0</v>
      </c>
      <c r="L473" s="4">
        <f>T1.PLATEREADER_VALUE("",E455)</f>
        <v>0</v>
      </c>
      <c r="M473" s="4">
        <f>T1.PLATEREADER_VALUE("",E455)</f>
        <v>0</v>
      </c>
      <c r="N473" s="4">
        <f>T1.PLATEREADER_VALUE("",E455)</f>
        <v>0</v>
      </c>
      <c r="O473" s="4">
        <f>T1.PLATEREADER_VALUE("",E455)</f>
        <v>0</v>
      </c>
      <c r="P473" s="4">
        <f>T1.PLATEREADER_VALUE("",E455)</f>
        <v>0</v>
      </c>
      <c r="Q473" s="4">
        <f>T1.PLATEREADER_VALUE("",E455)</f>
        <v>0</v>
      </c>
      <c r="R473" s="4">
        <f>T1.PLATEREADER_VALUE("",E455)</f>
        <v>0</v>
      </c>
      <c r="S473" s="4">
        <f>T1.PLATEREADER_VALUE("",E455)</f>
        <v>0</v>
      </c>
      <c r="T473" s="4">
        <f>T1.PLATEREADER_VALUE("",E455)</f>
        <v>0</v>
      </c>
      <c r="U473" s="4">
        <f>T1.PLATEREADER_VALUE("",E455)</f>
        <v>0</v>
      </c>
      <c r="V473" s="4">
        <f>T1.PLATEREADER_VALUE("",E455)</f>
        <v>0</v>
      </c>
      <c r="W473" s="4">
        <f>T1.PLATEREADER_VALUE("",E455)</f>
        <v>0</v>
      </c>
      <c r="X473" s="4">
        <f>T1.PLATEREADER_VALUE("",E455)</f>
        <v>0</v>
      </c>
      <c r="Y473" s="4">
        <f>T1.PLATEREADER_VALUE("",E455)</f>
        <v>0</v>
      </c>
      <c r="Z473" s="4">
        <f>T1.PLATEREADER_VALUE("",E455)</f>
        <v>0</v>
      </c>
      <c r="AA473" s="4">
        <f>T1.PLATEREADER_VALUE("",E455)</f>
        <v>0</v>
      </c>
      <c r="AB473" s="4">
        <f>T1.PLATEREADER_VALUE("",E455)</f>
        <v>0</v>
      </c>
      <c r="AC473" s="4">
        <f>T1.PLATEREADER_VALUE("",E455)</f>
        <v>0</v>
      </c>
      <c r="AD473" s="4">
        <f>T1.PLATEREADER_VALUE("",E455)</f>
        <v>0</v>
      </c>
      <c r="AE473" s="4">
        <f>T1.PLATEREADER_VALUE("",E455)</f>
        <v>0</v>
      </c>
      <c r="AF473" s="4">
        <f>T1.PLATEREADER_VALUE("",E455)</f>
        <v>0</v>
      </c>
      <c r="AG473" s="4">
        <f>T1.PLATEREADER_VALUE("",E455)</f>
        <v>0</v>
      </c>
      <c r="AH473" s="4">
        <f>T1.PLATEREADER_VALUE("",E455)</f>
        <v>0</v>
      </c>
      <c r="AI473" s="4">
        <f>T1.PLATEREADER_VALUE("",E455)</f>
        <v>0</v>
      </c>
      <c r="AJ473" s="4">
        <f>T1.PLATEREADER_VALUE("",E455)</f>
        <v>0</v>
      </c>
      <c r="AK473" s="4">
        <f>T1.PLATEREADER_VALUE("",E455)</f>
        <v>0</v>
      </c>
      <c r="AL473" s="4">
        <f>T1.PLATEREADER_VALUE("",E455)</f>
        <v>0</v>
      </c>
      <c r="AM473" s="4">
        <f>T1.PLATEREADER_VALUE("",E455)</f>
        <v>0</v>
      </c>
      <c r="AN473" s="4">
        <f>T1.PLATEREADER_VALUE("",E455)</f>
        <v>0</v>
      </c>
      <c r="AO473" s="4">
        <f>T1.PLATEREADER_VALUE("",E455)</f>
        <v>0</v>
      </c>
      <c r="AP473" s="4">
        <f>T1.PLATEREADER_VALUE("",E455)</f>
        <v>0</v>
      </c>
      <c r="AQ473" s="4">
        <f>T1.PLATEREADER_VALUE("",E455)</f>
        <v>0</v>
      </c>
      <c r="AR473" s="4">
        <f>T1.PLATEREADER_VALUE("",E455)</f>
        <v>0</v>
      </c>
      <c r="AS473" s="4">
        <f>T1.PLATEREADER_VALUE("",E455)</f>
        <v>0</v>
      </c>
      <c r="AT473" s="4">
        <f>T1.PLATEREADER_VALUE("",E455)</f>
        <v>0</v>
      </c>
      <c r="AU473" s="4">
        <f>T1.PLATEREADER_VALUE("",E455)</f>
        <v>0</v>
      </c>
      <c r="AV473" s="4">
        <f>T1.PLATEREADER_VALUE("",E455)</f>
        <v>0</v>
      </c>
      <c r="AW473" s="4">
        <f>T1.PLATEREADER_VALUE("",E455)</f>
        <v>0</v>
      </c>
      <c r="AX473" s="4">
        <f>T1.PLATEREADER_VALUE("",E455)</f>
        <v>0</v>
      </c>
      <c r="AY473" s="49"/>
      <c r="AZ473" s="49"/>
      <c r="BA473" s="49"/>
    </row>
    <row r="474" spans="2:53" ht="11.25" hidden="1" customHeight="1">
      <c r="B474" s="36" t="s">
        <v>1214</v>
      </c>
      <c r="C474" s="4">
        <f>T1.PLATEREADER_VALUE("",E455)</f>
        <v>0</v>
      </c>
      <c r="D474" s="4">
        <f>T1.PLATEREADER_VALUE("",E455)</f>
        <v>0</v>
      </c>
      <c r="E474" s="4">
        <f>T1.PLATEREADER_VALUE("",E455)</f>
        <v>0</v>
      </c>
      <c r="F474" s="4">
        <f>T1.PLATEREADER_VALUE("",E455)</f>
        <v>0</v>
      </c>
      <c r="G474" s="4">
        <f>T1.PLATEREADER_VALUE("",E455)</f>
        <v>0</v>
      </c>
      <c r="H474" s="4">
        <f>T1.PLATEREADER_VALUE("",E455)</f>
        <v>0</v>
      </c>
      <c r="I474" s="4">
        <f>T1.PLATEREADER_VALUE("",E455)</f>
        <v>0</v>
      </c>
      <c r="J474" s="4">
        <f>T1.PLATEREADER_VALUE("",E455)</f>
        <v>0</v>
      </c>
      <c r="K474" s="4">
        <f>T1.PLATEREADER_VALUE("",E455)</f>
        <v>0</v>
      </c>
      <c r="L474" s="4">
        <f>T1.PLATEREADER_VALUE("",E455)</f>
        <v>0</v>
      </c>
      <c r="M474" s="4">
        <f>T1.PLATEREADER_VALUE("",E455)</f>
        <v>0</v>
      </c>
      <c r="N474" s="4">
        <f>T1.PLATEREADER_VALUE("",E455)</f>
        <v>0</v>
      </c>
      <c r="O474" s="4">
        <f>T1.PLATEREADER_VALUE("",E455)</f>
        <v>0</v>
      </c>
      <c r="P474" s="4">
        <f>T1.PLATEREADER_VALUE("",E455)</f>
        <v>0</v>
      </c>
      <c r="Q474" s="4">
        <f>T1.PLATEREADER_VALUE("",E455)</f>
        <v>0</v>
      </c>
      <c r="R474" s="4">
        <f>T1.PLATEREADER_VALUE("",E455)</f>
        <v>0</v>
      </c>
      <c r="S474" s="4">
        <f>T1.PLATEREADER_VALUE("",E455)</f>
        <v>0</v>
      </c>
      <c r="T474" s="4">
        <f>T1.PLATEREADER_VALUE("",E455)</f>
        <v>0</v>
      </c>
      <c r="U474" s="4">
        <f>T1.PLATEREADER_VALUE("",E455)</f>
        <v>0</v>
      </c>
      <c r="V474" s="4">
        <f>T1.PLATEREADER_VALUE("",E455)</f>
        <v>0</v>
      </c>
      <c r="W474" s="4">
        <f>T1.PLATEREADER_VALUE("",E455)</f>
        <v>0</v>
      </c>
      <c r="X474" s="4">
        <f>T1.PLATEREADER_VALUE("",E455)</f>
        <v>0</v>
      </c>
      <c r="Y474" s="4">
        <f>T1.PLATEREADER_VALUE("",E455)</f>
        <v>0</v>
      </c>
      <c r="Z474" s="4">
        <f>T1.PLATEREADER_VALUE("",E455)</f>
        <v>0</v>
      </c>
      <c r="AA474" s="4">
        <f>T1.PLATEREADER_VALUE("",E455)</f>
        <v>0</v>
      </c>
      <c r="AB474" s="4">
        <f>T1.PLATEREADER_VALUE("",E455)</f>
        <v>0</v>
      </c>
      <c r="AC474" s="4">
        <f>T1.PLATEREADER_VALUE("",E455)</f>
        <v>0</v>
      </c>
      <c r="AD474" s="4">
        <f>T1.PLATEREADER_VALUE("",E455)</f>
        <v>0</v>
      </c>
      <c r="AE474" s="4">
        <f>T1.PLATEREADER_VALUE("",E455)</f>
        <v>0</v>
      </c>
      <c r="AF474" s="4">
        <f>T1.PLATEREADER_VALUE("",E455)</f>
        <v>0</v>
      </c>
      <c r="AG474" s="4">
        <f>T1.PLATEREADER_VALUE("",E455)</f>
        <v>0</v>
      </c>
      <c r="AH474" s="4">
        <f>T1.PLATEREADER_VALUE("",E455)</f>
        <v>0</v>
      </c>
      <c r="AI474" s="4">
        <f>T1.PLATEREADER_VALUE("",E455)</f>
        <v>0</v>
      </c>
      <c r="AJ474" s="4">
        <f>T1.PLATEREADER_VALUE("",E455)</f>
        <v>0</v>
      </c>
      <c r="AK474" s="4">
        <f>T1.PLATEREADER_VALUE("",E455)</f>
        <v>0</v>
      </c>
      <c r="AL474" s="4">
        <f>T1.PLATEREADER_VALUE("",E455)</f>
        <v>0</v>
      </c>
      <c r="AM474" s="4">
        <f>T1.PLATEREADER_VALUE("",E455)</f>
        <v>0</v>
      </c>
      <c r="AN474" s="4">
        <f>T1.PLATEREADER_VALUE("",E455)</f>
        <v>0</v>
      </c>
      <c r="AO474" s="4">
        <f>T1.PLATEREADER_VALUE("",E455)</f>
        <v>0</v>
      </c>
      <c r="AP474" s="4">
        <f>T1.PLATEREADER_VALUE("",E455)</f>
        <v>0</v>
      </c>
      <c r="AQ474" s="4">
        <f>T1.PLATEREADER_VALUE("",E455)</f>
        <v>0</v>
      </c>
      <c r="AR474" s="4">
        <f>T1.PLATEREADER_VALUE("",E455)</f>
        <v>0</v>
      </c>
      <c r="AS474" s="4">
        <f>T1.PLATEREADER_VALUE("",E455)</f>
        <v>0</v>
      </c>
      <c r="AT474" s="4">
        <f>T1.PLATEREADER_VALUE("",E455)</f>
        <v>0</v>
      </c>
      <c r="AU474" s="4">
        <f>T1.PLATEREADER_VALUE("",E455)</f>
        <v>0</v>
      </c>
      <c r="AV474" s="4">
        <f>T1.PLATEREADER_VALUE("",E455)</f>
        <v>0</v>
      </c>
      <c r="AW474" s="4">
        <f>T1.PLATEREADER_VALUE("",E455)</f>
        <v>0</v>
      </c>
      <c r="AX474" s="4">
        <f>T1.PLATEREADER_VALUE("",E455)</f>
        <v>0</v>
      </c>
      <c r="AY474" s="49"/>
      <c r="AZ474" s="49"/>
      <c r="BA474" s="49"/>
    </row>
    <row r="475" spans="2:53" ht="11.25" hidden="1" customHeight="1">
      <c r="B475" s="36" t="s">
        <v>1263</v>
      </c>
      <c r="C475" s="4">
        <f>T1.PLATEREADER_VALUE("",E455)</f>
        <v>0</v>
      </c>
      <c r="D475" s="4">
        <f>T1.PLATEREADER_VALUE("",E455)</f>
        <v>0</v>
      </c>
      <c r="E475" s="4">
        <f>T1.PLATEREADER_VALUE("",E455)</f>
        <v>0</v>
      </c>
      <c r="F475" s="4">
        <f>T1.PLATEREADER_VALUE("",E455)</f>
        <v>0</v>
      </c>
      <c r="G475" s="4">
        <f>T1.PLATEREADER_VALUE("",E455)</f>
        <v>0</v>
      </c>
      <c r="H475" s="4">
        <f>T1.PLATEREADER_VALUE("",E455)</f>
        <v>0</v>
      </c>
      <c r="I475" s="4">
        <f>T1.PLATEREADER_VALUE("",E455)</f>
        <v>0</v>
      </c>
      <c r="J475" s="4">
        <f>T1.PLATEREADER_VALUE("",E455)</f>
        <v>0</v>
      </c>
      <c r="K475" s="4">
        <f>T1.PLATEREADER_VALUE("",E455)</f>
        <v>0</v>
      </c>
      <c r="L475" s="4">
        <f>T1.PLATEREADER_VALUE("",E455)</f>
        <v>0</v>
      </c>
      <c r="M475" s="4">
        <f>T1.PLATEREADER_VALUE("",E455)</f>
        <v>0</v>
      </c>
      <c r="N475" s="4">
        <f>T1.PLATEREADER_VALUE("",E455)</f>
        <v>0</v>
      </c>
      <c r="O475" s="4">
        <f>T1.PLATEREADER_VALUE("",E455)</f>
        <v>0</v>
      </c>
      <c r="P475" s="4">
        <f>T1.PLATEREADER_VALUE("",E455)</f>
        <v>0</v>
      </c>
      <c r="Q475" s="4">
        <f>T1.PLATEREADER_VALUE("",E455)</f>
        <v>0</v>
      </c>
      <c r="R475" s="4">
        <f>T1.PLATEREADER_VALUE("",E455)</f>
        <v>0</v>
      </c>
      <c r="S475" s="4">
        <f>T1.PLATEREADER_VALUE("",E455)</f>
        <v>0</v>
      </c>
      <c r="T475" s="4">
        <f>T1.PLATEREADER_VALUE("",E455)</f>
        <v>0</v>
      </c>
      <c r="U475" s="4">
        <f>T1.PLATEREADER_VALUE("",E455)</f>
        <v>0</v>
      </c>
      <c r="V475" s="4">
        <f>T1.PLATEREADER_VALUE("",E455)</f>
        <v>0</v>
      </c>
      <c r="W475" s="4">
        <f>T1.PLATEREADER_VALUE("",E455)</f>
        <v>0</v>
      </c>
      <c r="X475" s="4">
        <f>T1.PLATEREADER_VALUE("",E455)</f>
        <v>0</v>
      </c>
      <c r="Y475" s="4">
        <f>T1.PLATEREADER_VALUE("",E455)</f>
        <v>0</v>
      </c>
      <c r="Z475" s="4">
        <f>T1.PLATEREADER_VALUE("",E455)</f>
        <v>0</v>
      </c>
      <c r="AA475" s="4">
        <f>T1.PLATEREADER_VALUE("",E455)</f>
        <v>0</v>
      </c>
      <c r="AB475" s="4">
        <f>T1.PLATEREADER_VALUE("",E455)</f>
        <v>0</v>
      </c>
      <c r="AC475" s="4">
        <f>T1.PLATEREADER_VALUE("",E455)</f>
        <v>0</v>
      </c>
      <c r="AD475" s="4">
        <f>T1.PLATEREADER_VALUE("",E455)</f>
        <v>0</v>
      </c>
      <c r="AE475" s="4">
        <f>T1.PLATEREADER_VALUE("",E455)</f>
        <v>0</v>
      </c>
      <c r="AF475" s="4">
        <f>T1.PLATEREADER_VALUE("",E455)</f>
        <v>0</v>
      </c>
      <c r="AG475" s="4">
        <f>T1.PLATEREADER_VALUE("",E455)</f>
        <v>0</v>
      </c>
      <c r="AH475" s="4">
        <f>T1.PLATEREADER_VALUE("",E455)</f>
        <v>0</v>
      </c>
      <c r="AI475" s="4">
        <f>T1.PLATEREADER_VALUE("",E455)</f>
        <v>0</v>
      </c>
      <c r="AJ475" s="4">
        <f>T1.PLATEREADER_VALUE("",E455)</f>
        <v>0</v>
      </c>
      <c r="AK475" s="4">
        <f>T1.PLATEREADER_VALUE("",E455)</f>
        <v>0</v>
      </c>
      <c r="AL475" s="4">
        <f>T1.PLATEREADER_VALUE("",E455)</f>
        <v>0</v>
      </c>
      <c r="AM475" s="4">
        <f>T1.PLATEREADER_VALUE("",E455)</f>
        <v>0</v>
      </c>
      <c r="AN475" s="4">
        <f>T1.PLATEREADER_VALUE("",E455)</f>
        <v>0</v>
      </c>
      <c r="AO475" s="4">
        <f>T1.PLATEREADER_VALUE("",E455)</f>
        <v>0</v>
      </c>
      <c r="AP475" s="4">
        <f>T1.PLATEREADER_VALUE("",E455)</f>
        <v>0</v>
      </c>
      <c r="AQ475" s="4">
        <f>T1.PLATEREADER_VALUE("",E455)</f>
        <v>0</v>
      </c>
      <c r="AR475" s="4">
        <f>T1.PLATEREADER_VALUE("",E455)</f>
        <v>0</v>
      </c>
      <c r="AS475" s="4">
        <f>T1.PLATEREADER_VALUE("",E455)</f>
        <v>0</v>
      </c>
      <c r="AT475" s="4">
        <f>T1.PLATEREADER_VALUE("",E455)</f>
        <v>0</v>
      </c>
      <c r="AU475" s="4">
        <f>T1.PLATEREADER_VALUE("",E455)</f>
        <v>0</v>
      </c>
      <c r="AV475" s="4">
        <f>T1.PLATEREADER_VALUE("",E455)</f>
        <v>0</v>
      </c>
      <c r="AW475" s="4">
        <f>T1.PLATEREADER_VALUE("",E455)</f>
        <v>0</v>
      </c>
      <c r="AX475" s="4">
        <f>T1.PLATEREADER_VALUE("",E455)</f>
        <v>0</v>
      </c>
      <c r="AY475" s="49"/>
      <c r="AZ475" s="49"/>
      <c r="BA475" s="49"/>
    </row>
    <row r="476" spans="2:53" ht="11.25" hidden="1" customHeight="1">
      <c r="B476" s="36" t="s">
        <v>1312</v>
      </c>
      <c r="C476" s="4">
        <f>T1.PLATEREADER_VALUE("",E455)</f>
        <v>0</v>
      </c>
      <c r="D476" s="4">
        <f>T1.PLATEREADER_VALUE("",E455)</f>
        <v>0</v>
      </c>
      <c r="E476" s="4">
        <f>T1.PLATEREADER_VALUE("",E455)</f>
        <v>0</v>
      </c>
      <c r="F476" s="4">
        <f>T1.PLATEREADER_VALUE("",E455)</f>
        <v>0</v>
      </c>
      <c r="G476" s="4">
        <f>T1.PLATEREADER_VALUE("",E455)</f>
        <v>0</v>
      </c>
      <c r="H476" s="4">
        <f>T1.PLATEREADER_VALUE("",E455)</f>
        <v>0</v>
      </c>
      <c r="I476" s="4">
        <f>T1.PLATEREADER_VALUE("",E455)</f>
        <v>0</v>
      </c>
      <c r="J476" s="4">
        <f>T1.PLATEREADER_VALUE("",E455)</f>
        <v>0</v>
      </c>
      <c r="K476" s="4">
        <f>T1.PLATEREADER_VALUE("",E455)</f>
        <v>0</v>
      </c>
      <c r="L476" s="4">
        <f>T1.PLATEREADER_VALUE("",E455)</f>
        <v>0</v>
      </c>
      <c r="M476" s="4">
        <f>T1.PLATEREADER_VALUE("",E455)</f>
        <v>0</v>
      </c>
      <c r="N476" s="4">
        <f>T1.PLATEREADER_VALUE("",E455)</f>
        <v>0</v>
      </c>
      <c r="O476" s="4">
        <f>T1.PLATEREADER_VALUE("",E455)</f>
        <v>0</v>
      </c>
      <c r="P476" s="4">
        <f>T1.PLATEREADER_VALUE("",E455)</f>
        <v>0</v>
      </c>
      <c r="Q476" s="4">
        <f>T1.PLATEREADER_VALUE("",E455)</f>
        <v>0</v>
      </c>
      <c r="R476" s="4">
        <f>T1.PLATEREADER_VALUE("",E455)</f>
        <v>0</v>
      </c>
      <c r="S476" s="4">
        <f>T1.PLATEREADER_VALUE("",E455)</f>
        <v>0</v>
      </c>
      <c r="T476" s="4">
        <f>T1.PLATEREADER_VALUE("",E455)</f>
        <v>0</v>
      </c>
      <c r="U476" s="4">
        <f>T1.PLATEREADER_VALUE("",E455)</f>
        <v>0</v>
      </c>
      <c r="V476" s="4">
        <f>T1.PLATEREADER_VALUE("",E455)</f>
        <v>0</v>
      </c>
      <c r="W476" s="4">
        <f>T1.PLATEREADER_VALUE("",E455)</f>
        <v>0</v>
      </c>
      <c r="X476" s="4">
        <f>T1.PLATEREADER_VALUE("",E455)</f>
        <v>0</v>
      </c>
      <c r="Y476" s="4">
        <f>T1.PLATEREADER_VALUE("",E455)</f>
        <v>0</v>
      </c>
      <c r="Z476" s="4">
        <f>T1.PLATEREADER_VALUE("",E455)</f>
        <v>0</v>
      </c>
      <c r="AA476" s="4">
        <f>T1.PLATEREADER_VALUE("",E455)</f>
        <v>0</v>
      </c>
      <c r="AB476" s="4">
        <f>T1.PLATEREADER_VALUE("",E455)</f>
        <v>0</v>
      </c>
      <c r="AC476" s="4">
        <f>T1.PLATEREADER_VALUE("",E455)</f>
        <v>0</v>
      </c>
      <c r="AD476" s="4">
        <f>T1.PLATEREADER_VALUE("",E455)</f>
        <v>0</v>
      </c>
      <c r="AE476" s="4">
        <f>T1.PLATEREADER_VALUE("",E455)</f>
        <v>0</v>
      </c>
      <c r="AF476" s="4">
        <f>T1.PLATEREADER_VALUE("",E455)</f>
        <v>0</v>
      </c>
      <c r="AG476" s="4">
        <f>T1.PLATEREADER_VALUE("",E455)</f>
        <v>0</v>
      </c>
      <c r="AH476" s="4">
        <f>T1.PLATEREADER_VALUE("",E455)</f>
        <v>0</v>
      </c>
      <c r="AI476" s="4">
        <f>T1.PLATEREADER_VALUE("",E455)</f>
        <v>0</v>
      </c>
      <c r="AJ476" s="4">
        <f>T1.PLATEREADER_VALUE("",E455)</f>
        <v>0</v>
      </c>
      <c r="AK476" s="4">
        <f>T1.PLATEREADER_VALUE("",E455)</f>
        <v>0</v>
      </c>
      <c r="AL476" s="4">
        <f>T1.PLATEREADER_VALUE("",E455)</f>
        <v>0</v>
      </c>
      <c r="AM476" s="4">
        <f>T1.PLATEREADER_VALUE("",E455)</f>
        <v>0</v>
      </c>
      <c r="AN476" s="4">
        <f>T1.PLATEREADER_VALUE("",E455)</f>
        <v>0</v>
      </c>
      <c r="AO476" s="4">
        <f>T1.PLATEREADER_VALUE("",E455)</f>
        <v>0</v>
      </c>
      <c r="AP476" s="4">
        <f>T1.PLATEREADER_VALUE("",E455)</f>
        <v>0</v>
      </c>
      <c r="AQ476" s="4">
        <f>T1.PLATEREADER_VALUE("",E455)</f>
        <v>0</v>
      </c>
      <c r="AR476" s="4">
        <f>T1.PLATEREADER_VALUE("",E455)</f>
        <v>0</v>
      </c>
      <c r="AS476" s="4">
        <f>T1.PLATEREADER_VALUE("",E455)</f>
        <v>0</v>
      </c>
      <c r="AT476" s="4">
        <f>T1.PLATEREADER_VALUE("",E455)</f>
        <v>0</v>
      </c>
      <c r="AU476" s="4">
        <f>T1.PLATEREADER_VALUE("",E455)</f>
        <v>0</v>
      </c>
      <c r="AV476" s="4">
        <f>T1.PLATEREADER_VALUE("",E455)</f>
        <v>0</v>
      </c>
      <c r="AW476" s="4">
        <f>T1.PLATEREADER_VALUE("",E455)</f>
        <v>0</v>
      </c>
      <c r="AX476" s="4">
        <f>T1.PLATEREADER_VALUE("",E455)</f>
        <v>0</v>
      </c>
      <c r="AY476" s="49"/>
      <c r="AZ476" s="49"/>
      <c r="BA476" s="49"/>
    </row>
    <row r="477" spans="2:53" ht="11.25" hidden="1" customHeight="1">
      <c r="B477" s="36" t="s">
        <v>1361</v>
      </c>
      <c r="C477" s="4">
        <f>T1.PLATEREADER_VALUE("",E455)</f>
        <v>0</v>
      </c>
      <c r="D477" s="4">
        <f>T1.PLATEREADER_VALUE("",E455)</f>
        <v>0</v>
      </c>
      <c r="E477" s="4">
        <f>T1.PLATEREADER_VALUE("",E455)</f>
        <v>0</v>
      </c>
      <c r="F477" s="4">
        <f>T1.PLATEREADER_VALUE("",E455)</f>
        <v>0</v>
      </c>
      <c r="G477" s="4">
        <f>T1.PLATEREADER_VALUE("",E455)</f>
        <v>0</v>
      </c>
      <c r="H477" s="4">
        <f>T1.PLATEREADER_VALUE("",E455)</f>
        <v>0</v>
      </c>
      <c r="I477" s="4">
        <f>T1.PLATEREADER_VALUE("",E455)</f>
        <v>0</v>
      </c>
      <c r="J477" s="4">
        <f>T1.PLATEREADER_VALUE("",E455)</f>
        <v>0</v>
      </c>
      <c r="K477" s="4">
        <f>T1.PLATEREADER_VALUE("",E455)</f>
        <v>0</v>
      </c>
      <c r="L477" s="4">
        <f>T1.PLATEREADER_VALUE("",E455)</f>
        <v>0</v>
      </c>
      <c r="M477" s="4">
        <f>T1.PLATEREADER_VALUE("",E455)</f>
        <v>0</v>
      </c>
      <c r="N477" s="4">
        <f>T1.PLATEREADER_VALUE("",E455)</f>
        <v>0</v>
      </c>
      <c r="O477" s="4">
        <f>T1.PLATEREADER_VALUE("",E455)</f>
        <v>0</v>
      </c>
      <c r="P477" s="4">
        <f>T1.PLATEREADER_VALUE("",E455)</f>
        <v>0</v>
      </c>
      <c r="Q477" s="4">
        <f>T1.PLATEREADER_VALUE("",E455)</f>
        <v>0</v>
      </c>
      <c r="R477" s="4">
        <f>T1.PLATEREADER_VALUE("",E455)</f>
        <v>0</v>
      </c>
      <c r="S477" s="4">
        <f>T1.PLATEREADER_VALUE("",E455)</f>
        <v>0</v>
      </c>
      <c r="T477" s="4">
        <f>T1.PLATEREADER_VALUE("",E455)</f>
        <v>0</v>
      </c>
      <c r="U477" s="4">
        <f>T1.PLATEREADER_VALUE("",E455)</f>
        <v>0</v>
      </c>
      <c r="V477" s="4">
        <f>T1.PLATEREADER_VALUE("",E455)</f>
        <v>0</v>
      </c>
      <c r="W477" s="4">
        <f>T1.PLATEREADER_VALUE("",E455)</f>
        <v>0</v>
      </c>
      <c r="X477" s="4">
        <f>T1.PLATEREADER_VALUE("",E455)</f>
        <v>0</v>
      </c>
      <c r="Y477" s="4">
        <f>T1.PLATEREADER_VALUE("",E455)</f>
        <v>0</v>
      </c>
      <c r="Z477" s="4">
        <f>T1.PLATEREADER_VALUE("",E455)</f>
        <v>0</v>
      </c>
      <c r="AA477" s="4">
        <f>T1.PLATEREADER_VALUE("",E455)</f>
        <v>0</v>
      </c>
      <c r="AB477" s="4">
        <f>T1.PLATEREADER_VALUE("",E455)</f>
        <v>0</v>
      </c>
      <c r="AC477" s="4">
        <f>T1.PLATEREADER_VALUE("",E455)</f>
        <v>0</v>
      </c>
      <c r="AD477" s="4">
        <f>T1.PLATEREADER_VALUE("",E455)</f>
        <v>0</v>
      </c>
      <c r="AE477" s="4">
        <f>T1.PLATEREADER_VALUE("",E455)</f>
        <v>0</v>
      </c>
      <c r="AF477" s="4">
        <f>T1.PLATEREADER_VALUE("",E455)</f>
        <v>0</v>
      </c>
      <c r="AG477" s="4">
        <f>T1.PLATEREADER_VALUE("",E455)</f>
        <v>0</v>
      </c>
      <c r="AH477" s="4">
        <f>T1.PLATEREADER_VALUE("",E455)</f>
        <v>0</v>
      </c>
      <c r="AI477" s="4">
        <f>T1.PLATEREADER_VALUE("",E455)</f>
        <v>0</v>
      </c>
      <c r="AJ477" s="4">
        <f>T1.PLATEREADER_VALUE("",E455)</f>
        <v>0</v>
      </c>
      <c r="AK477" s="4">
        <f>T1.PLATEREADER_VALUE("",E455)</f>
        <v>0</v>
      </c>
      <c r="AL477" s="4">
        <f>T1.PLATEREADER_VALUE("",E455)</f>
        <v>0</v>
      </c>
      <c r="AM477" s="4">
        <f>T1.PLATEREADER_VALUE("",E455)</f>
        <v>0</v>
      </c>
      <c r="AN477" s="4">
        <f>T1.PLATEREADER_VALUE("",E455)</f>
        <v>0</v>
      </c>
      <c r="AO477" s="4">
        <f>T1.PLATEREADER_VALUE("",E455)</f>
        <v>0</v>
      </c>
      <c r="AP477" s="4">
        <f>T1.PLATEREADER_VALUE("",E455)</f>
        <v>0</v>
      </c>
      <c r="AQ477" s="4">
        <f>T1.PLATEREADER_VALUE("",E455)</f>
        <v>0</v>
      </c>
      <c r="AR477" s="4">
        <f>T1.PLATEREADER_VALUE("",E455)</f>
        <v>0</v>
      </c>
      <c r="AS477" s="4">
        <f>T1.PLATEREADER_VALUE("",E455)</f>
        <v>0</v>
      </c>
      <c r="AT477" s="4">
        <f>T1.PLATEREADER_VALUE("",E455)</f>
        <v>0</v>
      </c>
      <c r="AU477" s="4">
        <f>T1.PLATEREADER_VALUE("",E455)</f>
        <v>0</v>
      </c>
      <c r="AV477" s="4">
        <f>T1.PLATEREADER_VALUE("",E455)</f>
        <v>0</v>
      </c>
      <c r="AW477" s="4">
        <f>T1.PLATEREADER_VALUE("",E455)</f>
        <v>0</v>
      </c>
      <c r="AX477" s="4">
        <f>T1.PLATEREADER_VALUE("",E455)</f>
        <v>0</v>
      </c>
      <c r="AY477" s="49"/>
      <c r="AZ477" s="49"/>
      <c r="BA477" s="49"/>
    </row>
    <row r="478" spans="2:53" ht="11.25" hidden="1" customHeight="1">
      <c r="B478" s="36" t="s">
        <v>1410</v>
      </c>
      <c r="C478" s="4">
        <f>T1.PLATEREADER_VALUE("",E455)</f>
        <v>0</v>
      </c>
      <c r="D478" s="4">
        <f>T1.PLATEREADER_VALUE("",E455)</f>
        <v>0</v>
      </c>
      <c r="E478" s="4">
        <f>T1.PLATEREADER_VALUE("",E455)</f>
        <v>0</v>
      </c>
      <c r="F478" s="4">
        <f>T1.PLATEREADER_VALUE("",E455)</f>
        <v>0</v>
      </c>
      <c r="G478" s="4">
        <f>T1.PLATEREADER_VALUE("",E455)</f>
        <v>0</v>
      </c>
      <c r="H478" s="4">
        <f>T1.PLATEREADER_VALUE("",E455)</f>
        <v>0</v>
      </c>
      <c r="I478" s="4">
        <f>T1.PLATEREADER_VALUE("",E455)</f>
        <v>0</v>
      </c>
      <c r="J478" s="4">
        <f>T1.PLATEREADER_VALUE("",E455)</f>
        <v>0</v>
      </c>
      <c r="K478" s="4">
        <f>T1.PLATEREADER_VALUE("",E455)</f>
        <v>0</v>
      </c>
      <c r="L478" s="4">
        <f>T1.PLATEREADER_VALUE("",E455)</f>
        <v>0</v>
      </c>
      <c r="M478" s="4">
        <f>T1.PLATEREADER_VALUE("",E455)</f>
        <v>0</v>
      </c>
      <c r="N478" s="4">
        <f>T1.PLATEREADER_VALUE("",E455)</f>
        <v>0</v>
      </c>
      <c r="O478" s="4">
        <f>T1.PLATEREADER_VALUE("",E455)</f>
        <v>0</v>
      </c>
      <c r="P478" s="4">
        <f>T1.PLATEREADER_VALUE("",E455)</f>
        <v>0</v>
      </c>
      <c r="Q478" s="4">
        <f>T1.PLATEREADER_VALUE("",E455)</f>
        <v>0</v>
      </c>
      <c r="R478" s="4">
        <f>T1.PLATEREADER_VALUE("",E455)</f>
        <v>0</v>
      </c>
      <c r="S478" s="4">
        <f>T1.PLATEREADER_VALUE("",E455)</f>
        <v>0</v>
      </c>
      <c r="T478" s="4">
        <f>T1.PLATEREADER_VALUE("",E455)</f>
        <v>0</v>
      </c>
      <c r="U478" s="4">
        <f>T1.PLATEREADER_VALUE("",E455)</f>
        <v>0</v>
      </c>
      <c r="V478" s="4">
        <f>T1.PLATEREADER_VALUE("",E455)</f>
        <v>0</v>
      </c>
      <c r="W478" s="4">
        <f>T1.PLATEREADER_VALUE("",E455)</f>
        <v>0</v>
      </c>
      <c r="X478" s="4">
        <f>T1.PLATEREADER_VALUE("",E455)</f>
        <v>0</v>
      </c>
      <c r="Y478" s="4">
        <f>T1.PLATEREADER_VALUE("",E455)</f>
        <v>0</v>
      </c>
      <c r="Z478" s="4">
        <f>T1.PLATEREADER_VALUE("",E455)</f>
        <v>0</v>
      </c>
      <c r="AA478" s="4">
        <f>T1.PLATEREADER_VALUE("",E455)</f>
        <v>0</v>
      </c>
      <c r="AB478" s="4">
        <f>T1.PLATEREADER_VALUE("",E455)</f>
        <v>0</v>
      </c>
      <c r="AC478" s="4">
        <f>T1.PLATEREADER_VALUE("",E455)</f>
        <v>0</v>
      </c>
      <c r="AD478" s="4">
        <f>T1.PLATEREADER_VALUE("",E455)</f>
        <v>0</v>
      </c>
      <c r="AE478" s="4">
        <f>T1.PLATEREADER_VALUE("",E455)</f>
        <v>0</v>
      </c>
      <c r="AF478" s="4">
        <f>T1.PLATEREADER_VALUE("",E455)</f>
        <v>0</v>
      </c>
      <c r="AG478" s="4">
        <f>T1.PLATEREADER_VALUE("",E455)</f>
        <v>0</v>
      </c>
      <c r="AH478" s="4">
        <f>T1.PLATEREADER_VALUE("",E455)</f>
        <v>0</v>
      </c>
      <c r="AI478" s="4">
        <f>T1.PLATEREADER_VALUE("",E455)</f>
        <v>0</v>
      </c>
      <c r="AJ478" s="4">
        <f>T1.PLATEREADER_VALUE("",E455)</f>
        <v>0</v>
      </c>
      <c r="AK478" s="4">
        <f>T1.PLATEREADER_VALUE("",E455)</f>
        <v>0</v>
      </c>
      <c r="AL478" s="4">
        <f>T1.PLATEREADER_VALUE("",E455)</f>
        <v>0</v>
      </c>
      <c r="AM478" s="4">
        <f>T1.PLATEREADER_VALUE("",E455)</f>
        <v>0</v>
      </c>
      <c r="AN478" s="4">
        <f>T1.PLATEREADER_VALUE("",E455)</f>
        <v>0</v>
      </c>
      <c r="AO478" s="4">
        <f>T1.PLATEREADER_VALUE("",E455)</f>
        <v>0</v>
      </c>
      <c r="AP478" s="4">
        <f>T1.PLATEREADER_VALUE("",E455)</f>
        <v>0</v>
      </c>
      <c r="AQ478" s="4">
        <f>T1.PLATEREADER_VALUE("",E455)</f>
        <v>0</v>
      </c>
      <c r="AR478" s="4">
        <f>T1.PLATEREADER_VALUE("",E455)</f>
        <v>0</v>
      </c>
      <c r="AS478" s="4">
        <f>T1.PLATEREADER_VALUE("",E455)</f>
        <v>0</v>
      </c>
      <c r="AT478" s="4">
        <f>T1.PLATEREADER_VALUE("",E455)</f>
        <v>0</v>
      </c>
      <c r="AU478" s="4">
        <f>T1.PLATEREADER_VALUE("",E455)</f>
        <v>0</v>
      </c>
      <c r="AV478" s="4">
        <f>T1.PLATEREADER_VALUE("",E455)</f>
        <v>0</v>
      </c>
      <c r="AW478" s="4">
        <f>T1.PLATEREADER_VALUE("",E455)</f>
        <v>0</v>
      </c>
      <c r="AX478" s="4">
        <f>T1.PLATEREADER_VALUE("",E455)</f>
        <v>0</v>
      </c>
      <c r="AY478" s="49"/>
      <c r="AZ478" s="49"/>
      <c r="BA478" s="49"/>
    </row>
    <row r="479" spans="2:53" ht="11.25" hidden="1" customHeight="1">
      <c r="B479" s="36" t="s">
        <v>1459</v>
      </c>
      <c r="C479" s="4">
        <f>T1.PLATEREADER_VALUE("",E455)</f>
        <v>0</v>
      </c>
      <c r="D479" s="4">
        <f>T1.PLATEREADER_VALUE("",E455)</f>
        <v>0</v>
      </c>
      <c r="E479" s="4">
        <f>T1.PLATEREADER_VALUE("",E455)</f>
        <v>0</v>
      </c>
      <c r="F479" s="4">
        <f>T1.PLATEREADER_VALUE("",E455)</f>
        <v>0</v>
      </c>
      <c r="G479" s="4">
        <f>T1.PLATEREADER_VALUE("",E455)</f>
        <v>0</v>
      </c>
      <c r="H479" s="4">
        <f>T1.PLATEREADER_VALUE("",E455)</f>
        <v>0</v>
      </c>
      <c r="I479" s="4">
        <f>T1.PLATEREADER_VALUE("",E455)</f>
        <v>0</v>
      </c>
      <c r="J479" s="4">
        <f>T1.PLATEREADER_VALUE("",E455)</f>
        <v>0</v>
      </c>
      <c r="K479" s="4">
        <f>T1.PLATEREADER_VALUE("",E455)</f>
        <v>0</v>
      </c>
      <c r="L479" s="4">
        <f>T1.PLATEREADER_VALUE("",E455)</f>
        <v>0</v>
      </c>
      <c r="M479" s="4">
        <f>T1.PLATEREADER_VALUE("",E455)</f>
        <v>0</v>
      </c>
      <c r="N479" s="4">
        <f>T1.PLATEREADER_VALUE("",E455)</f>
        <v>0</v>
      </c>
      <c r="O479" s="4">
        <f>T1.PLATEREADER_VALUE("",E455)</f>
        <v>0</v>
      </c>
      <c r="P479" s="4">
        <f>T1.PLATEREADER_VALUE("",E455)</f>
        <v>0</v>
      </c>
      <c r="Q479" s="4">
        <f>T1.PLATEREADER_VALUE("",E455)</f>
        <v>0</v>
      </c>
      <c r="R479" s="4">
        <f>T1.PLATEREADER_VALUE("",E455)</f>
        <v>0</v>
      </c>
      <c r="S479" s="4">
        <f>T1.PLATEREADER_VALUE("",E455)</f>
        <v>0</v>
      </c>
      <c r="T479" s="4">
        <f>T1.PLATEREADER_VALUE("",E455)</f>
        <v>0</v>
      </c>
      <c r="U479" s="4">
        <f>T1.PLATEREADER_VALUE("",E455)</f>
        <v>0</v>
      </c>
      <c r="V479" s="4">
        <f>T1.PLATEREADER_VALUE("",E455)</f>
        <v>0</v>
      </c>
      <c r="W479" s="4">
        <f>T1.PLATEREADER_VALUE("",E455)</f>
        <v>0</v>
      </c>
      <c r="X479" s="4">
        <f>T1.PLATEREADER_VALUE("",E455)</f>
        <v>0</v>
      </c>
      <c r="Y479" s="4">
        <f>T1.PLATEREADER_VALUE("",E455)</f>
        <v>0</v>
      </c>
      <c r="Z479" s="4">
        <f>T1.PLATEREADER_VALUE("",E455)</f>
        <v>0</v>
      </c>
      <c r="AA479" s="4">
        <f>T1.PLATEREADER_VALUE("",E455)</f>
        <v>0</v>
      </c>
      <c r="AB479" s="4">
        <f>T1.PLATEREADER_VALUE("",E455)</f>
        <v>0</v>
      </c>
      <c r="AC479" s="4">
        <f>T1.PLATEREADER_VALUE("",E455)</f>
        <v>0</v>
      </c>
      <c r="AD479" s="4">
        <f>T1.PLATEREADER_VALUE("",E455)</f>
        <v>0</v>
      </c>
      <c r="AE479" s="4">
        <f>T1.PLATEREADER_VALUE("",E455)</f>
        <v>0</v>
      </c>
      <c r="AF479" s="4">
        <f>T1.PLATEREADER_VALUE("",E455)</f>
        <v>0</v>
      </c>
      <c r="AG479" s="4">
        <f>T1.PLATEREADER_VALUE("",E455)</f>
        <v>0</v>
      </c>
      <c r="AH479" s="4">
        <f>T1.PLATEREADER_VALUE("",E455)</f>
        <v>0</v>
      </c>
      <c r="AI479" s="4">
        <f>T1.PLATEREADER_VALUE("",E455)</f>
        <v>0</v>
      </c>
      <c r="AJ479" s="4">
        <f>T1.PLATEREADER_VALUE("",E455)</f>
        <v>0</v>
      </c>
      <c r="AK479" s="4">
        <f>T1.PLATEREADER_VALUE("",E455)</f>
        <v>0</v>
      </c>
      <c r="AL479" s="4">
        <f>T1.PLATEREADER_VALUE("",E455)</f>
        <v>0</v>
      </c>
      <c r="AM479" s="4">
        <f>T1.PLATEREADER_VALUE("",E455)</f>
        <v>0</v>
      </c>
      <c r="AN479" s="4">
        <f>T1.PLATEREADER_VALUE("",E455)</f>
        <v>0</v>
      </c>
      <c r="AO479" s="4">
        <f>T1.PLATEREADER_VALUE("",E455)</f>
        <v>0</v>
      </c>
      <c r="AP479" s="4">
        <f>T1.PLATEREADER_VALUE("",E455)</f>
        <v>0</v>
      </c>
      <c r="AQ479" s="4">
        <f>T1.PLATEREADER_VALUE("",E455)</f>
        <v>0</v>
      </c>
      <c r="AR479" s="4">
        <f>T1.PLATEREADER_VALUE("",E455)</f>
        <v>0</v>
      </c>
      <c r="AS479" s="4">
        <f>T1.PLATEREADER_VALUE("",E455)</f>
        <v>0</v>
      </c>
      <c r="AT479" s="4">
        <f>T1.PLATEREADER_VALUE("",E455)</f>
        <v>0</v>
      </c>
      <c r="AU479" s="4">
        <f>T1.PLATEREADER_VALUE("",E455)</f>
        <v>0</v>
      </c>
      <c r="AV479" s="4">
        <f>T1.PLATEREADER_VALUE("",E455)</f>
        <v>0</v>
      </c>
      <c r="AW479" s="4">
        <f>T1.PLATEREADER_VALUE("",E455)</f>
        <v>0</v>
      </c>
      <c r="AX479" s="4">
        <f>T1.PLATEREADER_VALUE("",E455)</f>
        <v>0</v>
      </c>
      <c r="AY479" s="49"/>
      <c r="AZ479" s="49"/>
      <c r="BA479" s="49"/>
    </row>
    <row r="480" spans="2:53" ht="11.25" hidden="1" customHeight="1">
      <c r="B480" s="36" t="s">
        <v>1508</v>
      </c>
      <c r="C480" s="4">
        <f>T1.PLATEREADER_VALUE("",E455)</f>
        <v>0</v>
      </c>
      <c r="D480" s="4">
        <f>T1.PLATEREADER_VALUE("",E455)</f>
        <v>0</v>
      </c>
      <c r="E480" s="4">
        <f>T1.PLATEREADER_VALUE("",E455)</f>
        <v>0</v>
      </c>
      <c r="F480" s="4">
        <f>T1.PLATEREADER_VALUE("",E455)</f>
        <v>0</v>
      </c>
      <c r="G480" s="4">
        <f>T1.PLATEREADER_VALUE("",E455)</f>
        <v>0</v>
      </c>
      <c r="H480" s="4">
        <f>T1.PLATEREADER_VALUE("",E455)</f>
        <v>0</v>
      </c>
      <c r="I480" s="4">
        <f>T1.PLATEREADER_VALUE("",E455)</f>
        <v>0</v>
      </c>
      <c r="J480" s="4">
        <f>T1.PLATEREADER_VALUE("",E455)</f>
        <v>0</v>
      </c>
      <c r="K480" s="4">
        <f>T1.PLATEREADER_VALUE("",E455)</f>
        <v>0</v>
      </c>
      <c r="L480" s="4">
        <f>T1.PLATEREADER_VALUE("",E455)</f>
        <v>0</v>
      </c>
      <c r="M480" s="4">
        <f>T1.PLATEREADER_VALUE("",E455)</f>
        <v>0</v>
      </c>
      <c r="N480" s="4">
        <f>T1.PLATEREADER_VALUE("",E455)</f>
        <v>0</v>
      </c>
      <c r="O480" s="4">
        <f>T1.PLATEREADER_VALUE("",E455)</f>
        <v>0</v>
      </c>
      <c r="P480" s="4">
        <f>T1.PLATEREADER_VALUE("",E455)</f>
        <v>0</v>
      </c>
      <c r="Q480" s="4">
        <f>T1.PLATEREADER_VALUE("",E455)</f>
        <v>0</v>
      </c>
      <c r="R480" s="4">
        <f>T1.PLATEREADER_VALUE("",E455)</f>
        <v>0</v>
      </c>
      <c r="S480" s="4">
        <f>T1.PLATEREADER_VALUE("",E455)</f>
        <v>0</v>
      </c>
      <c r="T480" s="4">
        <f>T1.PLATEREADER_VALUE("",E455)</f>
        <v>0</v>
      </c>
      <c r="U480" s="4">
        <f>T1.PLATEREADER_VALUE("",E455)</f>
        <v>0</v>
      </c>
      <c r="V480" s="4">
        <f>T1.PLATEREADER_VALUE("",E455)</f>
        <v>0</v>
      </c>
      <c r="W480" s="4">
        <f>T1.PLATEREADER_VALUE("",E455)</f>
        <v>0</v>
      </c>
      <c r="X480" s="4">
        <f>T1.PLATEREADER_VALUE("",E455)</f>
        <v>0</v>
      </c>
      <c r="Y480" s="4">
        <f>T1.PLATEREADER_VALUE("",E455)</f>
        <v>0</v>
      </c>
      <c r="Z480" s="4">
        <f>T1.PLATEREADER_VALUE("",E455)</f>
        <v>0</v>
      </c>
      <c r="AA480" s="4">
        <f>T1.PLATEREADER_VALUE("",E455)</f>
        <v>0</v>
      </c>
      <c r="AB480" s="4">
        <f>T1.PLATEREADER_VALUE("",E455)</f>
        <v>0</v>
      </c>
      <c r="AC480" s="4">
        <f>T1.PLATEREADER_VALUE("",E455)</f>
        <v>0</v>
      </c>
      <c r="AD480" s="4">
        <f>T1.PLATEREADER_VALUE("",E455)</f>
        <v>0</v>
      </c>
      <c r="AE480" s="4">
        <f>T1.PLATEREADER_VALUE("",E455)</f>
        <v>0</v>
      </c>
      <c r="AF480" s="4">
        <f>T1.PLATEREADER_VALUE("",E455)</f>
        <v>0</v>
      </c>
      <c r="AG480" s="4">
        <f>T1.PLATEREADER_VALUE("",E455)</f>
        <v>0</v>
      </c>
      <c r="AH480" s="4">
        <f>T1.PLATEREADER_VALUE("",E455)</f>
        <v>0</v>
      </c>
      <c r="AI480" s="4">
        <f>T1.PLATEREADER_VALUE("",E455)</f>
        <v>0</v>
      </c>
      <c r="AJ480" s="4">
        <f>T1.PLATEREADER_VALUE("",E455)</f>
        <v>0</v>
      </c>
      <c r="AK480" s="4">
        <f>T1.PLATEREADER_VALUE("",E455)</f>
        <v>0</v>
      </c>
      <c r="AL480" s="4">
        <f>T1.PLATEREADER_VALUE("",E455)</f>
        <v>0</v>
      </c>
      <c r="AM480" s="4">
        <f>T1.PLATEREADER_VALUE("",E455)</f>
        <v>0</v>
      </c>
      <c r="AN480" s="4">
        <f>T1.PLATEREADER_VALUE("",E455)</f>
        <v>0</v>
      </c>
      <c r="AO480" s="4">
        <f>T1.PLATEREADER_VALUE("",E455)</f>
        <v>0</v>
      </c>
      <c r="AP480" s="4">
        <f>T1.PLATEREADER_VALUE("",E455)</f>
        <v>0</v>
      </c>
      <c r="AQ480" s="4">
        <f>T1.PLATEREADER_VALUE("",E455)</f>
        <v>0</v>
      </c>
      <c r="AR480" s="4">
        <f>T1.PLATEREADER_VALUE("",E455)</f>
        <v>0</v>
      </c>
      <c r="AS480" s="4">
        <f>T1.PLATEREADER_VALUE("",E455)</f>
        <v>0</v>
      </c>
      <c r="AT480" s="4">
        <f>T1.PLATEREADER_VALUE("",E455)</f>
        <v>0</v>
      </c>
      <c r="AU480" s="4">
        <f>T1.PLATEREADER_VALUE("",E455)</f>
        <v>0</v>
      </c>
      <c r="AV480" s="4">
        <f>T1.PLATEREADER_VALUE("",E455)</f>
        <v>0</v>
      </c>
      <c r="AW480" s="4">
        <f>T1.PLATEREADER_VALUE("",E455)</f>
        <v>0</v>
      </c>
      <c r="AX480" s="4">
        <f>T1.PLATEREADER_VALUE("",E455)</f>
        <v>0</v>
      </c>
      <c r="AY480" s="49"/>
      <c r="AZ480" s="49"/>
      <c r="BA480" s="49"/>
    </row>
    <row r="481" spans="1:53" ht="11.25" hidden="1" customHeight="1">
      <c r="B481" s="36" t="s">
        <v>1557</v>
      </c>
      <c r="C481" s="4">
        <f>T1.PLATEREADER_VALUE("",E455)</f>
        <v>0</v>
      </c>
      <c r="D481" s="4">
        <f>T1.PLATEREADER_VALUE("",E455)</f>
        <v>0</v>
      </c>
      <c r="E481" s="4">
        <f>T1.PLATEREADER_VALUE("",E455)</f>
        <v>0</v>
      </c>
      <c r="F481" s="4">
        <f>T1.PLATEREADER_VALUE("",E455)</f>
        <v>0</v>
      </c>
      <c r="G481" s="4">
        <f>T1.PLATEREADER_VALUE("",E455)</f>
        <v>0</v>
      </c>
      <c r="H481" s="4">
        <f>T1.PLATEREADER_VALUE("",E455)</f>
        <v>0</v>
      </c>
      <c r="I481" s="4">
        <f>T1.PLATEREADER_VALUE("",E455)</f>
        <v>0</v>
      </c>
      <c r="J481" s="4">
        <f>T1.PLATEREADER_VALUE("",E455)</f>
        <v>0</v>
      </c>
      <c r="K481" s="4">
        <f>T1.PLATEREADER_VALUE("",E455)</f>
        <v>0</v>
      </c>
      <c r="L481" s="4">
        <f>T1.PLATEREADER_VALUE("",E455)</f>
        <v>0</v>
      </c>
      <c r="M481" s="4">
        <f>T1.PLATEREADER_VALUE("",E455)</f>
        <v>0</v>
      </c>
      <c r="N481" s="4">
        <f>T1.PLATEREADER_VALUE("",E455)</f>
        <v>0</v>
      </c>
      <c r="O481" s="4">
        <f>T1.PLATEREADER_VALUE("",E455)</f>
        <v>0</v>
      </c>
      <c r="P481" s="4">
        <f>T1.PLATEREADER_VALUE("",E455)</f>
        <v>0</v>
      </c>
      <c r="Q481" s="4">
        <f>T1.PLATEREADER_VALUE("",E455)</f>
        <v>0</v>
      </c>
      <c r="R481" s="4">
        <f>T1.PLATEREADER_VALUE("",E455)</f>
        <v>0</v>
      </c>
      <c r="S481" s="4">
        <f>T1.PLATEREADER_VALUE("",E455)</f>
        <v>0</v>
      </c>
      <c r="T481" s="4">
        <f>T1.PLATEREADER_VALUE("",E455)</f>
        <v>0</v>
      </c>
      <c r="U481" s="4">
        <f>T1.PLATEREADER_VALUE("",E455)</f>
        <v>0</v>
      </c>
      <c r="V481" s="4">
        <f>T1.PLATEREADER_VALUE("",E455)</f>
        <v>0</v>
      </c>
      <c r="W481" s="4">
        <f>T1.PLATEREADER_VALUE("",E455)</f>
        <v>0</v>
      </c>
      <c r="X481" s="4">
        <f>T1.PLATEREADER_VALUE("",E455)</f>
        <v>0</v>
      </c>
      <c r="Y481" s="4">
        <f>T1.PLATEREADER_VALUE("",E455)</f>
        <v>0</v>
      </c>
      <c r="Z481" s="4">
        <f>T1.PLATEREADER_VALUE("",E455)</f>
        <v>0</v>
      </c>
      <c r="AA481" s="4">
        <f>T1.PLATEREADER_VALUE("",E455)</f>
        <v>0</v>
      </c>
      <c r="AB481" s="4">
        <f>T1.PLATEREADER_VALUE("",E455)</f>
        <v>0</v>
      </c>
      <c r="AC481" s="4">
        <f>T1.PLATEREADER_VALUE("",E455)</f>
        <v>0</v>
      </c>
      <c r="AD481" s="4">
        <f>T1.PLATEREADER_VALUE("",E455)</f>
        <v>0</v>
      </c>
      <c r="AE481" s="4">
        <f>T1.PLATEREADER_VALUE("",E455)</f>
        <v>0</v>
      </c>
      <c r="AF481" s="4">
        <f>T1.PLATEREADER_VALUE("",E455)</f>
        <v>0</v>
      </c>
      <c r="AG481" s="4">
        <f>T1.PLATEREADER_VALUE("",E455)</f>
        <v>0</v>
      </c>
      <c r="AH481" s="4">
        <f>T1.PLATEREADER_VALUE("",E455)</f>
        <v>0</v>
      </c>
      <c r="AI481" s="4">
        <f>T1.PLATEREADER_VALUE("",E455)</f>
        <v>0</v>
      </c>
      <c r="AJ481" s="4">
        <f>T1.PLATEREADER_VALUE("",E455)</f>
        <v>0</v>
      </c>
      <c r="AK481" s="4">
        <f>T1.PLATEREADER_VALUE("",E455)</f>
        <v>0</v>
      </c>
      <c r="AL481" s="4">
        <f>T1.PLATEREADER_VALUE("",E455)</f>
        <v>0</v>
      </c>
      <c r="AM481" s="4">
        <f>T1.PLATEREADER_VALUE("",E455)</f>
        <v>0</v>
      </c>
      <c r="AN481" s="4">
        <f>T1.PLATEREADER_VALUE("",E455)</f>
        <v>0</v>
      </c>
      <c r="AO481" s="4">
        <f>T1.PLATEREADER_VALUE("",E455)</f>
        <v>0</v>
      </c>
      <c r="AP481" s="4">
        <f>T1.PLATEREADER_VALUE("",E455)</f>
        <v>0</v>
      </c>
      <c r="AQ481" s="4">
        <f>T1.PLATEREADER_VALUE("",E455)</f>
        <v>0</v>
      </c>
      <c r="AR481" s="4">
        <f>T1.PLATEREADER_VALUE("",E455)</f>
        <v>0</v>
      </c>
      <c r="AS481" s="4">
        <f>T1.PLATEREADER_VALUE("",E455)</f>
        <v>0</v>
      </c>
      <c r="AT481" s="4">
        <f>T1.PLATEREADER_VALUE("",E455)</f>
        <v>0</v>
      </c>
      <c r="AU481" s="4">
        <f>T1.PLATEREADER_VALUE("",E455)</f>
        <v>0</v>
      </c>
      <c r="AV481" s="4">
        <f>T1.PLATEREADER_VALUE("",E455)</f>
        <v>0</v>
      </c>
      <c r="AW481" s="4">
        <f>T1.PLATEREADER_VALUE("",E455)</f>
        <v>0</v>
      </c>
      <c r="AX481" s="4">
        <f>T1.PLATEREADER_VALUE("",E455)</f>
        <v>0</v>
      </c>
      <c r="AY481" s="49"/>
      <c r="AZ481" s="49"/>
      <c r="BA481" s="49"/>
    </row>
    <row r="482" spans="1:53" ht="11.25" hidden="1" customHeight="1">
      <c r="B482" s="36" t="s">
        <v>1606</v>
      </c>
      <c r="C482" s="4">
        <f>T1.PLATEREADER_VALUE("",E455)</f>
        <v>0</v>
      </c>
      <c r="D482" s="4">
        <f>T1.PLATEREADER_VALUE("",E455)</f>
        <v>0</v>
      </c>
      <c r="E482" s="4">
        <f>T1.PLATEREADER_VALUE("",E455)</f>
        <v>0</v>
      </c>
      <c r="F482" s="4">
        <f>T1.PLATEREADER_VALUE("",E455)</f>
        <v>0</v>
      </c>
      <c r="G482" s="4">
        <f>T1.PLATEREADER_VALUE("",E455)</f>
        <v>0</v>
      </c>
      <c r="H482" s="4">
        <f>T1.PLATEREADER_VALUE("",E455)</f>
        <v>0</v>
      </c>
      <c r="I482" s="4">
        <f>T1.PLATEREADER_VALUE("",E455)</f>
        <v>0</v>
      </c>
      <c r="J482" s="4">
        <f>T1.PLATEREADER_VALUE("",E455)</f>
        <v>0</v>
      </c>
      <c r="K482" s="4">
        <f>T1.PLATEREADER_VALUE("",E455)</f>
        <v>0</v>
      </c>
      <c r="L482" s="4">
        <f>T1.PLATEREADER_VALUE("",E455)</f>
        <v>0</v>
      </c>
      <c r="M482" s="4">
        <f>T1.PLATEREADER_VALUE("",E455)</f>
        <v>0</v>
      </c>
      <c r="N482" s="4">
        <f>T1.PLATEREADER_VALUE("",E455)</f>
        <v>0</v>
      </c>
      <c r="O482" s="4">
        <f>T1.PLATEREADER_VALUE("",E455)</f>
        <v>0</v>
      </c>
      <c r="P482" s="4">
        <f>T1.PLATEREADER_VALUE("",E455)</f>
        <v>0</v>
      </c>
      <c r="Q482" s="4">
        <f>T1.PLATEREADER_VALUE("",E455)</f>
        <v>0</v>
      </c>
      <c r="R482" s="4">
        <f>T1.PLATEREADER_VALUE("",E455)</f>
        <v>0</v>
      </c>
      <c r="S482" s="4">
        <f>T1.PLATEREADER_VALUE("",E455)</f>
        <v>0</v>
      </c>
      <c r="T482" s="4">
        <f>T1.PLATEREADER_VALUE("",E455)</f>
        <v>0</v>
      </c>
      <c r="U482" s="4">
        <f>T1.PLATEREADER_VALUE("",E455)</f>
        <v>0</v>
      </c>
      <c r="V482" s="4">
        <f>T1.PLATEREADER_VALUE("",E455)</f>
        <v>0</v>
      </c>
      <c r="W482" s="4">
        <f>T1.PLATEREADER_VALUE("",E455)</f>
        <v>0</v>
      </c>
      <c r="X482" s="4">
        <f>T1.PLATEREADER_VALUE("",E455)</f>
        <v>0</v>
      </c>
      <c r="Y482" s="4">
        <f>T1.PLATEREADER_VALUE("",E455)</f>
        <v>0</v>
      </c>
      <c r="Z482" s="4">
        <f>T1.PLATEREADER_VALUE("",E455)</f>
        <v>0</v>
      </c>
      <c r="AA482" s="4">
        <f>T1.PLATEREADER_VALUE("",E455)</f>
        <v>0</v>
      </c>
      <c r="AB482" s="4">
        <f>T1.PLATEREADER_VALUE("",E455)</f>
        <v>0</v>
      </c>
      <c r="AC482" s="4">
        <f>T1.PLATEREADER_VALUE("",E455)</f>
        <v>0</v>
      </c>
      <c r="AD482" s="4">
        <f>T1.PLATEREADER_VALUE("",E455)</f>
        <v>0</v>
      </c>
      <c r="AE482" s="4">
        <f>T1.PLATEREADER_VALUE("",E455)</f>
        <v>0</v>
      </c>
      <c r="AF482" s="4">
        <f>T1.PLATEREADER_VALUE("",E455)</f>
        <v>0</v>
      </c>
      <c r="AG482" s="4">
        <f>T1.PLATEREADER_VALUE("",E455)</f>
        <v>0</v>
      </c>
      <c r="AH482" s="4">
        <f>T1.PLATEREADER_VALUE("",E455)</f>
        <v>0</v>
      </c>
      <c r="AI482" s="4">
        <f>T1.PLATEREADER_VALUE("",E455)</f>
        <v>0</v>
      </c>
      <c r="AJ482" s="4">
        <f>T1.PLATEREADER_VALUE("",E455)</f>
        <v>0</v>
      </c>
      <c r="AK482" s="4">
        <f>T1.PLATEREADER_VALUE("",E455)</f>
        <v>0</v>
      </c>
      <c r="AL482" s="4">
        <f>T1.PLATEREADER_VALUE("",E455)</f>
        <v>0</v>
      </c>
      <c r="AM482" s="4">
        <f>T1.PLATEREADER_VALUE("",E455)</f>
        <v>0</v>
      </c>
      <c r="AN482" s="4">
        <f>T1.PLATEREADER_VALUE("",E455)</f>
        <v>0</v>
      </c>
      <c r="AO482" s="4">
        <f>T1.PLATEREADER_VALUE("",E455)</f>
        <v>0</v>
      </c>
      <c r="AP482" s="4">
        <f>T1.PLATEREADER_VALUE("",E455)</f>
        <v>0</v>
      </c>
      <c r="AQ482" s="4">
        <f>T1.PLATEREADER_VALUE("",E455)</f>
        <v>0</v>
      </c>
      <c r="AR482" s="4">
        <f>T1.PLATEREADER_VALUE("",E455)</f>
        <v>0</v>
      </c>
      <c r="AS482" s="4">
        <f>T1.PLATEREADER_VALUE("",E455)</f>
        <v>0</v>
      </c>
      <c r="AT482" s="4">
        <f>T1.PLATEREADER_VALUE("",E455)</f>
        <v>0</v>
      </c>
      <c r="AU482" s="4">
        <f>T1.PLATEREADER_VALUE("",E455)</f>
        <v>0</v>
      </c>
      <c r="AV482" s="4">
        <f>T1.PLATEREADER_VALUE("",E455)</f>
        <v>0</v>
      </c>
      <c r="AW482" s="4">
        <f>T1.PLATEREADER_VALUE("",E455)</f>
        <v>0</v>
      </c>
      <c r="AX482" s="4">
        <f>T1.PLATEREADER_VALUE("",E455)</f>
        <v>0</v>
      </c>
      <c r="AY482" s="49"/>
      <c r="AZ482" s="49"/>
      <c r="BA482" s="49"/>
    </row>
    <row r="483" spans="1:53" ht="11.25" hidden="1" customHeight="1">
      <c r="B483" s="36" t="s">
        <v>1655</v>
      </c>
      <c r="C483" s="4">
        <f>T1.PLATEREADER_VALUE("",E455)</f>
        <v>0</v>
      </c>
      <c r="D483" s="4">
        <f>T1.PLATEREADER_VALUE("",E455)</f>
        <v>0</v>
      </c>
      <c r="E483" s="4">
        <f>T1.PLATEREADER_VALUE("",E455)</f>
        <v>0</v>
      </c>
      <c r="F483" s="4">
        <f>T1.PLATEREADER_VALUE("",E455)</f>
        <v>0</v>
      </c>
      <c r="G483" s="4">
        <f>T1.PLATEREADER_VALUE("",E455)</f>
        <v>0</v>
      </c>
      <c r="H483" s="4">
        <f>T1.PLATEREADER_VALUE("",E455)</f>
        <v>0</v>
      </c>
      <c r="I483" s="4">
        <f>T1.PLATEREADER_VALUE("",E455)</f>
        <v>0</v>
      </c>
      <c r="J483" s="4">
        <f>T1.PLATEREADER_VALUE("",E455)</f>
        <v>0</v>
      </c>
      <c r="K483" s="4">
        <f>T1.PLATEREADER_VALUE("",E455)</f>
        <v>0</v>
      </c>
      <c r="L483" s="4">
        <f>T1.PLATEREADER_VALUE("",E455)</f>
        <v>0</v>
      </c>
      <c r="M483" s="4">
        <f>T1.PLATEREADER_VALUE("",E455)</f>
        <v>0</v>
      </c>
      <c r="N483" s="4">
        <f>T1.PLATEREADER_VALUE("",E455)</f>
        <v>0</v>
      </c>
      <c r="O483" s="4">
        <f>T1.PLATEREADER_VALUE("",E455)</f>
        <v>0</v>
      </c>
      <c r="P483" s="4">
        <f>T1.PLATEREADER_VALUE("",E455)</f>
        <v>0</v>
      </c>
      <c r="Q483" s="4">
        <f>T1.PLATEREADER_VALUE("",E455)</f>
        <v>0</v>
      </c>
      <c r="R483" s="4">
        <f>T1.PLATEREADER_VALUE("",E455)</f>
        <v>0</v>
      </c>
      <c r="S483" s="4">
        <f>T1.PLATEREADER_VALUE("",E455)</f>
        <v>0</v>
      </c>
      <c r="T483" s="4">
        <f>T1.PLATEREADER_VALUE("",E455)</f>
        <v>0</v>
      </c>
      <c r="U483" s="4">
        <f>T1.PLATEREADER_VALUE("",E455)</f>
        <v>0</v>
      </c>
      <c r="V483" s="4">
        <f>T1.PLATEREADER_VALUE("",E455)</f>
        <v>0</v>
      </c>
      <c r="W483" s="4">
        <f>T1.PLATEREADER_VALUE("",E455)</f>
        <v>0</v>
      </c>
      <c r="X483" s="4">
        <f>T1.PLATEREADER_VALUE("",E455)</f>
        <v>0</v>
      </c>
      <c r="Y483" s="4">
        <f>T1.PLATEREADER_VALUE("",E455)</f>
        <v>0</v>
      </c>
      <c r="Z483" s="4">
        <f>T1.PLATEREADER_VALUE("",E455)</f>
        <v>0</v>
      </c>
      <c r="AA483" s="4">
        <f>T1.PLATEREADER_VALUE("",E455)</f>
        <v>0</v>
      </c>
      <c r="AB483" s="4">
        <f>T1.PLATEREADER_VALUE("",E455)</f>
        <v>0</v>
      </c>
      <c r="AC483" s="4">
        <f>T1.PLATEREADER_VALUE("",E455)</f>
        <v>0</v>
      </c>
      <c r="AD483" s="4">
        <f>T1.PLATEREADER_VALUE("",E455)</f>
        <v>0</v>
      </c>
      <c r="AE483" s="4">
        <f>T1.PLATEREADER_VALUE("",E455)</f>
        <v>0</v>
      </c>
      <c r="AF483" s="4">
        <f>T1.PLATEREADER_VALUE("",E455)</f>
        <v>0</v>
      </c>
      <c r="AG483" s="4">
        <f>T1.PLATEREADER_VALUE("",E455)</f>
        <v>0</v>
      </c>
      <c r="AH483" s="4">
        <f>T1.PLATEREADER_VALUE("",E455)</f>
        <v>0</v>
      </c>
      <c r="AI483" s="4">
        <f>T1.PLATEREADER_VALUE("",E455)</f>
        <v>0</v>
      </c>
      <c r="AJ483" s="4">
        <f>T1.PLATEREADER_VALUE("",E455)</f>
        <v>0</v>
      </c>
      <c r="AK483" s="4">
        <f>T1.PLATEREADER_VALUE("",E455)</f>
        <v>0</v>
      </c>
      <c r="AL483" s="4">
        <f>T1.PLATEREADER_VALUE("",E455)</f>
        <v>0</v>
      </c>
      <c r="AM483" s="4">
        <f>T1.PLATEREADER_VALUE("",E455)</f>
        <v>0</v>
      </c>
      <c r="AN483" s="4">
        <f>T1.PLATEREADER_VALUE("",E455)</f>
        <v>0</v>
      </c>
      <c r="AO483" s="4">
        <f>T1.PLATEREADER_VALUE("",E455)</f>
        <v>0</v>
      </c>
      <c r="AP483" s="4">
        <f>T1.PLATEREADER_VALUE("",E455)</f>
        <v>0</v>
      </c>
      <c r="AQ483" s="4">
        <f>T1.PLATEREADER_VALUE("",E455)</f>
        <v>0</v>
      </c>
      <c r="AR483" s="4">
        <f>T1.PLATEREADER_VALUE("",E455)</f>
        <v>0</v>
      </c>
      <c r="AS483" s="4">
        <f>T1.PLATEREADER_VALUE("",E455)</f>
        <v>0</v>
      </c>
      <c r="AT483" s="4">
        <f>T1.PLATEREADER_VALUE("",E455)</f>
        <v>0</v>
      </c>
      <c r="AU483" s="4">
        <f>T1.PLATEREADER_VALUE("",E455)</f>
        <v>0</v>
      </c>
      <c r="AV483" s="4">
        <f>T1.PLATEREADER_VALUE("",E455)</f>
        <v>0</v>
      </c>
      <c r="AW483" s="4">
        <f>T1.PLATEREADER_VALUE("",E455)</f>
        <v>0</v>
      </c>
      <c r="AX483" s="4">
        <f>T1.PLATEREADER_VALUE("",E455)</f>
        <v>0</v>
      </c>
      <c r="AY483" s="49"/>
      <c r="AZ483" s="49"/>
      <c r="BA483" s="49"/>
    </row>
    <row r="484" spans="1:53" ht="11.25" hidden="1" customHeight="1">
      <c r="B484" s="36" t="s">
        <v>1704</v>
      </c>
      <c r="C484" s="4">
        <f>T1.PLATEREADER_VALUE("",E455)</f>
        <v>0</v>
      </c>
      <c r="D484" s="4">
        <f>T1.PLATEREADER_VALUE("",E455)</f>
        <v>0</v>
      </c>
      <c r="E484" s="4">
        <f>T1.PLATEREADER_VALUE("",E455)</f>
        <v>0</v>
      </c>
      <c r="F484" s="4">
        <f>T1.PLATEREADER_VALUE("",E455)</f>
        <v>0</v>
      </c>
      <c r="G484" s="4">
        <f>T1.PLATEREADER_VALUE("",E455)</f>
        <v>0</v>
      </c>
      <c r="H484" s="4">
        <f>T1.PLATEREADER_VALUE("",E455)</f>
        <v>0</v>
      </c>
      <c r="I484" s="4">
        <f>T1.PLATEREADER_VALUE("",E455)</f>
        <v>0</v>
      </c>
      <c r="J484" s="4">
        <f>T1.PLATEREADER_VALUE("",E455)</f>
        <v>0</v>
      </c>
      <c r="K484" s="4">
        <f>T1.PLATEREADER_VALUE("",E455)</f>
        <v>0</v>
      </c>
      <c r="L484" s="4">
        <f>T1.PLATEREADER_VALUE("",E455)</f>
        <v>0</v>
      </c>
      <c r="M484" s="4">
        <f>T1.PLATEREADER_VALUE("",E455)</f>
        <v>0</v>
      </c>
      <c r="N484" s="4">
        <f>T1.PLATEREADER_VALUE("",E455)</f>
        <v>0</v>
      </c>
      <c r="O484" s="4">
        <f>T1.PLATEREADER_VALUE("",E455)</f>
        <v>0</v>
      </c>
      <c r="P484" s="4">
        <f>T1.PLATEREADER_VALUE("",E455)</f>
        <v>0</v>
      </c>
      <c r="Q484" s="4">
        <f>T1.PLATEREADER_VALUE("",E455)</f>
        <v>0</v>
      </c>
      <c r="R484" s="4">
        <f>T1.PLATEREADER_VALUE("",E455)</f>
        <v>0</v>
      </c>
      <c r="S484" s="4">
        <f>T1.PLATEREADER_VALUE("",E455)</f>
        <v>0</v>
      </c>
      <c r="T484" s="4">
        <f>T1.PLATEREADER_VALUE("",E455)</f>
        <v>0</v>
      </c>
      <c r="U484" s="4">
        <f>T1.PLATEREADER_VALUE("",E455)</f>
        <v>0</v>
      </c>
      <c r="V484" s="4">
        <f>T1.PLATEREADER_VALUE("",E455)</f>
        <v>0</v>
      </c>
      <c r="W484" s="4">
        <f>T1.PLATEREADER_VALUE("",E455)</f>
        <v>0</v>
      </c>
      <c r="X484" s="4">
        <f>T1.PLATEREADER_VALUE("",E455)</f>
        <v>0</v>
      </c>
      <c r="Y484" s="4">
        <f>T1.PLATEREADER_VALUE("",E455)</f>
        <v>0</v>
      </c>
      <c r="Z484" s="4">
        <f>T1.PLATEREADER_VALUE("",E455)</f>
        <v>0</v>
      </c>
      <c r="AA484" s="4">
        <f>T1.PLATEREADER_VALUE("",E455)</f>
        <v>0</v>
      </c>
      <c r="AB484" s="4">
        <f>T1.PLATEREADER_VALUE("",E455)</f>
        <v>0</v>
      </c>
      <c r="AC484" s="4">
        <f>T1.PLATEREADER_VALUE("",E455)</f>
        <v>0</v>
      </c>
      <c r="AD484" s="4">
        <f>T1.PLATEREADER_VALUE("",E455)</f>
        <v>0</v>
      </c>
      <c r="AE484" s="4">
        <f>T1.PLATEREADER_VALUE("",E455)</f>
        <v>0</v>
      </c>
      <c r="AF484" s="4">
        <f>T1.PLATEREADER_VALUE("",E455)</f>
        <v>0</v>
      </c>
      <c r="AG484" s="4">
        <f>T1.PLATEREADER_VALUE("",E455)</f>
        <v>0</v>
      </c>
      <c r="AH484" s="4">
        <f>T1.PLATEREADER_VALUE("",E455)</f>
        <v>0</v>
      </c>
      <c r="AI484" s="4">
        <f>T1.PLATEREADER_VALUE("",E455)</f>
        <v>0</v>
      </c>
      <c r="AJ484" s="4">
        <f>T1.PLATEREADER_VALUE("",E455)</f>
        <v>0</v>
      </c>
      <c r="AK484" s="4">
        <f>T1.PLATEREADER_VALUE("",E455)</f>
        <v>0</v>
      </c>
      <c r="AL484" s="4">
        <f>T1.PLATEREADER_VALUE("",E455)</f>
        <v>0</v>
      </c>
      <c r="AM484" s="4">
        <f>T1.PLATEREADER_VALUE("",E455)</f>
        <v>0</v>
      </c>
      <c r="AN484" s="4">
        <f>T1.PLATEREADER_VALUE("",E455)</f>
        <v>0</v>
      </c>
      <c r="AO484" s="4">
        <f>T1.PLATEREADER_VALUE("",E455)</f>
        <v>0</v>
      </c>
      <c r="AP484" s="4">
        <f>T1.PLATEREADER_VALUE("",E455)</f>
        <v>0</v>
      </c>
      <c r="AQ484" s="4">
        <f>T1.PLATEREADER_VALUE("",E455)</f>
        <v>0</v>
      </c>
      <c r="AR484" s="4">
        <f>T1.PLATEREADER_VALUE("",E455)</f>
        <v>0</v>
      </c>
      <c r="AS484" s="4">
        <f>T1.PLATEREADER_VALUE("",E455)</f>
        <v>0</v>
      </c>
      <c r="AT484" s="4">
        <f>T1.PLATEREADER_VALUE("",E455)</f>
        <v>0</v>
      </c>
      <c r="AU484" s="4">
        <f>T1.PLATEREADER_VALUE("",E455)</f>
        <v>0</v>
      </c>
      <c r="AV484" s="4">
        <f>T1.PLATEREADER_VALUE("",E455)</f>
        <v>0</v>
      </c>
      <c r="AW484" s="4">
        <f>T1.PLATEREADER_VALUE("",E455)</f>
        <v>0</v>
      </c>
      <c r="AX484" s="4">
        <f>T1.PLATEREADER_VALUE("",E455)</f>
        <v>0</v>
      </c>
      <c r="AY484" s="49"/>
      <c r="AZ484" s="49"/>
      <c r="BA484" s="49"/>
    </row>
    <row r="485" spans="1:53" ht="11.25" hidden="1" customHeight="1">
      <c r="B485" s="36" t="s">
        <v>1753</v>
      </c>
      <c r="C485" s="4">
        <f>T1.PLATEREADER_VALUE("",E455)</f>
        <v>0</v>
      </c>
      <c r="D485" s="4">
        <f>T1.PLATEREADER_VALUE("",E455)</f>
        <v>0</v>
      </c>
      <c r="E485" s="4">
        <f>T1.PLATEREADER_VALUE("",E455)</f>
        <v>0</v>
      </c>
      <c r="F485" s="4">
        <f>T1.PLATEREADER_VALUE("",E455)</f>
        <v>0</v>
      </c>
      <c r="G485" s="4">
        <f>T1.PLATEREADER_VALUE("",E455)</f>
        <v>0</v>
      </c>
      <c r="H485" s="4">
        <f>T1.PLATEREADER_VALUE("",E455)</f>
        <v>0</v>
      </c>
      <c r="I485" s="4">
        <f>T1.PLATEREADER_VALUE("",E455)</f>
        <v>0</v>
      </c>
      <c r="J485" s="4">
        <f>T1.PLATEREADER_VALUE("",E455)</f>
        <v>0</v>
      </c>
      <c r="K485" s="4">
        <f>T1.PLATEREADER_VALUE("",E455)</f>
        <v>0</v>
      </c>
      <c r="L485" s="4">
        <f>T1.PLATEREADER_VALUE("",E455)</f>
        <v>0</v>
      </c>
      <c r="M485" s="4">
        <f>T1.PLATEREADER_VALUE("",E455)</f>
        <v>0</v>
      </c>
      <c r="N485" s="4">
        <f>T1.PLATEREADER_VALUE("",E455)</f>
        <v>0</v>
      </c>
      <c r="O485" s="4">
        <f>T1.PLATEREADER_VALUE("",E455)</f>
        <v>0</v>
      </c>
      <c r="P485" s="4">
        <f>T1.PLATEREADER_VALUE("",E455)</f>
        <v>0</v>
      </c>
      <c r="Q485" s="4">
        <f>T1.PLATEREADER_VALUE("",E455)</f>
        <v>0</v>
      </c>
      <c r="R485" s="4">
        <f>T1.PLATEREADER_VALUE("",E455)</f>
        <v>0</v>
      </c>
      <c r="S485" s="4">
        <f>T1.PLATEREADER_VALUE("",E455)</f>
        <v>0</v>
      </c>
      <c r="T485" s="4">
        <f>T1.PLATEREADER_VALUE("",E455)</f>
        <v>0</v>
      </c>
      <c r="U485" s="4">
        <f>T1.PLATEREADER_VALUE("",E455)</f>
        <v>0</v>
      </c>
      <c r="V485" s="4">
        <f>T1.PLATEREADER_VALUE("",E455)</f>
        <v>0</v>
      </c>
      <c r="W485" s="4">
        <f>T1.PLATEREADER_VALUE("",E455)</f>
        <v>0</v>
      </c>
      <c r="X485" s="4">
        <f>T1.PLATEREADER_VALUE("",E455)</f>
        <v>0</v>
      </c>
      <c r="Y485" s="4">
        <f>T1.PLATEREADER_VALUE("",E455)</f>
        <v>0</v>
      </c>
      <c r="Z485" s="4">
        <f>T1.PLATEREADER_VALUE("",E455)</f>
        <v>0</v>
      </c>
      <c r="AA485" s="4">
        <f>T1.PLATEREADER_VALUE("",E455)</f>
        <v>0</v>
      </c>
      <c r="AB485" s="4">
        <f>T1.PLATEREADER_VALUE("",E455)</f>
        <v>0</v>
      </c>
      <c r="AC485" s="4">
        <f>T1.PLATEREADER_VALUE("",E455)</f>
        <v>0</v>
      </c>
      <c r="AD485" s="4">
        <f>T1.PLATEREADER_VALUE("",E455)</f>
        <v>0</v>
      </c>
      <c r="AE485" s="4">
        <f>T1.PLATEREADER_VALUE("",E455)</f>
        <v>0</v>
      </c>
      <c r="AF485" s="4">
        <f>T1.PLATEREADER_VALUE("",E455)</f>
        <v>0</v>
      </c>
      <c r="AG485" s="4">
        <f>T1.PLATEREADER_VALUE("",E455)</f>
        <v>0</v>
      </c>
      <c r="AH485" s="4">
        <f>T1.PLATEREADER_VALUE("",E455)</f>
        <v>0</v>
      </c>
      <c r="AI485" s="4">
        <f>T1.PLATEREADER_VALUE("",E455)</f>
        <v>0</v>
      </c>
      <c r="AJ485" s="4">
        <f>T1.PLATEREADER_VALUE("",E455)</f>
        <v>0</v>
      </c>
      <c r="AK485" s="4">
        <f>T1.PLATEREADER_VALUE("",E455)</f>
        <v>0</v>
      </c>
      <c r="AL485" s="4">
        <f>T1.PLATEREADER_VALUE("",E455)</f>
        <v>0</v>
      </c>
      <c r="AM485" s="4">
        <f>T1.PLATEREADER_VALUE("",E455)</f>
        <v>0</v>
      </c>
      <c r="AN485" s="4">
        <f>T1.PLATEREADER_VALUE("",E455)</f>
        <v>0</v>
      </c>
      <c r="AO485" s="4">
        <f>T1.PLATEREADER_VALUE("",E455)</f>
        <v>0</v>
      </c>
      <c r="AP485" s="4">
        <f>T1.PLATEREADER_VALUE("",E455)</f>
        <v>0</v>
      </c>
      <c r="AQ485" s="4">
        <f>T1.PLATEREADER_VALUE("",E455)</f>
        <v>0</v>
      </c>
      <c r="AR485" s="4">
        <f>T1.PLATEREADER_VALUE("",E455)</f>
        <v>0</v>
      </c>
      <c r="AS485" s="4">
        <f>T1.PLATEREADER_VALUE("",E455)</f>
        <v>0</v>
      </c>
      <c r="AT485" s="4">
        <f>T1.PLATEREADER_VALUE("",E455)</f>
        <v>0</v>
      </c>
      <c r="AU485" s="4">
        <f>T1.PLATEREADER_VALUE("",E455)</f>
        <v>0</v>
      </c>
      <c r="AV485" s="4">
        <f>T1.PLATEREADER_VALUE("",E455)</f>
        <v>0</v>
      </c>
      <c r="AW485" s="4">
        <f>T1.PLATEREADER_VALUE("",E455)</f>
        <v>0</v>
      </c>
      <c r="AX485" s="4">
        <f>T1.PLATEREADER_VALUE("",E455)</f>
        <v>0</v>
      </c>
      <c r="AY485" s="49"/>
      <c r="AZ485" s="49"/>
      <c r="BA485" s="49"/>
    </row>
    <row r="486" spans="1:53" ht="11.25" hidden="1" customHeight="1">
      <c r="B486" s="36" t="s">
        <v>1802</v>
      </c>
      <c r="C486" s="4">
        <f>T1.PLATEREADER_VALUE("",E455)</f>
        <v>0</v>
      </c>
      <c r="D486" s="4">
        <f>T1.PLATEREADER_VALUE("",E455)</f>
        <v>0</v>
      </c>
      <c r="E486" s="4">
        <f>T1.PLATEREADER_VALUE("",E455)</f>
        <v>0</v>
      </c>
      <c r="F486" s="4">
        <f>T1.PLATEREADER_VALUE("",E455)</f>
        <v>0</v>
      </c>
      <c r="G486" s="4">
        <f>T1.PLATEREADER_VALUE("",E455)</f>
        <v>0</v>
      </c>
      <c r="H486" s="4">
        <f>T1.PLATEREADER_VALUE("",E455)</f>
        <v>0</v>
      </c>
      <c r="I486" s="4">
        <f>T1.PLATEREADER_VALUE("",E455)</f>
        <v>0</v>
      </c>
      <c r="J486" s="4">
        <f>T1.PLATEREADER_VALUE("",E455)</f>
        <v>0</v>
      </c>
      <c r="K486" s="4">
        <f>T1.PLATEREADER_VALUE("",E455)</f>
        <v>0</v>
      </c>
      <c r="L486" s="4">
        <f>T1.PLATEREADER_VALUE("",E455)</f>
        <v>0</v>
      </c>
      <c r="M486" s="4">
        <f>T1.PLATEREADER_VALUE("",E455)</f>
        <v>0</v>
      </c>
      <c r="N486" s="4">
        <f>T1.PLATEREADER_VALUE("",E455)</f>
        <v>0</v>
      </c>
      <c r="O486" s="4">
        <f>T1.PLATEREADER_VALUE("",E455)</f>
        <v>0</v>
      </c>
      <c r="P486" s="4">
        <f>T1.PLATEREADER_VALUE("",E455)</f>
        <v>0</v>
      </c>
      <c r="Q486" s="4">
        <f>T1.PLATEREADER_VALUE("",E455)</f>
        <v>0</v>
      </c>
      <c r="R486" s="4">
        <f>T1.PLATEREADER_VALUE("",E455)</f>
        <v>0</v>
      </c>
      <c r="S486" s="4">
        <f>T1.PLATEREADER_VALUE("",E455)</f>
        <v>0</v>
      </c>
      <c r="T486" s="4">
        <f>T1.PLATEREADER_VALUE("",E455)</f>
        <v>0</v>
      </c>
      <c r="U486" s="4">
        <f>T1.PLATEREADER_VALUE("",E455)</f>
        <v>0</v>
      </c>
      <c r="V486" s="4">
        <f>T1.PLATEREADER_VALUE("",E455)</f>
        <v>0</v>
      </c>
      <c r="W486" s="4">
        <f>T1.PLATEREADER_VALUE("",E455)</f>
        <v>0</v>
      </c>
      <c r="X486" s="4">
        <f>T1.PLATEREADER_VALUE("",E455)</f>
        <v>0</v>
      </c>
      <c r="Y486" s="4">
        <f>T1.PLATEREADER_VALUE("",E455)</f>
        <v>0</v>
      </c>
      <c r="Z486" s="4">
        <f>T1.PLATEREADER_VALUE("",E455)</f>
        <v>0</v>
      </c>
      <c r="AA486" s="4">
        <f>T1.PLATEREADER_VALUE("",E455)</f>
        <v>0</v>
      </c>
      <c r="AB486" s="4">
        <f>T1.PLATEREADER_VALUE("",E455)</f>
        <v>0</v>
      </c>
      <c r="AC486" s="4">
        <f>T1.PLATEREADER_VALUE("",E455)</f>
        <v>0</v>
      </c>
      <c r="AD486" s="4">
        <f>T1.PLATEREADER_VALUE("",E455)</f>
        <v>0</v>
      </c>
      <c r="AE486" s="4">
        <f>T1.PLATEREADER_VALUE("",E455)</f>
        <v>0</v>
      </c>
      <c r="AF486" s="4">
        <f>T1.PLATEREADER_VALUE("",E455)</f>
        <v>0</v>
      </c>
      <c r="AG486" s="4">
        <f>T1.PLATEREADER_VALUE("",E455)</f>
        <v>0</v>
      </c>
      <c r="AH486" s="4">
        <f>T1.PLATEREADER_VALUE("",E455)</f>
        <v>0</v>
      </c>
      <c r="AI486" s="4">
        <f>T1.PLATEREADER_VALUE("",E455)</f>
        <v>0</v>
      </c>
      <c r="AJ486" s="4">
        <f>T1.PLATEREADER_VALUE("",E455)</f>
        <v>0</v>
      </c>
      <c r="AK486" s="4">
        <f>T1.PLATEREADER_VALUE("",E455)</f>
        <v>0</v>
      </c>
      <c r="AL486" s="4">
        <f>T1.PLATEREADER_VALUE("",E455)</f>
        <v>0</v>
      </c>
      <c r="AM486" s="4">
        <f>T1.PLATEREADER_VALUE("",E455)</f>
        <v>0</v>
      </c>
      <c r="AN486" s="4">
        <f>T1.PLATEREADER_VALUE("",E455)</f>
        <v>0</v>
      </c>
      <c r="AO486" s="4">
        <f>T1.PLATEREADER_VALUE("",E455)</f>
        <v>0</v>
      </c>
      <c r="AP486" s="4">
        <f>T1.PLATEREADER_VALUE("",E455)</f>
        <v>0</v>
      </c>
      <c r="AQ486" s="4">
        <f>T1.PLATEREADER_VALUE("",E455)</f>
        <v>0</v>
      </c>
      <c r="AR486" s="4">
        <f>T1.PLATEREADER_VALUE("",E455)</f>
        <v>0</v>
      </c>
      <c r="AS486" s="4">
        <f>T1.PLATEREADER_VALUE("",E455)</f>
        <v>0</v>
      </c>
      <c r="AT486" s="4">
        <f>T1.PLATEREADER_VALUE("",E455)</f>
        <v>0</v>
      </c>
      <c r="AU486" s="4">
        <f>T1.PLATEREADER_VALUE("",E455)</f>
        <v>0</v>
      </c>
      <c r="AV486" s="4">
        <f>T1.PLATEREADER_VALUE("",E455)</f>
        <v>0</v>
      </c>
      <c r="AW486" s="4">
        <f>T1.PLATEREADER_VALUE("",E455)</f>
        <v>0</v>
      </c>
      <c r="AX486" s="4">
        <f>T1.PLATEREADER_VALUE("",E455)</f>
        <v>0</v>
      </c>
      <c r="AY486" s="49"/>
      <c r="AZ486" s="49"/>
      <c r="BA486" s="49"/>
    </row>
    <row r="487" spans="1:53" ht="11.25" hidden="1" customHeight="1">
      <c r="B487" s="36" t="s">
        <v>1851</v>
      </c>
      <c r="C487" s="4">
        <f>T1.PLATEREADER_VALUE("",E455)</f>
        <v>0</v>
      </c>
      <c r="D487" s="4">
        <f>T1.PLATEREADER_VALUE("",E455)</f>
        <v>0</v>
      </c>
      <c r="E487" s="4">
        <f>T1.PLATEREADER_VALUE("",E455)</f>
        <v>0</v>
      </c>
      <c r="F487" s="4">
        <f>T1.PLATEREADER_VALUE("",E455)</f>
        <v>0</v>
      </c>
      <c r="G487" s="4">
        <f>T1.PLATEREADER_VALUE("",E455)</f>
        <v>0</v>
      </c>
      <c r="H487" s="4">
        <f>T1.PLATEREADER_VALUE("",E455)</f>
        <v>0</v>
      </c>
      <c r="I487" s="4">
        <f>T1.PLATEREADER_VALUE("",E455)</f>
        <v>0</v>
      </c>
      <c r="J487" s="4">
        <f>T1.PLATEREADER_VALUE("",E455)</f>
        <v>0</v>
      </c>
      <c r="K487" s="4">
        <f>T1.PLATEREADER_VALUE("",E455)</f>
        <v>0</v>
      </c>
      <c r="L487" s="4">
        <f>T1.PLATEREADER_VALUE("",E455)</f>
        <v>0</v>
      </c>
      <c r="M487" s="4">
        <f>T1.PLATEREADER_VALUE("",E455)</f>
        <v>0</v>
      </c>
      <c r="N487" s="4">
        <f>T1.PLATEREADER_VALUE("",E455)</f>
        <v>0</v>
      </c>
      <c r="O487" s="4">
        <f>T1.PLATEREADER_VALUE("",E455)</f>
        <v>0</v>
      </c>
      <c r="P487" s="4">
        <f>T1.PLATEREADER_VALUE("",E455)</f>
        <v>0</v>
      </c>
      <c r="Q487" s="4">
        <f>T1.PLATEREADER_VALUE("",E455)</f>
        <v>0</v>
      </c>
      <c r="R487" s="4">
        <f>T1.PLATEREADER_VALUE("",E455)</f>
        <v>0</v>
      </c>
      <c r="S487" s="4">
        <f>T1.PLATEREADER_VALUE("",E455)</f>
        <v>0</v>
      </c>
      <c r="T487" s="4">
        <f>T1.PLATEREADER_VALUE("",E455)</f>
        <v>0</v>
      </c>
      <c r="U487" s="4">
        <f>T1.PLATEREADER_VALUE("",E455)</f>
        <v>0</v>
      </c>
      <c r="V487" s="4">
        <f>T1.PLATEREADER_VALUE("",E455)</f>
        <v>0</v>
      </c>
      <c r="W487" s="4">
        <f>T1.PLATEREADER_VALUE("",E455)</f>
        <v>0</v>
      </c>
      <c r="X487" s="4">
        <f>T1.PLATEREADER_VALUE("",E455)</f>
        <v>0</v>
      </c>
      <c r="Y487" s="4">
        <f>T1.PLATEREADER_VALUE("",E455)</f>
        <v>0</v>
      </c>
      <c r="Z487" s="4">
        <f>T1.PLATEREADER_VALUE("",E455)</f>
        <v>0</v>
      </c>
      <c r="AA487" s="4">
        <f>T1.PLATEREADER_VALUE("",E455)</f>
        <v>0</v>
      </c>
      <c r="AB487" s="4">
        <f>T1.PLATEREADER_VALUE("",E455)</f>
        <v>0</v>
      </c>
      <c r="AC487" s="4">
        <f>T1.PLATEREADER_VALUE("",E455)</f>
        <v>0</v>
      </c>
      <c r="AD487" s="4">
        <f>T1.PLATEREADER_VALUE("",E455)</f>
        <v>0</v>
      </c>
      <c r="AE487" s="4">
        <f>T1.PLATEREADER_VALUE("",E455)</f>
        <v>0</v>
      </c>
      <c r="AF487" s="4">
        <f>T1.PLATEREADER_VALUE("",E455)</f>
        <v>0</v>
      </c>
      <c r="AG487" s="4">
        <f>T1.PLATEREADER_VALUE("",E455)</f>
        <v>0</v>
      </c>
      <c r="AH487" s="4">
        <f>T1.PLATEREADER_VALUE("",E455)</f>
        <v>0</v>
      </c>
      <c r="AI487" s="4">
        <f>T1.PLATEREADER_VALUE("",E455)</f>
        <v>0</v>
      </c>
      <c r="AJ487" s="4">
        <f>T1.PLATEREADER_VALUE("",E455)</f>
        <v>0</v>
      </c>
      <c r="AK487" s="4">
        <f>T1.PLATEREADER_VALUE("",E455)</f>
        <v>0</v>
      </c>
      <c r="AL487" s="4">
        <f>T1.PLATEREADER_VALUE("",E455)</f>
        <v>0</v>
      </c>
      <c r="AM487" s="4">
        <f>T1.PLATEREADER_VALUE("",E455)</f>
        <v>0</v>
      </c>
      <c r="AN487" s="4">
        <f>T1.PLATEREADER_VALUE("",E455)</f>
        <v>0</v>
      </c>
      <c r="AO487" s="4">
        <f>T1.PLATEREADER_VALUE("",E455)</f>
        <v>0</v>
      </c>
      <c r="AP487" s="4">
        <f>T1.PLATEREADER_VALUE("",E455)</f>
        <v>0</v>
      </c>
      <c r="AQ487" s="4">
        <f>T1.PLATEREADER_VALUE("",E455)</f>
        <v>0</v>
      </c>
      <c r="AR487" s="4">
        <f>T1.PLATEREADER_VALUE("",E455)</f>
        <v>0</v>
      </c>
      <c r="AS487" s="4">
        <f>T1.PLATEREADER_VALUE("",E455)</f>
        <v>0</v>
      </c>
      <c r="AT487" s="4">
        <f>T1.PLATEREADER_VALUE("",E455)</f>
        <v>0</v>
      </c>
      <c r="AU487" s="4">
        <f>T1.PLATEREADER_VALUE("",E455)</f>
        <v>0</v>
      </c>
      <c r="AV487" s="4">
        <f>T1.PLATEREADER_VALUE("",E455)</f>
        <v>0</v>
      </c>
      <c r="AW487" s="4">
        <f>T1.PLATEREADER_VALUE("",E455)</f>
        <v>0</v>
      </c>
      <c r="AX487" s="4">
        <f>T1.PLATEREADER_VALUE("",E455)</f>
        <v>0</v>
      </c>
      <c r="AY487" s="49"/>
      <c r="AZ487" s="49"/>
      <c r="BA487" s="49"/>
    </row>
    <row r="488" spans="1:53" ht="11.25" hidden="1" customHeight="1">
      <c r="B488" s="36" t="s">
        <v>1900</v>
      </c>
      <c r="C488" s="4">
        <f>T1.PLATEREADER_VALUE("",E455)</f>
        <v>0</v>
      </c>
      <c r="D488" s="4">
        <f>T1.PLATEREADER_VALUE("",E455)</f>
        <v>0</v>
      </c>
      <c r="E488" s="4">
        <f>T1.PLATEREADER_VALUE("",E455)</f>
        <v>0</v>
      </c>
      <c r="F488" s="4">
        <f>T1.PLATEREADER_VALUE("",E455)</f>
        <v>0</v>
      </c>
      <c r="G488" s="4">
        <f>T1.PLATEREADER_VALUE("",E455)</f>
        <v>0</v>
      </c>
      <c r="H488" s="4">
        <f>T1.PLATEREADER_VALUE("",E455)</f>
        <v>0</v>
      </c>
      <c r="I488" s="4">
        <f>T1.PLATEREADER_VALUE("",E455)</f>
        <v>0</v>
      </c>
      <c r="J488" s="4">
        <f>T1.PLATEREADER_VALUE("",E455)</f>
        <v>0</v>
      </c>
      <c r="K488" s="4">
        <f>T1.PLATEREADER_VALUE("",E455)</f>
        <v>0</v>
      </c>
      <c r="L488" s="4">
        <f>T1.PLATEREADER_VALUE("",E455)</f>
        <v>0</v>
      </c>
      <c r="M488" s="4">
        <f>T1.PLATEREADER_VALUE("",E455)</f>
        <v>0</v>
      </c>
      <c r="N488" s="4">
        <f>T1.PLATEREADER_VALUE("",E455)</f>
        <v>0</v>
      </c>
      <c r="O488" s="4">
        <f>T1.PLATEREADER_VALUE("",E455)</f>
        <v>0</v>
      </c>
      <c r="P488" s="4">
        <f>T1.PLATEREADER_VALUE("",E455)</f>
        <v>0</v>
      </c>
      <c r="Q488" s="4">
        <f>T1.PLATEREADER_VALUE("",E455)</f>
        <v>0</v>
      </c>
      <c r="R488" s="4">
        <f>T1.PLATEREADER_VALUE("",E455)</f>
        <v>0</v>
      </c>
      <c r="S488" s="4">
        <f>T1.PLATEREADER_VALUE("",E455)</f>
        <v>0</v>
      </c>
      <c r="T488" s="4">
        <f>T1.PLATEREADER_VALUE("",E455)</f>
        <v>0</v>
      </c>
      <c r="U488" s="4">
        <f>T1.PLATEREADER_VALUE("",E455)</f>
        <v>0</v>
      </c>
      <c r="V488" s="4">
        <f>T1.PLATEREADER_VALUE("",E455)</f>
        <v>0</v>
      </c>
      <c r="W488" s="4">
        <f>T1.PLATEREADER_VALUE("",E455)</f>
        <v>0</v>
      </c>
      <c r="X488" s="4">
        <f>T1.PLATEREADER_VALUE("",E455)</f>
        <v>0</v>
      </c>
      <c r="Y488" s="4">
        <f>T1.PLATEREADER_VALUE("",E455)</f>
        <v>0</v>
      </c>
      <c r="Z488" s="4">
        <f>T1.PLATEREADER_VALUE("",E455)</f>
        <v>0</v>
      </c>
      <c r="AA488" s="4">
        <f>T1.PLATEREADER_VALUE("",E455)</f>
        <v>0</v>
      </c>
      <c r="AB488" s="4">
        <f>T1.PLATEREADER_VALUE("",E455)</f>
        <v>0</v>
      </c>
      <c r="AC488" s="4">
        <f>T1.PLATEREADER_VALUE("",E455)</f>
        <v>0</v>
      </c>
      <c r="AD488" s="4">
        <f>T1.PLATEREADER_VALUE("",E455)</f>
        <v>0</v>
      </c>
      <c r="AE488" s="4">
        <f>T1.PLATEREADER_VALUE("",E455)</f>
        <v>0</v>
      </c>
      <c r="AF488" s="4">
        <f>T1.PLATEREADER_VALUE("",E455)</f>
        <v>0</v>
      </c>
      <c r="AG488" s="4">
        <f>T1.PLATEREADER_VALUE("",E455)</f>
        <v>0</v>
      </c>
      <c r="AH488" s="4">
        <f>T1.PLATEREADER_VALUE("",E455)</f>
        <v>0</v>
      </c>
      <c r="AI488" s="4">
        <f>T1.PLATEREADER_VALUE("",E455)</f>
        <v>0</v>
      </c>
      <c r="AJ488" s="4">
        <f>T1.PLATEREADER_VALUE("",E455)</f>
        <v>0</v>
      </c>
      <c r="AK488" s="4">
        <f>T1.PLATEREADER_VALUE("",E455)</f>
        <v>0</v>
      </c>
      <c r="AL488" s="4">
        <f>T1.PLATEREADER_VALUE("",E455)</f>
        <v>0</v>
      </c>
      <c r="AM488" s="4">
        <f>T1.PLATEREADER_VALUE("",E455)</f>
        <v>0</v>
      </c>
      <c r="AN488" s="4">
        <f>T1.PLATEREADER_VALUE("",E455)</f>
        <v>0</v>
      </c>
      <c r="AO488" s="4">
        <f>T1.PLATEREADER_VALUE("",E455)</f>
        <v>0</v>
      </c>
      <c r="AP488" s="4">
        <f>T1.PLATEREADER_VALUE("",E455)</f>
        <v>0</v>
      </c>
      <c r="AQ488" s="4">
        <f>T1.PLATEREADER_VALUE("",E455)</f>
        <v>0</v>
      </c>
      <c r="AR488" s="4">
        <f>T1.PLATEREADER_VALUE("",E455)</f>
        <v>0</v>
      </c>
      <c r="AS488" s="4">
        <f>T1.PLATEREADER_VALUE("",E455)</f>
        <v>0</v>
      </c>
      <c r="AT488" s="4">
        <f>T1.PLATEREADER_VALUE("",E455)</f>
        <v>0</v>
      </c>
      <c r="AU488" s="4">
        <f>T1.PLATEREADER_VALUE("",E455)</f>
        <v>0</v>
      </c>
      <c r="AV488" s="4">
        <f>T1.PLATEREADER_VALUE("",E455)</f>
        <v>0</v>
      </c>
      <c r="AW488" s="4">
        <f>T1.PLATEREADER_VALUE("",E455)</f>
        <v>0</v>
      </c>
      <c r="AX488" s="4">
        <f>T1.PLATEREADER_VALUE("",E455)</f>
        <v>0</v>
      </c>
      <c r="AY488" s="49"/>
      <c r="AZ488" s="49"/>
      <c r="BA488" s="49"/>
    </row>
    <row r="489" spans="1:53" ht="11.25" hidden="1" customHeight="1">
      <c r="B489" s="36" t="s">
        <v>1949</v>
      </c>
      <c r="C489" s="4">
        <f>T1.PLATEREADER_VALUE("",E455)</f>
        <v>0</v>
      </c>
      <c r="D489" s="4">
        <f>T1.PLATEREADER_VALUE("",E455)</f>
        <v>0</v>
      </c>
      <c r="E489" s="4">
        <f>T1.PLATEREADER_VALUE("",E455)</f>
        <v>0</v>
      </c>
      <c r="F489" s="4">
        <f>T1.PLATEREADER_VALUE("",E455)</f>
        <v>0</v>
      </c>
      <c r="G489" s="4">
        <f>T1.PLATEREADER_VALUE("",E455)</f>
        <v>0</v>
      </c>
      <c r="H489" s="4">
        <f>T1.PLATEREADER_VALUE("",E455)</f>
        <v>0</v>
      </c>
      <c r="I489" s="4">
        <f>T1.PLATEREADER_VALUE("",E455)</f>
        <v>0</v>
      </c>
      <c r="J489" s="4">
        <f>T1.PLATEREADER_VALUE("",E455)</f>
        <v>0</v>
      </c>
      <c r="K489" s="4">
        <f>T1.PLATEREADER_VALUE("",E455)</f>
        <v>0</v>
      </c>
      <c r="L489" s="4">
        <f>T1.PLATEREADER_VALUE("",E455)</f>
        <v>0</v>
      </c>
      <c r="M489" s="4">
        <f>T1.PLATEREADER_VALUE("",E455)</f>
        <v>0</v>
      </c>
      <c r="N489" s="4">
        <f>T1.PLATEREADER_VALUE("",E455)</f>
        <v>0</v>
      </c>
      <c r="O489" s="4">
        <f>T1.PLATEREADER_VALUE("",E455)</f>
        <v>0</v>
      </c>
      <c r="P489" s="4">
        <f>T1.PLATEREADER_VALUE("",E455)</f>
        <v>0</v>
      </c>
      <c r="Q489" s="4">
        <f>T1.PLATEREADER_VALUE("",E455)</f>
        <v>0</v>
      </c>
      <c r="R489" s="4">
        <f>T1.PLATEREADER_VALUE("",E455)</f>
        <v>0</v>
      </c>
      <c r="S489" s="4">
        <f>T1.PLATEREADER_VALUE("",E455)</f>
        <v>0</v>
      </c>
      <c r="T489" s="4">
        <f>T1.PLATEREADER_VALUE("",E455)</f>
        <v>0</v>
      </c>
      <c r="U489" s="4">
        <f>T1.PLATEREADER_VALUE("",E455)</f>
        <v>0</v>
      </c>
      <c r="V489" s="4">
        <f>T1.PLATEREADER_VALUE("",E455)</f>
        <v>0</v>
      </c>
      <c r="W489" s="4">
        <f>T1.PLATEREADER_VALUE("",E455)</f>
        <v>0</v>
      </c>
      <c r="X489" s="4">
        <f>T1.PLATEREADER_VALUE("",E455)</f>
        <v>0</v>
      </c>
      <c r="Y489" s="4">
        <f>T1.PLATEREADER_VALUE("",E455)</f>
        <v>0</v>
      </c>
      <c r="Z489" s="4">
        <f>T1.PLATEREADER_VALUE("",E455)</f>
        <v>0</v>
      </c>
      <c r="AA489" s="4">
        <f>T1.PLATEREADER_VALUE("",E455)</f>
        <v>0</v>
      </c>
      <c r="AB489" s="4">
        <f>T1.PLATEREADER_VALUE("",E455)</f>
        <v>0</v>
      </c>
      <c r="AC489" s="4">
        <f>T1.PLATEREADER_VALUE("",E455)</f>
        <v>0</v>
      </c>
      <c r="AD489" s="4">
        <f>T1.PLATEREADER_VALUE("",E455)</f>
        <v>0</v>
      </c>
      <c r="AE489" s="4">
        <f>T1.PLATEREADER_VALUE("",E455)</f>
        <v>0</v>
      </c>
      <c r="AF489" s="4">
        <f>T1.PLATEREADER_VALUE("",E455)</f>
        <v>0</v>
      </c>
      <c r="AG489" s="4">
        <f>T1.PLATEREADER_VALUE("",E455)</f>
        <v>0</v>
      </c>
      <c r="AH489" s="4">
        <f>T1.PLATEREADER_VALUE("",E455)</f>
        <v>0</v>
      </c>
      <c r="AI489" s="4">
        <f>T1.PLATEREADER_VALUE("",E455)</f>
        <v>0</v>
      </c>
      <c r="AJ489" s="4">
        <f>T1.PLATEREADER_VALUE("",E455)</f>
        <v>0</v>
      </c>
      <c r="AK489" s="4">
        <f>T1.PLATEREADER_VALUE("",E455)</f>
        <v>0</v>
      </c>
      <c r="AL489" s="4">
        <f>T1.PLATEREADER_VALUE("",E455)</f>
        <v>0</v>
      </c>
      <c r="AM489" s="4">
        <f>T1.PLATEREADER_VALUE("",E455)</f>
        <v>0</v>
      </c>
      <c r="AN489" s="4">
        <f>T1.PLATEREADER_VALUE("",E455)</f>
        <v>0</v>
      </c>
      <c r="AO489" s="4">
        <f>T1.PLATEREADER_VALUE("",E455)</f>
        <v>0</v>
      </c>
      <c r="AP489" s="4">
        <f>T1.PLATEREADER_VALUE("",E455)</f>
        <v>0</v>
      </c>
      <c r="AQ489" s="4">
        <f>T1.PLATEREADER_VALUE("",E455)</f>
        <v>0</v>
      </c>
      <c r="AR489" s="4">
        <f>T1.PLATEREADER_VALUE("",E455)</f>
        <v>0</v>
      </c>
      <c r="AS489" s="4">
        <f>T1.PLATEREADER_VALUE("",E455)</f>
        <v>0</v>
      </c>
      <c r="AT489" s="4">
        <f>T1.PLATEREADER_VALUE("",E455)</f>
        <v>0</v>
      </c>
      <c r="AU489" s="4">
        <f>T1.PLATEREADER_VALUE("",E455)</f>
        <v>0</v>
      </c>
      <c r="AV489" s="4">
        <f>T1.PLATEREADER_VALUE("",E455)</f>
        <v>0</v>
      </c>
      <c r="AW489" s="4">
        <f>T1.PLATEREADER_VALUE("",E455)</f>
        <v>0</v>
      </c>
      <c r="AX489" s="4">
        <f>T1.PLATEREADER_VALUE("",E455)</f>
        <v>0</v>
      </c>
      <c r="AY489" s="49"/>
      <c r="AZ489" s="49"/>
      <c r="BA489" s="49"/>
    </row>
    <row r="490" spans="1:53" ht="11.25" hidden="1" customHeight="1">
      <c r="B490" s="36"/>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49"/>
      <c r="AZ490" s="49"/>
      <c r="BA490" s="49"/>
    </row>
    <row r="491" spans="1:53" ht="11.25" hidden="1" customHeight="1">
      <c r="A491" s="6"/>
      <c r="B491" s="5"/>
      <c r="C491" s="10" t="s">
        <v>752</v>
      </c>
      <c r="D491" s="3" t="e">
        <f>T1.Label("RAW_DATA","sb")</f>
        <v>#REF!</v>
      </c>
      <c r="E491" s="3"/>
      <c r="F491" s="33" t="s">
        <v>753</v>
      </c>
      <c r="G491" s="3" t="e">
        <f>T1.Label("RAW_DATA","sn")</f>
        <v>#REF!</v>
      </c>
      <c r="I491" s="33" t="s">
        <v>751</v>
      </c>
      <c r="J491" s="7" t="e">
        <f>T1.Label("RAW_DATA","zprime")</f>
        <v>#REF!</v>
      </c>
      <c r="K491" s="3"/>
      <c r="L491" s="33" t="s">
        <v>754</v>
      </c>
      <c r="M491" s="7" t="e">
        <f>T1.role("MAX","RAW_DATA","cvp")</f>
        <v>#REF!</v>
      </c>
      <c r="N491" s="3"/>
      <c r="O491" s="33" t="s">
        <v>755</v>
      </c>
      <c r="P491" s="7" t="e">
        <f>T1.role("MIN","RAW_DATA","cvp")</f>
        <v>#REF!</v>
      </c>
      <c r="Q491" s="3"/>
      <c r="R491" s="33" t="s">
        <v>756</v>
      </c>
      <c r="S491" s="3" t="e">
        <f>T1.role("MAX","RAW_DATA","avr")</f>
        <v>#REF!</v>
      </c>
      <c r="U491" s="33" t="s">
        <v>757</v>
      </c>
      <c r="V491" s="3" t="e">
        <f>T1.role("MIN","RAW_DATA","avr")</f>
        <v>#REF!</v>
      </c>
      <c r="X491" s="33" t="s">
        <v>798</v>
      </c>
      <c r="Y491" s="3" t="e">
        <f>T1.role("CPD*","RAW_DATA","avr")</f>
        <v>#REF!</v>
      </c>
    </row>
    <row r="492" spans="1:53" ht="11.25" customHeight="1">
      <c r="AY492" s="49"/>
      <c r="AZ492" s="49"/>
      <c r="BA492" s="49"/>
    </row>
    <row r="493" spans="1:53" s="63" customFormat="1" ht="11.25" customHeight="1">
      <c r="A493" s="63" t="s">
        <v>2014</v>
      </c>
      <c r="D493" s="64" t="s">
        <v>806</v>
      </c>
      <c r="E493" s="65" t="s">
        <v>805</v>
      </c>
      <c r="G493" s="64" t="s">
        <v>2015</v>
      </c>
      <c r="H493" s="65">
        <v>1</v>
      </c>
    </row>
    <row r="494" spans="1:53" s="35" customFormat="1" ht="11.25" hidden="1" customHeight="1">
      <c r="A494" s="27"/>
      <c r="B494" s="27"/>
    </row>
    <row r="495" spans="1:53" ht="11.25" hidden="1" customHeight="1">
      <c r="B495" s="1"/>
      <c r="C495" s="1">
        <v>1</v>
      </c>
      <c r="D495" s="1">
        <v>2</v>
      </c>
      <c r="E495" s="1">
        <v>3</v>
      </c>
      <c r="F495" s="1">
        <v>4</v>
      </c>
      <c r="G495" s="1">
        <v>5</v>
      </c>
      <c r="H495" s="1">
        <v>6</v>
      </c>
      <c r="I495" s="1">
        <v>7</v>
      </c>
      <c r="J495" s="1">
        <v>8</v>
      </c>
      <c r="K495" s="1">
        <v>9</v>
      </c>
      <c r="L495" s="1">
        <v>10</v>
      </c>
      <c r="M495" s="1">
        <v>11</v>
      </c>
      <c r="N495" s="1">
        <v>12</v>
      </c>
    </row>
    <row r="496" spans="1:53" ht="11.25" hidden="1" customHeight="1">
      <c r="B496" s="1" t="s">
        <v>415</v>
      </c>
      <c r="C496" s="4">
        <f>T1.PLATEREADER_VALUE("",E493,H493)</f>
        <v>0</v>
      </c>
      <c r="D496" s="4">
        <f>T1.PLATEREADER_VALUE("",E493,H493)</f>
        <v>0</v>
      </c>
      <c r="E496" s="4">
        <f>T1.PLATEREADER_VALUE("",E493,H493)</f>
        <v>0</v>
      </c>
      <c r="F496" s="4">
        <f>T1.PLATEREADER_VALUE("",E493,H493)</f>
        <v>0</v>
      </c>
      <c r="G496" s="4">
        <f>T1.PLATEREADER_VALUE("",E493,H493)</f>
        <v>0</v>
      </c>
      <c r="H496" s="4">
        <f>T1.PLATEREADER_VALUE("",E493,H493)</f>
        <v>0</v>
      </c>
      <c r="I496" s="4">
        <f>T1.PLATEREADER_VALUE("",E493,H493)</f>
        <v>0</v>
      </c>
      <c r="J496" s="4">
        <f>T1.PLATEREADER_VALUE("",E493,H493)</f>
        <v>0</v>
      </c>
      <c r="K496" s="4">
        <f>T1.PLATEREADER_VALUE("",E493,H493)</f>
        <v>0</v>
      </c>
      <c r="L496" s="4">
        <f>T1.PLATEREADER_VALUE("",E493,H493)</f>
        <v>0</v>
      </c>
      <c r="M496" s="4">
        <f>T1.PLATEREADER_VALUE("",E493,H493)</f>
        <v>0</v>
      </c>
      <c r="N496" s="4">
        <f>T1.PLATEREADER_VALUE("",E493,H493)</f>
        <v>0</v>
      </c>
      <c r="P496" s="10" t="s">
        <v>752</v>
      </c>
      <c r="Q496" s="3" t="e">
        <f>T1.Label("RAW_DATA","sb")</f>
        <v>#REF!</v>
      </c>
    </row>
    <row r="497" spans="1:25" ht="11.25" hidden="1" customHeight="1">
      <c r="B497" s="1" t="s">
        <v>416</v>
      </c>
      <c r="C497" s="4">
        <f>T1.PLATEREADER_VALUE("",E493,H493)</f>
        <v>0</v>
      </c>
      <c r="D497" s="4">
        <f>T1.PLATEREADER_VALUE("",E493,H493)</f>
        <v>0</v>
      </c>
      <c r="E497" s="4">
        <f>T1.PLATEREADER_VALUE("",E493,H493)</f>
        <v>0</v>
      </c>
      <c r="F497" s="4">
        <f>T1.PLATEREADER_VALUE("",E493,H493)</f>
        <v>0</v>
      </c>
      <c r="G497" s="4">
        <f>T1.PLATEREADER_VALUE("",E493,H493)</f>
        <v>0</v>
      </c>
      <c r="H497" s="4">
        <f>T1.PLATEREADER_VALUE("",E493,H493)</f>
        <v>0</v>
      </c>
      <c r="I497" s="4">
        <f>T1.PLATEREADER_VALUE("",E493,H493)</f>
        <v>0</v>
      </c>
      <c r="J497" s="4">
        <f>T1.PLATEREADER_VALUE("",E493,H493)</f>
        <v>0</v>
      </c>
      <c r="K497" s="4">
        <f>T1.PLATEREADER_VALUE("",E493,H493)</f>
        <v>0</v>
      </c>
      <c r="L497" s="4">
        <f>T1.PLATEREADER_VALUE("",E493,H493)</f>
        <v>0</v>
      </c>
      <c r="M497" s="4">
        <f>T1.PLATEREADER_VALUE("",E493,H493)</f>
        <v>0</v>
      </c>
      <c r="N497" s="4">
        <f>T1.PLATEREADER_VALUE("",E493,H493)</f>
        <v>0</v>
      </c>
      <c r="P497" s="33" t="s">
        <v>753</v>
      </c>
      <c r="Q497" s="3" t="e">
        <f>T1.Label("RAW_DATA","sn")</f>
        <v>#REF!</v>
      </c>
    </row>
    <row r="498" spans="1:25" ht="11.25" hidden="1" customHeight="1">
      <c r="B498" s="1" t="s">
        <v>417</v>
      </c>
      <c r="C498" s="4">
        <f>T1.PLATEREADER_VALUE("",E493,H493)</f>
        <v>0</v>
      </c>
      <c r="D498" s="4">
        <f>T1.PLATEREADER_VALUE("",E493,H493)</f>
        <v>0</v>
      </c>
      <c r="E498" s="4">
        <f>T1.PLATEREADER_VALUE("",E493,H493)</f>
        <v>0</v>
      </c>
      <c r="F498" s="4">
        <f>T1.PLATEREADER_VALUE("",E493,H493)</f>
        <v>0</v>
      </c>
      <c r="G498" s="4">
        <f>T1.PLATEREADER_VALUE("",E493,H493)</f>
        <v>0</v>
      </c>
      <c r="H498" s="4">
        <f>T1.PLATEREADER_VALUE("",E493,H493)</f>
        <v>0</v>
      </c>
      <c r="I498" s="4">
        <f>T1.PLATEREADER_VALUE("",E493,H493)</f>
        <v>0</v>
      </c>
      <c r="J498" s="4">
        <f>T1.PLATEREADER_VALUE("",E493,H493)</f>
        <v>0</v>
      </c>
      <c r="K498" s="4">
        <f>T1.PLATEREADER_VALUE("",E493,H493)</f>
        <v>0</v>
      </c>
      <c r="L498" s="4">
        <f>T1.PLATEREADER_VALUE("",E493,H493)</f>
        <v>0</v>
      </c>
      <c r="M498" s="4">
        <f>T1.PLATEREADER_VALUE("",E493,H493)</f>
        <v>0</v>
      </c>
      <c r="N498" s="4">
        <f>T1.PLATEREADER_VALUE("",E493,H493)</f>
        <v>0</v>
      </c>
      <c r="P498" s="33" t="s">
        <v>751</v>
      </c>
      <c r="Q498" s="7" t="e">
        <f>T1.Label("RAW_DATA","zprime")</f>
        <v>#REF!</v>
      </c>
    </row>
    <row r="499" spans="1:25" ht="11.25" hidden="1" customHeight="1">
      <c r="B499" s="1" t="s">
        <v>418</v>
      </c>
      <c r="C499" s="4">
        <f>T1.PLATEREADER_VALUE("",E493,H493)</f>
        <v>0</v>
      </c>
      <c r="D499" s="4">
        <f>T1.PLATEREADER_VALUE("",E493,H493)</f>
        <v>0</v>
      </c>
      <c r="E499" s="4">
        <f>T1.PLATEREADER_VALUE("",E493,H493)</f>
        <v>0</v>
      </c>
      <c r="F499" s="4">
        <f>T1.PLATEREADER_VALUE("",E493,H493)</f>
        <v>0</v>
      </c>
      <c r="G499" s="4">
        <f>T1.PLATEREADER_VALUE("",E493,H493)</f>
        <v>0</v>
      </c>
      <c r="H499" s="4">
        <f>T1.PLATEREADER_VALUE("",E493,H493)</f>
        <v>0</v>
      </c>
      <c r="I499" s="4">
        <f>T1.PLATEREADER_VALUE("",E493,H493)</f>
        <v>0</v>
      </c>
      <c r="J499" s="4">
        <f>T1.PLATEREADER_VALUE("",E493,H493)</f>
        <v>0</v>
      </c>
      <c r="K499" s="4">
        <f>T1.PLATEREADER_VALUE("",E493,H493)</f>
        <v>0</v>
      </c>
      <c r="L499" s="4">
        <f>T1.PLATEREADER_VALUE("",E493,H493)</f>
        <v>0</v>
      </c>
      <c r="M499" s="4">
        <f>T1.PLATEREADER_VALUE("",E493,H493)</f>
        <v>0</v>
      </c>
      <c r="N499" s="4">
        <f>T1.PLATEREADER_VALUE("",E493,H493)</f>
        <v>0</v>
      </c>
      <c r="P499" s="33" t="s">
        <v>754</v>
      </c>
      <c r="Q499" s="7" t="e">
        <f>T1.role("MAX","RAW_DATA","cvp")</f>
        <v>#REF!</v>
      </c>
    </row>
    <row r="500" spans="1:25" ht="11.25" hidden="1" customHeight="1">
      <c r="B500" s="1" t="s">
        <v>419</v>
      </c>
      <c r="C500" s="4">
        <f>T1.PLATEREADER_VALUE("",E493,H493)</f>
        <v>0</v>
      </c>
      <c r="D500" s="4">
        <f>T1.PLATEREADER_VALUE("",E493,H493)</f>
        <v>0</v>
      </c>
      <c r="E500" s="4">
        <f>T1.PLATEREADER_VALUE("",E493,H493)</f>
        <v>0</v>
      </c>
      <c r="F500" s="4">
        <f>T1.PLATEREADER_VALUE("",E493,H493)</f>
        <v>0</v>
      </c>
      <c r="G500" s="4">
        <f>T1.PLATEREADER_VALUE("",E493,H493)</f>
        <v>0</v>
      </c>
      <c r="H500" s="4">
        <f>T1.PLATEREADER_VALUE("",E493,H493)</f>
        <v>0</v>
      </c>
      <c r="I500" s="4">
        <f>T1.PLATEREADER_VALUE("",E493,H493)</f>
        <v>0</v>
      </c>
      <c r="J500" s="4">
        <f>T1.PLATEREADER_VALUE("",E493,H493)</f>
        <v>0</v>
      </c>
      <c r="K500" s="4">
        <f>T1.PLATEREADER_VALUE("",E493,H493)</f>
        <v>0</v>
      </c>
      <c r="L500" s="4">
        <f>T1.PLATEREADER_VALUE("",E493,H493)</f>
        <v>0</v>
      </c>
      <c r="M500" s="4">
        <f>T1.PLATEREADER_VALUE("",E493,H493)</f>
        <v>0</v>
      </c>
      <c r="N500" s="4">
        <f>T1.PLATEREADER_VALUE("",E493,H493)</f>
        <v>0</v>
      </c>
      <c r="P500" s="33" t="s">
        <v>755</v>
      </c>
      <c r="Q500" s="7" t="e">
        <f>T1.role("MIN","RAW_DATA","cvp")</f>
        <v>#REF!</v>
      </c>
    </row>
    <row r="501" spans="1:25" ht="11.25" hidden="1" customHeight="1">
      <c r="B501" s="1" t="s">
        <v>420</v>
      </c>
      <c r="C501" s="4">
        <f>T1.PLATEREADER_VALUE("",E493,H493)</f>
        <v>0</v>
      </c>
      <c r="D501" s="4">
        <f>T1.PLATEREADER_VALUE("",E493,H493)</f>
        <v>0</v>
      </c>
      <c r="E501" s="4">
        <f>T1.PLATEREADER_VALUE("",E493,H493)</f>
        <v>0</v>
      </c>
      <c r="F501" s="4">
        <f>T1.PLATEREADER_VALUE("",E493,H493)</f>
        <v>0</v>
      </c>
      <c r="G501" s="4">
        <f>T1.PLATEREADER_VALUE("",E493,H493)</f>
        <v>0</v>
      </c>
      <c r="H501" s="4">
        <f>T1.PLATEREADER_VALUE("",E493,H493)</f>
        <v>0</v>
      </c>
      <c r="I501" s="4">
        <f>T1.PLATEREADER_VALUE("",E493,H493)</f>
        <v>0</v>
      </c>
      <c r="J501" s="4">
        <f>T1.PLATEREADER_VALUE("",E493,H493)</f>
        <v>0</v>
      </c>
      <c r="K501" s="4">
        <f>T1.PLATEREADER_VALUE("",E493,H493)</f>
        <v>0</v>
      </c>
      <c r="L501" s="4">
        <f>T1.PLATEREADER_VALUE("",E493,H493)</f>
        <v>0</v>
      </c>
      <c r="M501" s="4">
        <f>T1.PLATEREADER_VALUE("",E493,H493)</f>
        <v>0</v>
      </c>
      <c r="N501" s="4">
        <f>T1.PLATEREADER_VALUE("",E493,H493)</f>
        <v>0</v>
      </c>
      <c r="P501" s="33" t="s">
        <v>756</v>
      </c>
      <c r="Q501" s="3" t="e">
        <f>T1.role("MAX","RAW_DATA","avr")</f>
        <v>#REF!</v>
      </c>
    </row>
    <row r="502" spans="1:25" ht="11.25" hidden="1" customHeight="1">
      <c r="B502" s="1" t="s">
        <v>421</v>
      </c>
      <c r="C502" s="4">
        <f>T1.PLATEREADER_VALUE("",E493,H493)</f>
        <v>0</v>
      </c>
      <c r="D502" s="4">
        <f>T1.PLATEREADER_VALUE("",E493,H493)</f>
        <v>0</v>
      </c>
      <c r="E502" s="4">
        <f>T1.PLATEREADER_VALUE("",E493,H493)</f>
        <v>0</v>
      </c>
      <c r="F502" s="4">
        <f>T1.PLATEREADER_VALUE("",E493,H493)</f>
        <v>0</v>
      </c>
      <c r="G502" s="4">
        <f>T1.PLATEREADER_VALUE("",E493,H493)</f>
        <v>0</v>
      </c>
      <c r="H502" s="4">
        <f>T1.PLATEREADER_VALUE("",E493,H493)</f>
        <v>0</v>
      </c>
      <c r="I502" s="4">
        <f>T1.PLATEREADER_VALUE("",E493,H493)</f>
        <v>0</v>
      </c>
      <c r="J502" s="4">
        <f>T1.PLATEREADER_VALUE("",E493,H493)</f>
        <v>0</v>
      </c>
      <c r="K502" s="4">
        <f>T1.PLATEREADER_VALUE("",E493,H493)</f>
        <v>0</v>
      </c>
      <c r="L502" s="4">
        <f>T1.PLATEREADER_VALUE("",E493,H493)</f>
        <v>0</v>
      </c>
      <c r="M502" s="4">
        <f>T1.PLATEREADER_VALUE("",E493,H493)</f>
        <v>0</v>
      </c>
      <c r="N502" s="4">
        <f>T1.PLATEREADER_VALUE("",E493,H493)</f>
        <v>0</v>
      </c>
      <c r="P502" s="33" t="s">
        <v>757</v>
      </c>
      <c r="Q502" s="3" t="e">
        <f>T1.role("MIN","RAW_DATA","avr")</f>
        <v>#REF!</v>
      </c>
    </row>
    <row r="503" spans="1:25" ht="11.25" hidden="1" customHeight="1">
      <c r="B503" s="1" t="s">
        <v>422</v>
      </c>
      <c r="C503" s="4">
        <f>T1.PLATEREADER_VALUE("",E493,H493)</f>
        <v>0</v>
      </c>
      <c r="D503" s="4">
        <f>T1.PLATEREADER_VALUE("",E493,H493)</f>
        <v>0</v>
      </c>
      <c r="E503" s="4">
        <f>T1.PLATEREADER_VALUE("",E493,H493)</f>
        <v>0</v>
      </c>
      <c r="F503" s="4">
        <f>T1.PLATEREADER_VALUE("",E493,H493)</f>
        <v>0</v>
      </c>
      <c r="G503" s="4">
        <f>T1.PLATEREADER_VALUE("",E493,H493)</f>
        <v>0</v>
      </c>
      <c r="H503" s="4">
        <f>T1.PLATEREADER_VALUE("",E493,H493)</f>
        <v>0</v>
      </c>
      <c r="I503" s="4">
        <f>T1.PLATEREADER_VALUE("",E493,H493)</f>
        <v>0</v>
      </c>
      <c r="J503" s="4">
        <f>T1.PLATEREADER_VALUE("",E493,H493)</f>
        <v>0</v>
      </c>
      <c r="K503" s="4">
        <f>T1.PLATEREADER_VALUE("",E493,H493)</f>
        <v>0</v>
      </c>
      <c r="L503" s="4">
        <f>T1.PLATEREADER_VALUE("",E493,H493)</f>
        <v>0</v>
      </c>
      <c r="M503" s="4">
        <f>T1.PLATEREADER_VALUE("",E493,H493)</f>
        <v>0</v>
      </c>
      <c r="N503" s="4">
        <f>T1.PLATEREADER_VALUE("",E493,H493)</f>
        <v>0</v>
      </c>
      <c r="P503" s="33" t="s">
        <v>798</v>
      </c>
      <c r="Q503" s="3" t="e">
        <f>T1.role("CPD*","RAW_DATA","avr")</f>
        <v>#REF!</v>
      </c>
    </row>
    <row r="504" spans="1:25" ht="11.25" customHeight="1">
      <c r="A504" s="6"/>
      <c r="B504" s="5"/>
      <c r="D504" s="3"/>
      <c r="E504" s="3"/>
      <c r="F504" s="33"/>
      <c r="G504" s="3"/>
      <c r="I504" s="33"/>
      <c r="J504" s="7"/>
      <c r="K504" s="3"/>
      <c r="L504" s="33"/>
      <c r="M504" s="7"/>
      <c r="N504" s="3"/>
      <c r="O504" s="33"/>
      <c r="P504" s="7"/>
      <c r="Q504" s="3"/>
      <c r="R504" s="33"/>
      <c r="S504" s="3"/>
      <c r="U504" s="33"/>
      <c r="V504" s="3"/>
      <c r="X504" s="33"/>
      <c r="Y504" s="3"/>
    </row>
    <row r="505" spans="1:25" s="63" customFormat="1" ht="11.25" customHeight="1">
      <c r="A505" s="63" t="s">
        <v>2016</v>
      </c>
      <c r="D505" s="64" t="s">
        <v>806</v>
      </c>
      <c r="E505" s="65" t="s">
        <v>805</v>
      </c>
      <c r="G505" s="64" t="s">
        <v>2015</v>
      </c>
      <c r="H505" s="65">
        <v>1</v>
      </c>
      <c r="J505" s="64" t="s">
        <v>2017</v>
      </c>
      <c r="K505" s="65">
        <v>60</v>
      </c>
      <c r="M505" s="64" t="s">
        <v>2018</v>
      </c>
      <c r="N505" s="65" t="s">
        <v>2019</v>
      </c>
    </row>
    <row r="506" spans="1:25" s="35" customFormat="1" ht="11.25" hidden="1" customHeight="1">
      <c r="A506" s="27"/>
      <c r="B506" s="27"/>
    </row>
    <row r="507" spans="1:25" ht="11.25" hidden="1" customHeight="1">
      <c r="B507" s="1"/>
      <c r="C507" s="1">
        <v>1</v>
      </c>
      <c r="D507" s="1">
        <v>2</v>
      </c>
      <c r="E507" s="1">
        <v>3</v>
      </c>
      <c r="F507" s="1">
        <v>4</v>
      </c>
      <c r="G507" s="1">
        <v>5</v>
      </c>
      <c r="H507" s="1">
        <v>6</v>
      </c>
      <c r="I507" s="1">
        <v>7</v>
      </c>
      <c r="J507" s="1">
        <v>8</v>
      </c>
      <c r="K507" s="1">
        <v>9</v>
      </c>
      <c r="L507" s="1">
        <v>10</v>
      </c>
      <c r="M507" s="1">
        <v>11</v>
      </c>
      <c r="N507" s="1">
        <v>12</v>
      </c>
    </row>
    <row r="508" spans="1:25" ht="11.25" hidden="1" customHeight="1">
      <c r="B508" s="1" t="s">
        <v>415</v>
      </c>
      <c r="C508" s="4">
        <f>T1.PLATEREADER_VALUE("",E505,H505,K505,N505)</f>
        <v>0</v>
      </c>
      <c r="D508" s="4">
        <f>T1.PLATEREADER_VALUE("",E505,H505,K505,N505)</f>
        <v>0</v>
      </c>
      <c r="E508" s="4">
        <f>T1.PLATEREADER_VALUE("",E505,H505,K505,N505)</f>
        <v>0</v>
      </c>
      <c r="F508" s="4">
        <f>T1.PLATEREADER_VALUE("",E505,H505,K505,N505)</f>
        <v>0</v>
      </c>
      <c r="G508" s="4">
        <f>T1.PLATEREADER_VALUE("",E505,H505,K505,N505)</f>
        <v>0</v>
      </c>
      <c r="H508" s="4">
        <f>T1.PLATEREADER_VALUE("",E505,H505,K505,N505)</f>
        <v>0</v>
      </c>
      <c r="I508" s="4">
        <f>T1.PLATEREADER_VALUE("",E505,H505,K505,N505)</f>
        <v>0</v>
      </c>
      <c r="J508" s="4">
        <f>T1.PLATEREADER_VALUE("",E505,H505,K505,N505)</f>
        <v>0</v>
      </c>
      <c r="K508" s="4">
        <f>T1.PLATEREADER_VALUE("",E505,H505,K505,N505)</f>
        <v>0</v>
      </c>
      <c r="L508" s="4">
        <f>T1.PLATEREADER_VALUE("",E505,H505,K505,N505)</f>
        <v>0</v>
      </c>
      <c r="M508" s="4">
        <f>T1.PLATEREADER_VALUE("",E505,H505,K505,N505)</f>
        <v>0</v>
      </c>
      <c r="N508" s="4">
        <f>T1.PLATEREADER_VALUE("",E505,H505,K505,N505)</f>
        <v>0</v>
      </c>
      <c r="P508" s="10" t="s">
        <v>752</v>
      </c>
      <c r="Q508" s="3" t="e">
        <f>T1.Label("RAW_DATA","sb")</f>
        <v>#REF!</v>
      </c>
    </row>
    <row r="509" spans="1:25" ht="11.25" hidden="1" customHeight="1">
      <c r="B509" s="1" t="s">
        <v>416</v>
      </c>
      <c r="C509" s="4">
        <f>T1.PLATEREADER_VALUE("",E505,H505,K505,N505)</f>
        <v>0</v>
      </c>
      <c r="D509" s="4">
        <f>T1.PLATEREADER_VALUE("",E505,H505,K505,N505)</f>
        <v>0</v>
      </c>
      <c r="E509" s="4">
        <f>T1.PLATEREADER_VALUE("",E505,H505,K505,N505)</f>
        <v>0</v>
      </c>
      <c r="F509" s="4">
        <f>T1.PLATEREADER_VALUE("",E505,H505,K505,N505)</f>
        <v>0</v>
      </c>
      <c r="G509" s="4">
        <f>T1.PLATEREADER_VALUE("",E505,H505,K505,N505)</f>
        <v>0</v>
      </c>
      <c r="H509" s="4">
        <f>T1.PLATEREADER_VALUE("",E505,H505,K505,N505)</f>
        <v>0</v>
      </c>
      <c r="I509" s="4">
        <f>T1.PLATEREADER_VALUE("",E505,H505,K505,N505)</f>
        <v>0</v>
      </c>
      <c r="J509" s="4">
        <f>T1.PLATEREADER_VALUE("",E505,H505,K505,N505)</f>
        <v>0</v>
      </c>
      <c r="K509" s="4">
        <f>T1.PLATEREADER_VALUE("",E505,H505,K505,N505)</f>
        <v>0</v>
      </c>
      <c r="L509" s="4">
        <f>T1.PLATEREADER_VALUE("",E505,H505,K505,N505)</f>
        <v>0</v>
      </c>
      <c r="M509" s="4">
        <f>T1.PLATEREADER_VALUE("",E505,H505,K505,N505)</f>
        <v>0</v>
      </c>
      <c r="N509" s="4">
        <f>T1.PLATEREADER_VALUE("",E505,H505,K505,N505)</f>
        <v>0</v>
      </c>
      <c r="P509" s="33" t="s">
        <v>753</v>
      </c>
      <c r="Q509" s="3" t="e">
        <f>T1.Label("RAW_DATA","sn")</f>
        <v>#REF!</v>
      </c>
    </row>
    <row r="510" spans="1:25" ht="11.25" hidden="1" customHeight="1">
      <c r="B510" s="1" t="s">
        <v>417</v>
      </c>
      <c r="C510" s="4">
        <f>T1.PLATEREADER_VALUE("",E505,H505,K505,N505)</f>
        <v>0</v>
      </c>
      <c r="D510" s="4">
        <f>T1.PLATEREADER_VALUE("",E505,H505,K505,N505)</f>
        <v>0</v>
      </c>
      <c r="E510" s="4">
        <f>T1.PLATEREADER_VALUE("",E505,H505,K505,N505)</f>
        <v>0</v>
      </c>
      <c r="F510" s="4">
        <f>T1.PLATEREADER_VALUE("",E505,H505,K505,N505)</f>
        <v>0</v>
      </c>
      <c r="G510" s="4">
        <f>T1.PLATEREADER_VALUE("",E505,H505,K505,N505)</f>
        <v>0</v>
      </c>
      <c r="H510" s="4">
        <f>T1.PLATEREADER_VALUE("",E505,H505,K505,N505)</f>
        <v>0</v>
      </c>
      <c r="I510" s="4">
        <f>T1.PLATEREADER_VALUE("",E505,H505,K505,N505)</f>
        <v>0</v>
      </c>
      <c r="J510" s="4">
        <f>T1.PLATEREADER_VALUE("",E505,H505,K505,N505)</f>
        <v>0</v>
      </c>
      <c r="K510" s="4">
        <f>T1.PLATEREADER_VALUE("",E505,H505,K505,N505)</f>
        <v>0</v>
      </c>
      <c r="L510" s="4">
        <f>T1.PLATEREADER_VALUE("",E505,H505,K505,N505)</f>
        <v>0</v>
      </c>
      <c r="M510" s="4">
        <f>T1.PLATEREADER_VALUE("",E505,H505,K505,N505)</f>
        <v>0</v>
      </c>
      <c r="N510" s="4">
        <f>T1.PLATEREADER_VALUE("",E505,H505,K505,N505)</f>
        <v>0</v>
      </c>
      <c r="P510" s="33" t="s">
        <v>751</v>
      </c>
      <c r="Q510" s="7" t="e">
        <f>T1.Label("RAW_DATA","zprime")</f>
        <v>#REF!</v>
      </c>
    </row>
    <row r="511" spans="1:25" ht="11.25" hidden="1" customHeight="1">
      <c r="B511" s="1" t="s">
        <v>418</v>
      </c>
      <c r="C511" s="4">
        <f>T1.PLATEREADER_VALUE("",E505,H505,K505,N505)</f>
        <v>0</v>
      </c>
      <c r="D511" s="4">
        <f>T1.PLATEREADER_VALUE("",E505,H505,K505,N505)</f>
        <v>0</v>
      </c>
      <c r="E511" s="4">
        <f>T1.PLATEREADER_VALUE("",E505,H505,K505,N505)</f>
        <v>0</v>
      </c>
      <c r="F511" s="4">
        <f>T1.PLATEREADER_VALUE("",E505,H505,K505,N505)</f>
        <v>0</v>
      </c>
      <c r="G511" s="4">
        <f>T1.PLATEREADER_VALUE("",E505,H505,K505,N505)</f>
        <v>0</v>
      </c>
      <c r="H511" s="4">
        <f>T1.PLATEREADER_VALUE("",E505,H505,K505,N505)</f>
        <v>0</v>
      </c>
      <c r="I511" s="4">
        <f>T1.PLATEREADER_VALUE("",E505,H505,K505,N505)</f>
        <v>0</v>
      </c>
      <c r="J511" s="4">
        <f>T1.PLATEREADER_VALUE("",E505,H505,K505,N505)</f>
        <v>0</v>
      </c>
      <c r="K511" s="4">
        <f>T1.PLATEREADER_VALUE("",E505,H505,K505,N505)</f>
        <v>0</v>
      </c>
      <c r="L511" s="4">
        <f>T1.PLATEREADER_VALUE("",E505,H505,K505,N505)</f>
        <v>0</v>
      </c>
      <c r="M511" s="4">
        <f>T1.PLATEREADER_VALUE("",E505,H505,K505,N505)</f>
        <v>0</v>
      </c>
      <c r="N511" s="4">
        <f>T1.PLATEREADER_VALUE("",E505,H505,K505,N505)</f>
        <v>0</v>
      </c>
      <c r="P511" s="33" t="s">
        <v>754</v>
      </c>
      <c r="Q511" s="7" t="e">
        <f>T1.role("MAX","RAW_DATA","cvp")</f>
        <v>#REF!</v>
      </c>
    </row>
    <row r="512" spans="1:25" ht="11.25" hidden="1" customHeight="1">
      <c r="B512" s="1" t="s">
        <v>419</v>
      </c>
      <c r="C512" s="4">
        <f>T1.PLATEREADER_VALUE("",E505,H505,K505,N505)</f>
        <v>0</v>
      </c>
      <c r="D512" s="4">
        <f>T1.PLATEREADER_VALUE("",E505,H505,K505,N505)</f>
        <v>0</v>
      </c>
      <c r="E512" s="4">
        <f>T1.PLATEREADER_VALUE("",E505,H505,K505,N505)</f>
        <v>0</v>
      </c>
      <c r="F512" s="4">
        <f>T1.PLATEREADER_VALUE("",E505,H505,K505,N505)</f>
        <v>0</v>
      </c>
      <c r="G512" s="4">
        <f>T1.PLATEREADER_VALUE("",E505,H505,K505,N505)</f>
        <v>0</v>
      </c>
      <c r="H512" s="4">
        <f>T1.PLATEREADER_VALUE("",E505,H505,K505,N505)</f>
        <v>0</v>
      </c>
      <c r="I512" s="4">
        <f>T1.PLATEREADER_VALUE("",E505,H505,K505,N505)</f>
        <v>0</v>
      </c>
      <c r="J512" s="4">
        <f>T1.PLATEREADER_VALUE("",E505,H505,K505,N505)</f>
        <v>0</v>
      </c>
      <c r="K512" s="4">
        <f>T1.PLATEREADER_VALUE("",E505,H505,K505,N505)</f>
        <v>0</v>
      </c>
      <c r="L512" s="4">
        <f>T1.PLATEREADER_VALUE("",E505,H505,K505,N505)</f>
        <v>0</v>
      </c>
      <c r="M512" s="4">
        <f>T1.PLATEREADER_VALUE("",E505,H505,K505,N505)</f>
        <v>0</v>
      </c>
      <c r="N512" s="4">
        <f>T1.PLATEREADER_VALUE("",E505,H505,K505,N505)</f>
        <v>0</v>
      </c>
      <c r="P512" s="33" t="s">
        <v>755</v>
      </c>
      <c r="Q512" s="7" t="e">
        <f>T1.role("MIN","RAW_DATA","cvp")</f>
        <v>#REF!</v>
      </c>
    </row>
    <row r="513" spans="1:26" ht="11.25" hidden="1" customHeight="1">
      <c r="B513" s="1" t="s">
        <v>420</v>
      </c>
      <c r="C513" s="4">
        <f>T1.PLATEREADER_VALUE("",E505,H505,K505,N505)</f>
        <v>0</v>
      </c>
      <c r="D513" s="4">
        <f>T1.PLATEREADER_VALUE("",E505,H505,K505,N505)</f>
        <v>0</v>
      </c>
      <c r="E513" s="4">
        <f>T1.PLATEREADER_VALUE("",E505,H505,K505,N505)</f>
        <v>0</v>
      </c>
      <c r="F513" s="4">
        <f>T1.PLATEREADER_VALUE("",E505,H505,K505,N505)</f>
        <v>0</v>
      </c>
      <c r="G513" s="4">
        <f>T1.PLATEREADER_VALUE("",E505,H505,K505,N505)</f>
        <v>0</v>
      </c>
      <c r="H513" s="4">
        <f>T1.PLATEREADER_VALUE("",E505,H505,K505,N505)</f>
        <v>0</v>
      </c>
      <c r="I513" s="4">
        <f>T1.PLATEREADER_VALUE("",E505,H505,K505,N505)</f>
        <v>0</v>
      </c>
      <c r="J513" s="4">
        <f>T1.PLATEREADER_VALUE("",E505,H505,K505,N505)</f>
        <v>0</v>
      </c>
      <c r="K513" s="4">
        <f>T1.PLATEREADER_VALUE("",E505,H505,K505,N505)</f>
        <v>0</v>
      </c>
      <c r="L513" s="4">
        <f>T1.PLATEREADER_VALUE("",E505,H505,K505,N505)</f>
        <v>0</v>
      </c>
      <c r="M513" s="4">
        <f>T1.PLATEREADER_VALUE("",E505,H505,K505,N505)</f>
        <v>0</v>
      </c>
      <c r="N513" s="4">
        <f>T1.PLATEREADER_VALUE("",E505,H505,K505,N505)</f>
        <v>0</v>
      </c>
      <c r="P513" s="33" t="s">
        <v>756</v>
      </c>
      <c r="Q513" s="3" t="e">
        <f>T1.role("MAX","RAW_DATA","avr")</f>
        <v>#REF!</v>
      </c>
    </row>
    <row r="514" spans="1:26" ht="11.25" hidden="1" customHeight="1">
      <c r="B514" s="1" t="s">
        <v>421</v>
      </c>
      <c r="C514" s="4">
        <f>T1.PLATEREADER_VALUE("",E505,H505,K505,N505)</f>
        <v>0</v>
      </c>
      <c r="D514" s="4">
        <f>T1.PLATEREADER_VALUE("",E505,H505,K505,N505)</f>
        <v>0</v>
      </c>
      <c r="E514" s="4">
        <f>T1.PLATEREADER_VALUE("",E505,H505,K505,N505)</f>
        <v>0</v>
      </c>
      <c r="F514" s="4">
        <f>T1.PLATEREADER_VALUE("",E505,H505,K505,N505)</f>
        <v>0</v>
      </c>
      <c r="G514" s="4">
        <f>T1.PLATEREADER_VALUE("",E505,H505,K505,N505)</f>
        <v>0</v>
      </c>
      <c r="H514" s="4">
        <f>T1.PLATEREADER_VALUE("",E505,H505,K505,N505)</f>
        <v>0</v>
      </c>
      <c r="I514" s="4">
        <f>T1.PLATEREADER_VALUE("",E505,H505,K505,N505)</f>
        <v>0</v>
      </c>
      <c r="J514" s="4">
        <f>T1.PLATEREADER_VALUE("",E505,H505,K505,N505)</f>
        <v>0</v>
      </c>
      <c r="K514" s="4">
        <f>T1.PLATEREADER_VALUE("",E505,H505,K505,N505)</f>
        <v>0</v>
      </c>
      <c r="L514" s="4">
        <f>T1.PLATEREADER_VALUE("",E505,H505,K505,N505)</f>
        <v>0</v>
      </c>
      <c r="M514" s="4">
        <f>T1.PLATEREADER_VALUE("",E505,H505,K505,N505)</f>
        <v>0</v>
      </c>
      <c r="N514" s="4">
        <f>T1.PLATEREADER_VALUE("",E505,H505,K505,N505)</f>
        <v>0</v>
      </c>
      <c r="P514" s="33" t="s">
        <v>757</v>
      </c>
      <c r="Q514" s="3" t="e">
        <f>T1.role("MIN","RAW_DATA","avr")</f>
        <v>#REF!</v>
      </c>
    </row>
    <row r="515" spans="1:26" ht="11.25" hidden="1" customHeight="1">
      <c r="B515" s="1" t="s">
        <v>422</v>
      </c>
      <c r="C515" s="4">
        <f>T1.PLATEREADER_VALUE("",E505,H505,K505,N505)</f>
        <v>0</v>
      </c>
      <c r="D515" s="4">
        <f>T1.PLATEREADER_VALUE("",E505,H505,K505,N505)</f>
        <v>0</v>
      </c>
      <c r="E515" s="4">
        <f>T1.PLATEREADER_VALUE("",E505,H505,K505,N505)</f>
        <v>0</v>
      </c>
      <c r="F515" s="4">
        <f>T1.PLATEREADER_VALUE("",E505,H505,K505,N505)</f>
        <v>0</v>
      </c>
      <c r="G515" s="4">
        <f>T1.PLATEREADER_VALUE("",E505,H505,K505,N505)</f>
        <v>0</v>
      </c>
      <c r="H515" s="4">
        <f>T1.PLATEREADER_VALUE("",E505,H505,K505,N505)</f>
        <v>0</v>
      </c>
      <c r="I515" s="4">
        <f>T1.PLATEREADER_VALUE("",E505,H505,K505,N505)</f>
        <v>0</v>
      </c>
      <c r="J515" s="4">
        <f>T1.PLATEREADER_VALUE("",E505,H505,K505,N505)</f>
        <v>0</v>
      </c>
      <c r="K515" s="4">
        <f>T1.PLATEREADER_VALUE("",E505,H505,K505,N505)</f>
        <v>0</v>
      </c>
      <c r="L515" s="4">
        <f>T1.PLATEREADER_VALUE("",E505,H505,K505,N505)</f>
        <v>0</v>
      </c>
      <c r="M515" s="4">
        <f>T1.PLATEREADER_VALUE("",E505,H505,K505,N505)</f>
        <v>0</v>
      </c>
      <c r="N515" s="4">
        <f>T1.PLATEREADER_VALUE("",E505,H505,K505,N505)</f>
        <v>0</v>
      </c>
      <c r="P515" s="33" t="s">
        <v>798</v>
      </c>
      <c r="Q515" s="3" t="e">
        <f>T1.role("CPD*","RAW_DATA","avr")</f>
        <v>#REF!</v>
      </c>
    </row>
    <row r="516" spans="1:26" ht="11.25" customHeight="1">
      <c r="A516" s="6"/>
      <c r="B516" s="5"/>
      <c r="D516" s="3"/>
      <c r="E516" s="3"/>
      <c r="F516" s="33"/>
      <c r="G516" s="3"/>
      <c r="I516" s="33"/>
      <c r="J516" s="7"/>
      <c r="K516" s="3"/>
      <c r="L516" s="33"/>
      <c r="M516" s="7"/>
      <c r="N516" s="3"/>
      <c r="O516" s="33"/>
      <c r="P516" s="7"/>
      <c r="Q516" s="3"/>
      <c r="R516" s="33"/>
      <c r="S516" s="3"/>
      <c r="U516" s="33"/>
      <c r="V516" s="3"/>
      <c r="X516" s="33"/>
      <c r="Y516" s="3"/>
    </row>
    <row r="517" spans="1:26" s="63" customFormat="1" ht="11.25" customHeight="1">
      <c r="A517" s="63" t="s">
        <v>2021</v>
      </c>
      <c r="D517" s="64" t="s">
        <v>806</v>
      </c>
      <c r="E517" s="65" t="s">
        <v>805</v>
      </c>
      <c r="G517" s="64" t="s">
        <v>2015</v>
      </c>
      <c r="H517" s="65">
        <v>1</v>
      </c>
    </row>
    <row r="518" spans="1:26" s="35" customFormat="1" ht="11.25" hidden="1" customHeight="1">
      <c r="A518" s="27"/>
      <c r="B518" s="27"/>
    </row>
    <row r="519" spans="1:26" ht="11.25" hidden="1" customHeight="1">
      <c r="B519" s="1"/>
      <c r="C519" s="1">
        <v>1</v>
      </c>
      <c r="D519" s="1">
        <v>2</v>
      </c>
      <c r="E519" s="1">
        <v>3</v>
      </c>
      <c r="F519" s="1">
        <v>4</v>
      </c>
      <c r="G519" s="1">
        <v>5</v>
      </c>
      <c r="H519" s="1">
        <v>6</v>
      </c>
      <c r="I519" s="1">
        <v>7</v>
      </c>
      <c r="J519" s="1">
        <v>8</v>
      </c>
      <c r="K519" s="1">
        <v>9</v>
      </c>
      <c r="L519" s="1">
        <v>10</v>
      </c>
      <c r="M519" s="1">
        <v>11</v>
      </c>
      <c r="N519" s="1">
        <v>12</v>
      </c>
      <c r="O519" s="1">
        <v>13</v>
      </c>
      <c r="P519" s="1">
        <v>14</v>
      </c>
      <c r="Q519" s="1">
        <v>15</v>
      </c>
      <c r="R519" s="1">
        <v>16</v>
      </c>
      <c r="S519" s="1">
        <v>17</v>
      </c>
      <c r="T519" s="1">
        <v>18</v>
      </c>
      <c r="U519" s="1">
        <v>19</v>
      </c>
      <c r="V519" s="1">
        <v>20</v>
      </c>
      <c r="W519" s="1">
        <v>21</v>
      </c>
      <c r="X519" s="1">
        <v>22</v>
      </c>
      <c r="Y519" s="1">
        <v>23</v>
      </c>
      <c r="Z519" s="1">
        <v>24</v>
      </c>
    </row>
    <row r="520" spans="1:26" ht="11.25" hidden="1" customHeight="1">
      <c r="B520" s="1" t="s">
        <v>415</v>
      </c>
      <c r="C520" s="4">
        <f>T1.PLATEREADER_VALUE("",E517,H517)</f>
        <v>0</v>
      </c>
      <c r="D520" s="4">
        <f>T1.PLATEREADER_VALUE("",E517,H517)</f>
        <v>0</v>
      </c>
      <c r="E520" s="4">
        <f>T1.PLATEREADER_VALUE("",E517,H517)</f>
        <v>0</v>
      </c>
      <c r="F520" s="4">
        <f>T1.PLATEREADER_VALUE("",E517,H517)</f>
        <v>0</v>
      </c>
      <c r="G520" s="4">
        <f>T1.PLATEREADER_VALUE("",E517,H517)</f>
        <v>0</v>
      </c>
      <c r="H520" s="4">
        <f>T1.PLATEREADER_VALUE("",E517,H517)</f>
        <v>0</v>
      </c>
      <c r="I520" s="4">
        <f>T1.PLATEREADER_VALUE("",E517,H517)</f>
        <v>0</v>
      </c>
      <c r="J520" s="4">
        <f>T1.PLATEREADER_VALUE("",E517,H517)</f>
        <v>0</v>
      </c>
      <c r="K520" s="4">
        <f>T1.PLATEREADER_VALUE("",E517,H517)</f>
        <v>0</v>
      </c>
      <c r="L520" s="4">
        <f>T1.PLATEREADER_VALUE("",E517,H517)</f>
        <v>0</v>
      </c>
      <c r="M520" s="4">
        <f>T1.PLATEREADER_VALUE("",E517,H517)</f>
        <v>0</v>
      </c>
      <c r="N520" s="4">
        <f>T1.PLATEREADER_VALUE("",E517,H517)</f>
        <v>0</v>
      </c>
      <c r="O520" s="4">
        <f>T1.PLATEREADER_VALUE("",E517,H517)</f>
        <v>0</v>
      </c>
      <c r="P520" s="4">
        <f>T1.PLATEREADER_VALUE("",E517,H517)</f>
        <v>0</v>
      </c>
      <c r="Q520" s="4">
        <f>T1.PLATEREADER_VALUE("",E517,H517)</f>
        <v>0</v>
      </c>
      <c r="R520" s="4">
        <f>T1.PLATEREADER_VALUE("",E517,H517)</f>
        <v>0</v>
      </c>
      <c r="S520" s="4">
        <f>T1.PLATEREADER_VALUE("",E517,H517)</f>
        <v>0</v>
      </c>
      <c r="T520" s="4">
        <f>T1.PLATEREADER_VALUE("",E517,H517)</f>
        <v>0</v>
      </c>
      <c r="U520" s="4">
        <f>T1.PLATEREADER_VALUE("",E517,H517)</f>
        <v>0</v>
      </c>
      <c r="V520" s="4">
        <f>T1.PLATEREADER_VALUE("",E517,H517)</f>
        <v>0</v>
      </c>
      <c r="W520" s="4">
        <f>T1.PLATEREADER_VALUE("",E517,H517)</f>
        <v>0</v>
      </c>
      <c r="X520" s="4">
        <f>T1.PLATEREADER_VALUE("",E517,H517)</f>
        <v>0</v>
      </c>
      <c r="Y520" s="4">
        <f>T1.PLATEREADER_VALUE("",E517,H517)</f>
        <v>0</v>
      </c>
      <c r="Z520" s="4">
        <f>T1.PLATEREADER_VALUE("",E517,H517)</f>
        <v>0</v>
      </c>
    </row>
    <row r="521" spans="1:26" ht="11.25" hidden="1" customHeight="1">
      <c r="B521" s="1" t="s">
        <v>416</v>
      </c>
      <c r="C521" s="4">
        <f>T1.PLATEREADER_VALUE("",E517,H517)</f>
        <v>0</v>
      </c>
      <c r="D521" s="4">
        <f>T1.PLATEREADER_VALUE("",E517,H517)</f>
        <v>0</v>
      </c>
      <c r="E521" s="4">
        <f>T1.PLATEREADER_VALUE("",E517,H517)</f>
        <v>0</v>
      </c>
      <c r="F521" s="4">
        <f>T1.PLATEREADER_VALUE("",E517,H517)</f>
        <v>0</v>
      </c>
      <c r="G521" s="4">
        <f>T1.PLATEREADER_VALUE("",E517,H517)</f>
        <v>0</v>
      </c>
      <c r="H521" s="4">
        <f>T1.PLATEREADER_VALUE("",E517,H517)</f>
        <v>0</v>
      </c>
      <c r="I521" s="4">
        <f>T1.PLATEREADER_VALUE("",E517,H517)</f>
        <v>0</v>
      </c>
      <c r="J521" s="4">
        <f>T1.PLATEREADER_VALUE("",E517,H517)</f>
        <v>0</v>
      </c>
      <c r="K521" s="4">
        <f>T1.PLATEREADER_VALUE("",E517,H517)</f>
        <v>0</v>
      </c>
      <c r="L521" s="4">
        <f>T1.PLATEREADER_VALUE("",E517,H517)</f>
        <v>0</v>
      </c>
      <c r="M521" s="4">
        <f>T1.PLATEREADER_VALUE("",E517,H517)</f>
        <v>0</v>
      </c>
      <c r="N521" s="4">
        <f>T1.PLATEREADER_VALUE("",E517,H517)</f>
        <v>0</v>
      </c>
      <c r="O521" s="4">
        <f>T1.PLATEREADER_VALUE("",E517,H517)</f>
        <v>0</v>
      </c>
      <c r="P521" s="4">
        <f>T1.PLATEREADER_VALUE("",E517,H517)</f>
        <v>0</v>
      </c>
      <c r="Q521" s="4">
        <f>T1.PLATEREADER_VALUE("",E517,H517)</f>
        <v>0</v>
      </c>
      <c r="R521" s="4">
        <f>T1.PLATEREADER_VALUE("",E517,H517)</f>
        <v>0</v>
      </c>
      <c r="S521" s="4">
        <f>T1.PLATEREADER_VALUE("",E517,H517)</f>
        <v>0</v>
      </c>
      <c r="T521" s="4">
        <f>T1.PLATEREADER_VALUE("",E517,H517)</f>
        <v>0</v>
      </c>
      <c r="U521" s="4">
        <f>T1.PLATEREADER_VALUE("",E517,H517)</f>
        <v>0</v>
      </c>
      <c r="V521" s="4">
        <f>T1.PLATEREADER_VALUE("",E517,H517)</f>
        <v>0</v>
      </c>
      <c r="W521" s="4">
        <f>T1.PLATEREADER_VALUE("",E517,H517)</f>
        <v>0</v>
      </c>
      <c r="X521" s="4">
        <f>T1.PLATEREADER_VALUE("",E517,H517)</f>
        <v>0</v>
      </c>
      <c r="Y521" s="4">
        <f>T1.PLATEREADER_VALUE("",E517,H517)</f>
        <v>0</v>
      </c>
      <c r="Z521" s="4">
        <f>T1.PLATEREADER_VALUE("",E517,H517)</f>
        <v>0</v>
      </c>
    </row>
    <row r="522" spans="1:26" ht="11.25" hidden="1" customHeight="1">
      <c r="B522" s="1" t="s">
        <v>417</v>
      </c>
      <c r="C522" s="4">
        <f>T1.PLATEREADER_VALUE("",E517,H517)</f>
        <v>0</v>
      </c>
      <c r="D522" s="4">
        <f>T1.PLATEREADER_VALUE("",E517,H517)</f>
        <v>0</v>
      </c>
      <c r="E522" s="4">
        <f>T1.PLATEREADER_VALUE("",E517,H517)</f>
        <v>0</v>
      </c>
      <c r="F522" s="4">
        <f>T1.PLATEREADER_VALUE("",E517,H517)</f>
        <v>0</v>
      </c>
      <c r="G522" s="4">
        <f>T1.PLATEREADER_VALUE("",E517,H517)</f>
        <v>0</v>
      </c>
      <c r="H522" s="4">
        <f>T1.PLATEREADER_VALUE("",E517,H517)</f>
        <v>0</v>
      </c>
      <c r="I522" s="4">
        <f>T1.PLATEREADER_VALUE("",E517,H517)</f>
        <v>0</v>
      </c>
      <c r="J522" s="4">
        <f>T1.PLATEREADER_VALUE("",E517,H517)</f>
        <v>0</v>
      </c>
      <c r="K522" s="4">
        <f>T1.PLATEREADER_VALUE("",E517,H517)</f>
        <v>0</v>
      </c>
      <c r="L522" s="4">
        <f>T1.PLATEREADER_VALUE("",E517,H517)</f>
        <v>0</v>
      </c>
      <c r="M522" s="4">
        <f>T1.PLATEREADER_VALUE("",E517,H517)</f>
        <v>0</v>
      </c>
      <c r="N522" s="4">
        <f>T1.PLATEREADER_VALUE("",E517,H517)</f>
        <v>0</v>
      </c>
      <c r="O522" s="4">
        <f>T1.PLATEREADER_VALUE("",E517,H517)</f>
        <v>0</v>
      </c>
      <c r="P522" s="4">
        <f>T1.PLATEREADER_VALUE("",E517,H517)</f>
        <v>0</v>
      </c>
      <c r="Q522" s="4">
        <f>T1.PLATEREADER_VALUE("",E517,H517)</f>
        <v>0</v>
      </c>
      <c r="R522" s="4">
        <f>T1.PLATEREADER_VALUE("",E517,H517)</f>
        <v>0</v>
      </c>
      <c r="S522" s="4">
        <f>T1.PLATEREADER_VALUE("",E517,H517)</f>
        <v>0</v>
      </c>
      <c r="T522" s="4">
        <f>T1.PLATEREADER_VALUE("",E517,H517)</f>
        <v>0</v>
      </c>
      <c r="U522" s="4">
        <f>T1.PLATEREADER_VALUE("",E517,H517)</f>
        <v>0</v>
      </c>
      <c r="V522" s="4">
        <f>T1.PLATEREADER_VALUE("",E517,H517)</f>
        <v>0</v>
      </c>
      <c r="W522" s="4">
        <f>T1.PLATEREADER_VALUE("",E517,H517)</f>
        <v>0</v>
      </c>
      <c r="X522" s="4">
        <f>T1.PLATEREADER_VALUE("",E517,H517)</f>
        <v>0</v>
      </c>
      <c r="Y522" s="4">
        <f>T1.PLATEREADER_VALUE("",E517,H517)</f>
        <v>0</v>
      </c>
      <c r="Z522" s="4">
        <f>T1.PLATEREADER_VALUE("",E517,H517)</f>
        <v>0</v>
      </c>
    </row>
    <row r="523" spans="1:26" ht="11.25" hidden="1" customHeight="1">
      <c r="B523" s="1" t="s">
        <v>418</v>
      </c>
      <c r="C523" s="4">
        <f>T1.PLATEREADER_VALUE("",E517,H517)</f>
        <v>0</v>
      </c>
      <c r="D523" s="4">
        <f>T1.PLATEREADER_VALUE("",E517,H517)</f>
        <v>0</v>
      </c>
      <c r="E523" s="4">
        <f>T1.PLATEREADER_VALUE("",E517,H517)</f>
        <v>0</v>
      </c>
      <c r="F523" s="4">
        <f>T1.PLATEREADER_VALUE("",E517,H517)</f>
        <v>0</v>
      </c>
      <c r="G523" s="4">
        <f>T1.PLATEREADER_VALUE("",E517,H517)</f>
        <v>0</v>
      </c>
      <c r="H523" s="4">
        <f>T1.PLATEREADER_VALUE("",E517,H517)</f>
        <v>0</v>
      </c>
      <c r="I523" s="4">
        <f>T1.PLATEREADER_VALUE("",E517,H517)</f>
        <v>0</v>
      </c>
      <c r="J523" s="4">
        <f>T1.PLATEREADER_VALUE("",E517,H517)</f>
        <v>0</v>
      </c>
      <c r="K523" s="4">
        <f>T1.PLATEREADER_VALUE("",E517,H517)</f>
        <v>0</v>
      </c>
      <c r="L523" s="4">
        <f>T1.PLATEREADER_VALUE("",E517,H517)</f>
        <v>0</v>
      </c>
      <c r="M523" s="4">
        <f>T1.PLATEREADER_VALUE("",E517,H517)</f>
        <v>0</v>
      </c>
      <c r="N523" s="4">
        <f>T1.PLATEREADER_VALUE("",E517,H517)</f>
        <v>0</v>
      </c>
      <c r="O523" s="4">
        <f>T1.PLATEREADER_VALUE("",E517,H517)</f>
        <v>0</v>
      </c>
      <c r="P523" s="4">
        <f>T1.PLATEREADER_VALUE("",E517,H517)</f>
        <v>0</v>
      </c>
      <c r="Q523" s="4">
        <f>T1.PLATEREADER_VALUE("",E517,H517)</f>
        <v>0</v>
      </c>
      <c r="R523" s="4">
        <f>T1.PLATEREADER_VALUE("",E517,H517)</f>
        <v>0</v>
      </c>
      <c r="S523" s="4">
        <f>T1.PLATEREADER_VALUE("",E517,H517)</f>
        <v>0</v>
      </c>
      <c r="T523" s="4">
        <f>T1.PLATEREADER_VALUE("",E517,H517)</f>
        <v>0</v>
      </c>
      <c r="U523" s="4">
        <f>T1.PLATEREADER_VALUE("",E517,H517)</f>
        <v>0</v>
      </c>
      <c r="V523" s="4">
        <f>T1.PLATEREADER_VALUE("",E517,H517)</f>
        <v>0</v>
      </c>
      <c r="W523" s="4">
        <f>T1.PLATEREADER_VALUE("",E517,H517)</f>
        <v>0</v>
      </c>
      <c r="X523" s="4">
        <f>T1.PLATEREADER_VALUE("",E517,H517)</f>
        <v>0</v>
      </c>
      <c r="Y523" s="4">
        <f>T1.PLATEREADER_VALUE("",E517,H517)</f>
        <v>0</v>
      </c>
      <c r="Z523" s="4">
        <f>T1.PLATEREADER_VALUE("",E517,H517)</f>
        <v>0</v>
      </c>
    </row>
    <row r="524" spans="1:26" ht="11.25" hidden="1" customHeight="1">
      <c r="B524" s="1" t="s">
        <v>419</v>
      </c>
      <c r="C524" s="4">
        <f>T1.PLATEREADER_VALUE("",E517,H517)</f>
        <v>0</v>
      </c>
      <c r="D524" s="4">
        <f>T1.PLATEREADER_VALUE("",E517,H517)</f>
        <v>0</v>
      </c>
      <c r="E524" s="4">
        <f>T1.PLATEREADER_VALUE("",E517,H517)</f>
        <v>0</v>
      </c>
      <c r="F524" s="4">
        <f>T1.PLATEREADER_VALUE("",E517,H517)</f>
        <v>0</v>
      </c>
      <c r="G524" s="4">
        <f>T1.PLATEREADER_VALUE("",E517,H517)</f>
        <v>0</v>
      </c>
      <c r="H524" s="4">
        <f>T1.PLATEREADER_VALUE("",E517,H517)</f>
        <v>0</v>
      </c>
      <c r="I524" s="4">
        <f>T1.PLATEREADER_VALUE("",E517,H517)</f>
        <v>0</v>
      </c>
      <c r="J524" s="4">
        <f>T1.PLATEREADER_VALUE("",E517,H517)</f>
        <v>0</v>
      </c>
      <c r="K524" s="4">
        <f>T1.PLATEREADER_VALUE("",E517,H517)</f>
        <v>0</v>
      </c>
      <c r="L524" s="4">
        <f>T1.PLATEREADER_VALUE("",E517,H517)</f>
        <v>0</v>
      </c>
      <c r="M524" s="4">
        <f>T1.PLATEREADER_VALUE("",E517,H517)</f>
        <v>0</v>
      </c>
      <c r="N524" s="4">
        <f>T1.PLATEREADER_VALUE("",E517,H517)</f>
        <v>0</v>
      </c>
      <c r="O524" s="4">
        <f>T1.PLATEREADER_VALUE("",E517,H517)</f>
        <v>0</v>
      </c>
      <c r="P524" s="4">
        <f>T1.PLATEREADER_VALUE("",E517,H517)</f>
        <v>0</v>
      </c>
      <c r="Q524" s="4">
        <f>T1.PLATEREADER_VALUE("",E517,H517)</f>
        <v>0</v>
      </c>
      <c r="R524" s="4">
        <f>T1.PLATEREADER_VALUE("",E517,H517)</f>
        <v>0</v>
      </c>
      <c r="S524" s="4">
        <f>T1.PLATEREADER_VALUE("",E517,H517)</f>
        <v>0</v>
      </c>
      <c r="T524" s="4">
        <f>T1.PLATEREADER_VALUE("",E517,H517)</f>
        <v>0</v>
      </c>
      <c r="U524" s="4">
        <f>T1.PLATEREADER_VALUE("",E517,H517)</f>
        <v>0</v>
      </c>
      <c r="V524" s="4">
        <f>T1.PLATEREADER_VALUE("",E517,H517)</f>
        <v>0</v>
      </c>
      <c r="W524" s="4">
        <f>T1.PLATEREADER_VALUE("",E517,H517)</f>
        <v>0</v>
      </c>
      <c r="X524" s="4">
        <f>T1.PLATEREADER_VALUE("",E517,H517)</f>
        <v>0</v>
      </c>
      <c r="Y524" s="4">
        <f>T1.PLATEREADER_VALUE("",E517,H517)</f>
        <v>0</v>
      </c>
      <c r="Z524" s="4">
        <f>T1.PLATEREADER_VALUE("",E517,H517)</f>
        <v>0</v>
      </c>
    </row>
    <row r="525" spans="1:26" ht="11.25" hidden="1" customHeight="1">
      <c r="B525" s="1" t="s">
        <v>420</v>
      </c>
      <c r="C525" s="4">
        <f>T1.PLATEREADER_VALUE("",E517,H517)</f>
        <v>0</v>
      </c>
      <c r="D525" s="4">
        <f>T1.PLATEREADER_VALUE("",E517,H517)</f>
        <v>0</v>
      </c>
      <c r="E525" s="4">
        <f>T1.PLATEREADER_VALUE("",E517,H517)</f>
        <v>0</v>
      </c>
      <c r="F525" s="4">
        <f>T1.PLATEREADER_VALUE("",E517,H517)</f>
        <v>0</v>
      </c>
      <c r="G525" s="4">
        <f>T1.PLATEREADER_VALUE("",E517,H517)</f>
        <v>0</v>
      </c>
      <c r="H525" s="4">
        <f>T1.PLATEREADER_VALUE("",E517,H517)</f>
        <v>0</v>
      </c>
      <c r="I525" s="4">
        <f>T1.PLATEREADER_VALUE("",E517,H517)</f>
        <v>0</v>
      </c>
      <c r="J525" s="4">
        <f>T1.PLATEREADER_VALUE("",E517,H517)</f>
        <v>0</v>
      </c>
      <c r="K525" s="4">
        <f>T1.PLATEREADER_VALUE("",E517,H517)</f>
        <v>0</v>
      </c>
      <c r="L525" s="4">
        <f>T1.PLATEREADER_VALUE("",E517,H517)</f>
        <v>0</v>
      </c>
      <c r="M525" s="4">
        <f>T1.PLATEREADER_VALUE("",E517,H517)</f>
        <v>0</v>
      </c>
      <c r="N525" s="4">
        <f>T1.PLATEREADER_VALUE("",E517,H517)</f>
        <v>0</v>
      </c>
      <c r="O525" s="4">
        <f>T1.PLATEREADER_VALUE("",E517,H517)</f>
        <v>0</v>
      </c>
      <c r="P525" s="4">
        <f>T1.PLATEREADER_VALUE("",E517,H517)</f>
        <v>0</v>
      </c>
      <c r="Q525" s="4">
        <f>T1.PLATEREADER_VALUE("",E517,H517)</f>
        <v>0</v>
      </c>
      <c r="R525" s="4">
        <f>T1.PLATEREADER_VALUE("",E517,H517)</f>
        <v>0</v>
      </c>
      <c r="S525" s="4">
        <f>T1.PLATEREADER_VALUE("",E517,H517)</f>
        <v>0</v>
      </c>
      <c r="T525" s="4">
        <f>T1.PLATEREADER_VALUE("",E517,H517)</f>
        <v>0</v>
      </c>
      <c r="U525" s="4">
        <f>T1.PLATEREADER_VALUE("",E517,H517)</f>
        <v>0</v>
      </c>
      <c r="V525" s="4">
        <f>T1.PLATEREADER_VALUE("",E517,H517)</f>
        <v>0</v>
      </c>
      <c r="W525" s="4">
        <f>T1.PLATEREADER_VALUE("",E517,H517)</f>
        <v>0</v>
      </c>
      <c r="X525" s="4">
        <f>T1.PLATEREADER_VALUE("",E517,H517)</f>
        <v>0</v>
      </c>
      <c r="Y525" s="4">
        <f>T1.PLATEREADER_VALUE("",E517,H517)</f>
        <v>0</v>
      </c>
      <c r="Z525" s="4">
        <f>T1.PLATEREADER_VALUE("",E517,H517)</f>
        <v>0</v>
      </c>
    </row>
    <row r="526" spans="1:26" ht="11.25" hidden="1" customHeight="1">
      <c r="B526" s="1" t="s">
        <v>421</v>
      </c>
      <c r="C526" s="4">
        <f>T1.PLATEREADER_VALUE("",E517,H517)</f>
        <v>0</v>
      </c>
      <c r="D526" s="4">
        <f>T1.PLATEREADER_VALUE("",E517,H517)</f>
        <v>0</v>
      </c>
      <c r="E526" s="4">
        <f>T1.PLATEREADER_VALUE("",E517,H517)</f>
        <v>0</v>
      </c>
      <c r="F526" s="4">
        <f>T1.PLATEREADER_VALUE("",E517,H517)</f>
        <v>0</v>
      </c>
      <c r="G526" s="4">
        <f>T1.PLATEREADER_VALUE("",E517,H517)</f>
        <v>0</v>
      </c>
      <c r="H526" s="4">
        <f>T1.PLATEREADER_VALUE("",E517,H517)</f>
        <v>0</v>
      </c>
      <c r="I526" s="4">
        <f>T1.PLATEREADER_VALUE("",E517,H517)</f>
        <v>0</v>
      </c>
      <c r="J526" s="4">
        <f>T1.PLATEREADER_VALUE("",E517,H517)</f>
        <v>0</v>
      </c>
      <c r="K526" s="4">
        <f>T1.PLATEREADER_VALUE("",E517,H517)</f>
        <v>0</v>
      </c>
      <c r="L526" s="4">
        <f>T1.PLATEREADER_VALUE("",E517,H517)</f>
        <v>0</v>
      </c>
      <c r="M526" s="4">
        <f>T1.PLATEREADER_VALUE("",E517,H517)</f>
        <v>0</v>
      </c>
      <c r="N526" s="4">
        <f>T1.PLATEREADER_VALUE("",E517,H517)</f>
        <v>0</v>
      </c>
      <c r="O526" s="4">
        <f>T1.PLATEREADER_VALUE("",E517,H517)</f>
        <v>0</v>
      </c>
      <c r="P526" s="4">
        <f>T1.PLATEREADER_VALUE("",E517,H517)</f>
        <v>0</v>
      </c>
      <c r="Q526" s="4">
        <f>T1.PLATEREADER_VALUE("",E517,H517)</f>
        <v>0</v>
      </c>
      <c r="R526" s="4">
        <f>T1.PLATEREADER_VALUE("",E517,H517)</f>
        <v>0</v>
      </c>
      <c r="S526" s="4">
        <f>T1.PLATEREADER_VALUE("",E517,H517)</f>
        <v>0</v>
      </c>
      <c r="T526" s="4">
        <f>T1.PLATEREADER_VALUE("",E517,H517)</f>
        <v>0</v>
      </c>
      <c r="U526" s="4">
        <f>T1.PLATEREADER_VALUE("",E517,H517)</f>
        <v>0</v>
      </c>
      <c r="V526" s="4">
        <f>T1.PLATEREADER_VALUE("",E517,H517)</f>
        <v>0</v>
      </c>
      <c r="W526" s="4">
        <f>T1.PLATEREADER_VALUE("",E517,H517)</f>
        <v>0</v>
      </c>
      <c r="X526" s="4">
        <f>T1.PLATEREADER_VALUE("",E517,H517)</f>
        <v>0</v>
      </c>
      <c r="Y526" s="4">
        <f>T1.PLATEREADER_VALUE("",E517,H517)</f>
        <v>0</v>
      </c>
      <c r="Z526" s="4">
        <f>T1.PLATEREADER_VALUE("",E517,H517)</f>
        <v>0</v>
      </c>
    </row>
    <row r="527" spans="1:26" ht="11.25" hidden="1" customHeight="1">
      <c r="B527" s="1" t="s">
        <v>422</v>
      </c>
      <c r="C527" s="4">
        <f>T1.PLATEREADER_VALUE("",E517,H517)</f>
        <v>0</v>
      </c>
      <c r="D527" s="4">
        <f>T1.PLATEREADER_VALUE("",E517,H517)</f>
        <v>0</v>
      </c>
      <c r="E527" s="4">
        <f>T1.PLATEREADER_VALUE("",E517,H517)</f>
        <v>0</v>
      </c>
      <c r="F527" s="4">
        <f>T1.PLATEREADER_VALUE("",E517,H517)</f>
        <v>0</v>
      </c>
      <c r="G527" s="4">
        <f>T1.PLATEREADER_VALUE("",E517,H517)</f>
        <v>0</v>
      </c>
      <c r="H527" s="4">
        <f>T1.PLATEREADER_VALUE("",E517,H517)</f>
        <v>0</v>
      </c>
      <c r="I527" s="4">
        <f>T1.PLATEREADER_VALUE("",E517,H517)</f>
        <v>0</v>
      </c>
      <c r="J527" s="4">
        <f>T1.PLATEREADER_VALUE("",E517,H517)</f>
        <v>0</v>
      </c>
      <c r="K527" s="4">
        <f>T1.PLATEREADER_VALUE("",E517,H517)</f>
        <v>0</v>
      </c>
      <c r="L527" s="4">
        <f>T1.PLATEREADER_VALUE("",E517,H517)</f>
        <v>0</v>
      </c>
      <c r="M527" s="4">
        <f>T1.PLATEREADER_VALUE("",E517,H517)</f>
        <v>0</v>
      </c>
      <c r="N527" s="4">
        <f>T1.PLATEREADER_VALUE("",E517,H517)</f>
        <v>0</v>
      </c>
      <c r="O527" s="4">
        <f>T1.PLATEREADER_VALUE("",E517,H517)</f>
        <v>0</v>
      </c>
      <c r="P527" s="4">
        <f>T1.PLATEREADER_VALUE("",E517,H517)</f>
        <v>0</v>
      </c>
      <c r="Q527" s="4">
        <f>T1.PLATEREADER_VALUE("",E517,H517)</f>
        <v>0</v>
      </c>
      <c r="R527" s="4">
        <f>T1.PLATEREADER_VALUE("",E517,H517)</f>
        <v>0</v>
      </c>
      <c r="S527" s="4">
        <f>T1.PLATEREADER_VALUE("",E517,H517)</f>
        <v>0</v>
      </c>
      <c r="T527" s="4">
        <f>T1.PLATEREADER_VALUE("",E517,H517)</f>
        <v>0</v>
      </c>
      <c r="U527" s="4">
        <f>T1.PLATEREADER_VALUE("",E517,H517)</f>
        <v>0</v>
      </c>
      <c r="V527" s="4">
        <f>T1.PLATEREADER_VALUE("",E517,H517)</f>
        <v>0</v>
      </c>
      <c r="W527" s="4">
        <f>T1.PLATEREADER_VALUE("",E517,H517)</f>
        <v>0</v>
      </c>
      <c r="X527" s="4">
        <f>T1.PLATEREADER_VALUE("",E517,H517)</f>
        <v>0</v>
      </c>
      <c r="Y527" s="4">
        <f>T1.PLATEREADER_VALUE("",E517,H517)</f>
        <v>0</v>
      </c>
      <c r="Z527" s="4">
        <f>T1.PLATEREADER_VALUE("",E517,H517)</f>
        <v>0</v>
      </c>
    </row>
    <row r="528" spans="1:26" ht="11.25" hidden="1" customHeight="1">
      <c r="B528" s="1" t="s">
        <v>423</v>
      </c>
      <c r="C528" s="4">
        <f>T1.PLATEREADER_VALUE("",E517,H517)</f>
        <v>0</v>
      </c>
      <c r="D528" s="4">
        <f>T1.PLATEREADER_VALUE("",E517,H517)</f>
        <v>0</v>
      </c>
      <c r="E528" s="4">
        <f>T1.PLATEREADER_VALUE("",E517,H517)</f>
        <v>0</v>
      </c>
      <c r="F528" s="4">
        <f>T1.PLATEREADER_VALUE("",E517,H517)</f>
        <v>0</v>
      </c>
      <c r="G528" s="4">
        <f>T1.PLATEREADER_VALUE("",E517,H517)</f>
        <v>0</v>
      </c>
      <c r="H528" s="4">
        <f>T1.PLATEREADER_VALUE("",E517,H517)</f>
        <v>0</v>
      </c>
      <c r="I528" s="4">
        <f>T1.PLATEREADER_VALUE("",E517,H517)</f>
        <v>0</v>
      </c>
      <c r="J528" s="4">
        <f>T1.PLATEREADER_VALUE("",E517,H517)</f>
        <v>0</v>
      </c>
      <c r="K528" s="4">
        <f>T1.PLATEREADER_VALUE("",E517,H517)</f>
        <v>0</v>
      </c>
      <c r="L528" s="4">
        <f>T1.PLATEREADER_VALUE("",E517,H517)</f>
        <v>0</v>
      </c>
      <c r="M528" s="4">
        <f>T1.PLATEREADER_VALUE("",E517,H517)</f>
        <v>0</v>
      </c>
      <c r="N528" s="4">
        <f>T1.PLATEREADER_VALUE("",E517,H517)</f>
        <v>0</v>
      </c>
      <c r="O528" s="4">
        <f>T1.PLATEREADER_VALUE("",E517,H517)</f>
        <v>0</v>
      </c>
      <c r="P528" s="4">
        <f>T1.PLATEREADER_VALUE("",E517,H517)</f>
        <v>0</v>
      </c>
      <c r="Q528" s="4">
        <f>T1.PLATEREADER_VALUE("",E517,H517)</f>
        <v>0</v>
      </c>
      <c r="R528" s="4">
        <f>T1.PLATEREADER_VALUE("",E517,H517)</f>
        <v>0</v>
      </c>
      <c r="S528" s="4">
        <f>T1.PLATEREADER_VALUE("",E517,H517)</f>
        <v>0</v>
      </c>
      <c r="T528" s="4">
        <f>T1.PLATEREADER_VALUE("",E517,H517)</f>
        <v>0</v>
      </c>
      <c r="U528" s="4">
        <f>T1.PLATEREADER_VALUE("",E517,H517)</f>
        <v>0</v>
      </c>
      <c r="V528" s="4">
        <f>T1.PLATEREADER_VALUE("",E517,H517)</f>
        <v>0</v>
      </c>
      <c r="W528" s="4">
        <f>T1.PLATEREADER_VALUE("",E517,H517)</f>
        <v>0</v>
      </c>
      <c r="X528" s="4">
        <f>T1.PLATEREADER_VALUE("",E517,H517)</f>
        <v>0</v>
      </c>
      <c r="Y528" s="4">
        <f>T1.PLATEREADER_VALUE("",E517,H517)</f>
        <v>0</v>
      </c>
      <c r="Z528" s="4">
        <f>T1.PLATEREADER_VALUE("",E517,H517)</f>
        <v>0</v>
      </c>
    </row>
    <row r="529" spans="1:26" ht="11.25" hidden="1" customHeight="1">
      <c r="B529" s="1" t="s">
        <v>424</v>
      </c>
      <c r="C529" s="4">
        <f>T1.PLATEREADER_VALUE("",E517,H517)</f>
        <v>0</v>
      </c>
      <c r="D529" s="4">
        <f>T1.PLATEREADER_VALUE("",E517,H517)</f>
        <v>0</v>
      </c>
      <c r="E529" s="4">
        <f>T1.PLATEREADER_VALUE("",E517,H517)</f>
        <v>0</v>
      </c>
      <c r="F529" s="4">
        <f>T1.PLATEREADER_VALUE("",E517,H517)</f>
        <v>0</v>
      </c>
      <c r="G529" s="4">
        <f>T1.PLATEREADER_VALUE("",E517,H517)</f>
        <v>0</v>
      </c>
      <c r="H529" s="4">
        <f>T1.PLATEREADER_VALUE("",E517,H517)</f>
        <v>0</v>
      </c>
      <c r="I529" s="4">
        <f>T1.PLATEREADER_VALUE("",E517,H517)</f>
        <v>0</v>
      </c>
      <c r="J529" s="4">
        <f>T1.PLATEREADER_VALUE("",E517,H517)</f>
        <v>0</v>
      </c>
      <c r="K529" s="4">
        <f>T1.PLATEREADER_VALUE("",E517,H517)</f>
        <v>0</v>
      </c>
      <c r="L529" s="4">
        <f>T1.PLATEREADER_VALUE("",E517,H517)</f>
        <v>0</v>
      </c>
      <c r="M529" s="4">
        <f>T1.PLATEREADER_VALUE("",E517,H517)</f>
        <v>0</v>
      </c>
      <c r="N529" s="4">
        <f>T1.PLATEREADER_VALUE("",E517,H517)</f>
        <v>0</v>
      </c>
      <c r="O529" s="4">
        <f>T1.PLATEREADER_VALUE("",E517,H517)</f>
        <v>0</v>
      </c>
      <c r="P529" s="4">
        <f>T1.PLATEREADER_VALUE("",E517,H517)</f>
        <v>0</v>
      </c>
      <c r="Q529" s="4">
        <f>T1.PLATEREADER_VALUE("",E517,H517)</f>
        <v>0</v>
      </c>
      <c r="R529" s="4">
        <f>T1.PLATEREADER_VALUE("",E517,H517)</f>
        <v>0</v>
      </c>
      <c r="S529" s="4">
        <f>T1.PLATEREADER_VALUE("",E517,H517)</f>
        <v>0</v>
      </c>
      <c r="T529" s="4">
        <f>T1.PLATEREADER_VALUE("",E517,H517)</f>
        <v>0</v>
      </c>
      <c r="U529" s="4">
        <f>T1.PLATEREADER_VALUE("",E517,H517)</f>
        <v>0</v>
      </c>
      <c r="V529" s="4">
        <f>T1.PLATEREADER_VALUE("",E517,H517)</f>
        <v>0</v>
      </c>
      <c r="W529" s="4">
        <f>T1.PLATEREADER_VALUE("",E517,H517)</f>
        <v>0</v>
      </c>
      <c r="X529" s="4">
        <f>T1.PLATEREADER_VALUE("",E517,H517)</f>
        <v>0</v>
      </c>
      <c r="Y529" s="4">
        <f>T1.PLATEREADER_VALUE("",E517,H517)</f>
        <v>0</v>
      </c>
      <c r="Z529" s="4">
        <f>T1.PLATEREADER_VALUE("",E517,H517)</f>
        <v>0</v>
      </c>
    </row>
    <row r="530" spans="1:26" ht="11.25" hidden="1" customHeight="1">
      <c r="B530" s="1" t="s">
        <v>425</v>
      </c>
      <c r="C530" s="4">
        <f>T1.PLATEREADER_VALUE("",E517,H517)</f>
        <v>0</v>
      </c>
      <c r="D530" s="4">
        <f>T1.PLATEREADER_VALUE("",E517,H517)</f>
        <v>0</v>
      </c>
      <c r="E530" s="4">
        <f>T1.PLATEREADER_VALUE("",E517,H517)</f>
        <v>0</v>
      </c>
      <c r="F530" s="4">
        <f>T1.PLATEREADER_VALUE("",E517,H517)</f>
        <v>0</v>
      </c>
      <c r="G530" s="4">
        <f>T1.PLATEREADER_VALUE("",E517,H517)</f>
        <v>0</v>
      </c>
      <c r="H530" s="4">
        <f>T1.PLATEREADER_VALUE("",E517,H517)</f>
        <v>0</v>
      </c>
      <c r="I530" s="4">
        <f>T1.PLATEREADER_VALUE("",E517,H517)</f>
        <v>0</v>
      </c>
      <c r="J530" s="4">
        <f>T1.PLATEREADER_VALUE("",E517,H517)</f>
        <v>0</v>
      </c>
      <c r="K530" s="4">
        <f>T1.PLATEREADER_VALUE("",E517,H517)</f>
        <v>0</v>
      </c>
      <c r="L530" s="4">
        <f>T1.PLATEREADER_VALUE("",E517,H517)</f>
        <v>0</v>
      </c>
      <c r="M530" s="4">
        <f>T1.PLATEREADER_VALUE("",E517,H517)</f>
        <v>0</v>
      </c>
      <c r="N530" s="4">
        <f>T1.PLATEREADER_VALUE("",E517,H517)</f>
        <v>0</v>
      </c>
      <c r="O530" s="4">
        <f>T1.PLATEREADER_VALUE("",E517,H517)</f>
        <v>0</v>
      </c>
      <c r="P530" s="4">
        <f>T1.PLATEREADER_VALUE("",E517,H517)</f>
        <v>0</v>
      </c>
      <c r="Q530" s="4">
        <f>T1.PLATEREADER_VALUE("",E517,H517)</f>
        <v>0</v>
      </c>
      <c r="R530" s="4">
        <f>T1.PLATEREADER_VALUE("",E517,H517)</f>
        <v>0</v>
      </c>
      <c r="S530" s="4">
        <f>T1.PLATEREADER_VALUE("",E517,H517)</f>
        <v>0</v>
      </c>
      <c r="T530" s="4">
        <f>T1.PLATEREADER_VALUE("",E517,H517)</f>
        <v>0</v>
      </c>
      <c r="U530" s="4">
        <f>T1.PLATEREADER_VALUE("",E517,H517)</f>
        <v>0</v>
      </c>
      <c r="V530" s="4">
        <f>T1.PLATEREADER_VALUE("",E517,H517)</f>
        <v>0</v>
      </c>
      <c r="W530" s="4">
        <f>T1.PLATEREADER_VALUE("",E517,H517)</f>
        <v>0</v>
      </c>
      <c r="X530" s="4">
        <f>T1.PLATEREADER_VALUE("",E517,H517)</f>
        <v>0</v>
      </c>
      <c r="Y530" s="4">
        <f>T1.PLATEREADER_VALUE("",E517,H517)</f>
        <v>0</v>
      </c>
      <c r="Z530" s="4">
        <f>T1.PLATEREADER_VALUE("",E517,H517)</f>
        <v>0</v>
      </c>
    </row>
    <row r="531" spans="1:26" ht="11.25" hidden="1" customHeight="1">
      <c r="B531" s="1" t="s">
        <v>426</v>
      </c>
      <c r="C531" s="4">
        <f>T1.PLATEREADER_VALUE("",E517,H517)</f>
        <v>0</v>
      </c>
      <c r="D531" s="4">
        <f>T1.PLATEREADER_VALUE("",E517,H517)</f>
        <v>0</v>
      </c>
      <c r="E531" s="4">
        <f>T1.PLATEREADER_VALUE("",E517,H517)</f>
        <v>0</v>
      </c>
      <c r="F531" s="4">
        <f>T1.PLATEREADER_VALUE("",E517,H517)</f>
        <v>0</v>
      </c>
      <c r="G531" s="4">
        <f>T1.PLATEREADER_VALUE("",E517,H517)</f>
        <v>0</v>
      </c>
      <c r="H531" s="4">
        <f>T1.PLATEREADER_VALUE("",E517,H517)</f>
        <v>0</v>
      </c>
      <c r="I531" s="4">
        <f>T1.PLATEREADER_VALUE("",E517,H517)</f>
        <v>0</v>
      </c>
      <c r="J531" s="4">
        <f>T1.PLATEREADER_VALUE("",E517,H517)</f>
        <v>0</v>
      </c>
      <c r="K531" s="4">
        <f>T1.PLATEREADER_VALUE("",E517,H517)</f>
        <v>0</v>
      </c>
      <c r="L531" s="4">
        <f>T1.PLATEREADER_VALUE("",E517,H517)</f>
        <v>0</v>
      </c>
      <c r="M531" s="4">
        <f>T1.PLATEREADER_VALUE("",E517,H517)</f>
        <v>0</v>
      </c>
      <c r="N531" s="4">
        <f>T1.PLATEREADER_VALUE("",E517,H517)</f>
        <v>0</v>
      </c>
      <c r="O531" s="4">
        <f>T1.PLATEREADER_VALUE("",E517,H517)</f>
        <v>0</v>
      </c>
      <c r="P531" s="4">
        <f>T1.PLATEREADER_VALUE("",E517,H517)</f>
        <v>0</v>
      </c>
      <c r="Q531" s="4">
        <f>T1.PLATEREADER_VALUE("",E517,H517)</f>
        <v>0</v>
      </c>
      <c r="R531" s="4">
        <f>T1.PLATEREADER_VALUE("",E517,H517)</f>
        <v>0</v>
      </c>
      <c r="S531" s="4">
        <f>T1.PLATEREADER_VALUE("",E517,H517)</f>
        <v>0</v>
      </c>
      <c r="T531" s="4">
        <f>T1.PLATEREADER_VALUE("",E517,H517)</f>
        <v>0</v>
      </c>
      <c r="U531" s="4">
        <f>T1.PLATEREADER_VALUE("",E517,H517)</f>
        <v>0</v>
      </c>
      <c r="V531" s="4">
        <f>T1.PLATEREADER_VALUE("",E517,H517)</f>
        <v>0</v>
      </c>
      <c r="W531" s="4">
        <f>T1.PLATEREADER_VALUE("",E517,H517)</f>
        <v>0</v>
      </c>
      <c r="X531" s="4">
        <f>T1.PLATEREADER_VALUE("",E517,H517)</f>
        <v>0</v>
      </c>
      <c r="Y531" s="4">
        <f>T1.PLATEREADER_VALUE("",E517,H517)</f>
        <v>0</v>
      </c>
      <c r="Z531" s="4">
        <f>T1.PLATEREADER_VALUE("",E517,H517)</f>
        <v>0</v>
      </c>
    </row>
    <row r="532" spans="1:26" ht="11.25" hidden="1" customHeight="1">
      <c r="B532" s="1" t="s">
        <v>427</v>
      </c>
      <c r="C532" s="4">
        <f>T1.PLATEREADER_VALUE("",E517,H517)</f>
        <v>0</v>
      </c>
      <c r="D532" s="4">
        <f>T1.PLATEREADER_VALUE("",E517,H517)</f>
        <v>0</v>
      </c>
      <c r="E532" s="4">
        <f>T1.PLATEREADER_VALUE("",E517,H517)</f>
        <v>0</v>
      </c>
      <c r="F532" s="4">
        <f>T1.PLATEREADER_VALUE("",E517,H517)</f>
        <v>0</v>
      </c>
      <c r="G532" s="4">
        <f>T1.PLATEREADER_VALUE("",E517,H517)</f>
        <v>0</v>
      </c>
      <c r="H532" s="4">
        <f>T1.PLATEREADER_VALUE("",E517,H517)</f>
        <v>0</v>
      </c>
      <c r="I532" s="4">
        <f>T1.PLATEREADER_VALUE("",E517,H517)</f>
        <v>0</v>
      </c>
      <c r="J532" s="4">
        <f>T1.PLATEREADER_VALUE("",E517,H517)</f>
        <v>0</v>
      </c>
      <c r="K532" s="4">
        <f>T1.PLATEREADER_VALUE("",E517,H517)</f>
        <v>0</v>
      </c>
      <c r="L532" s="4">
        <f>T1.PLATEREADER_VALUE("",E517,H517)</f>
        <v>0</v>
      </c>
      <c r="M532" s="4">
        <f>T1.PLATEREADER_VALUE("",E517,H517)</f>
        <v>0</v>
      </c>
      <c r="N532" s="4">
        <f>T1.PLATEREADER_VALUE("",E517,H517)</f>
        <v>0</v>
      </c>
      <c r="O532" s="4">
        <f>T1.PLATEREADER_VALUE("",E517,H517)</f>
        <v>0</v>
      </c>
      <c r="P532" s="4">
        <f>T1.PLATEREADER_VALUE("",E517,H517)</f>
        <v>0</v>
      </c>
      <c r="Q532" s="4">
        <f>T1.PLATEREADER_VALUE("",E517,H517)</f>
        <v>0</v>
      </c>
      <c r="R532" s="4">
        <f>T1.PLATEREADER_VALUE("",E517,H517)</f>
        <v>0</v>
      </c>
      <c r="S532" s="4">
        <f>T1.PLATEREADER_VALUE("",E517,H517)</f>
        <v>0</v>
      </c>
      <c r="T532" s="4">
        <f>T1.PLATEREADER_VALUE("",E517,H517)</f>
        <v>0</v>
      </c>
      <c r="U532" s="4">
        <f>T1.PLATEREADER_VALUE("",E517,H517)</f>
        <v>0</v>
      </c>
      <c r="V532" s="4">
        <f>T1.PLATEREADER_VALUE("",E517,H517)</f>
        <v>0</v>
      </c>
      <c r="W532" s="4">
        <f>T1.PLATEREADER_VALUE("",E517,H517)</f>
        <v>0</v>
      </c>
      <c r="X532" s="4">
        <f>T1.PLATEREADER_VALUE("",E517,H517)</f>
        <v>0</v>
      </c>
      <c r="Y532" s="4">
        <f>T1.PLATEREADER_VALUE("",E517,H517)</f>
        <v>0</v>
      </c>
      <c r="Z532" s="4">
        <f>T1.PLATEREADER_VALUE("",E517,H517)</f>
        <v>0</v>
      </c>
    </row>
    <row r="533" spans="1:26" ht="11.25" hidden="1" customHeight="1">
      <c r="B533" s="1" t="s">
        <v>428</v>
      </c>
      <c r="C533" s="4">
        <f>T1.PLATEREADER_VALUE("",E517,H517)</f>
        <v>0</v>
      </c>
      <c r="D533" s="4">
        <f>T1.PLATEREADER_VALUE("",E517,H517)</f>
        <v>0</v>
      </c>
      <c r="E533" s="4">
        <f>T1.PLATEREADER_VALUE("",E517,H517)</f>
        <v>0</v>
      </c>
      <c r="F533" s="4">
        <f>T1.PLATEREADER_VALUE("",E517,H517)</f>
        <v>0</v>
      </c>
      <c r="G533" s="4">
        <f>T1.PLATEREADER_VALUE("",E517,H517)</f>
        <v>0</v>
      </c>
      <c r="H533" s="4">
        <f>T1.PLATEREADER_VALUE("",E517,H517)</f>
        <v>0</v>
      </c>
      <c r="I533" s="4">
        <f>T1.PLATEREADER_VALUE("",E517,H517)</f>
        <v>0</v>
      </c>
      <c r="J533" s="4">
        <f>T1.PLATEREADER_VALUE("",E517,H517)</f>
        <v>0</v>
      </c>
      <c r="K533" s="4">
        <f>T1.PLATEREADER_VALUE("",E517,H517)</f>
        <v>0</v>
      </c>
      <c r="L533" s="4">
        <f>T1.PLATEREADER_VALUE("",E517,H517)</f>
        <v>0</v>
      </c>
      <c r="M533" s="4">
        <f>T1.PLATEREADER_VALUE("",E517,H517)</f>
        <v>0</v>
      </c>
      <c r="N533" s="4">
        <f>T1.PLATEREADER_VALUE("",E517,H517)</f>
        <v>0</v>
      </c>
      <c r="O533" s="4">
        <f>T1.PLATEREADER_VALUE("",E517,H517)</f>
        <v>0</v>
      </c>
      <c r="P533" s="4">
        <f>T1.PLATEREADER_VALUE("",E517,H517)</f>
        <v>0</v>
      </c>
      <c r="Q533" s="4">
        <f>T1.PLATEREADER_VALUE("",E517,H517)</f>
        <v>0</v>
      </c>
      <c r="R533" s="4">
        <f>T1.PLATEREADER_VALUE("",E517,H517)</f>
        <v>0</v>
      </c>
      <c r="S533" s="4">
        <f>T1.PLATEREADER_VALUE("",E517,H517)</f>
        <v>0</v>
      </c>
      <c r="T533" s="4">
        <f>T1.PLATEREADER_VALUE("",E517,H517)</f>
        <v>0</v>
      </c>
      <c r="U533" s="4">
        <f>T1.PLATEREADER_VALUE("",E517,H517)</f>
        <v>0</v>
      </c>
      <c r="V533" s="4">
        <f>T1.PLATEREADER_VALUE("",E517,H517)</f>
        <v>0</v>
      </c>
      <c r="W533" s="4">
        <f>T1.PLATEREADER_VALUE("",E517,H517)</f>
        <v>0</v>
      </c>
      <c r="X533" s="4">
        <f>T1.PLATEREADER_VALUE("",E517,H517)</f>
        <v>0</v>
      </c>
      <c r="Y533" s="4">
        <f>T1.PLATEREADER_VALUE("",E517,H517)</f>
        <v>0</v>
      </c>
      <c r="Z533" s="4">
        <f>T1.PLATEREADER_VALUE("",E517,H517)</f>
        <v>0</v>
      </c>
    </row>
    <row r="534" spans="1:26" ht="11.25" hidden="1" customHeight="1">
      <c r="B534" s="1" t="s">
        <v>429</v>
      </c>
      <c r="C534" s="4">
        <f>T1.PLATEREADER_VALUE("",E517,H517)</f>
        <v>0</v>
      </c>
      <c r="D534" s="4">
        <f>T1.PLATEREADER_VALUE("",E517,H517)</f>
        <v>0</v>
      </c>
      <c r="E534" s="4">
        <f>T1.PLATEREADER_VALUE("",E517,H517)</f>
        <v>0</v>
      </c>
      <c r="F534" s="4">
        <f>T1.PLATEREADER_VALUE("",E517,H517)</f>
        <v>0</v>
      </c>
      <c r="G534" s="4">
        <f>T1.PLATEREADER_VALUE("",E517,H517)</f>
        <v>0</v>
      </c>
      <c r="H534" s="4">
        <f>T1.PLATEREADER_VALUE("",E517,H517)</f>
        <v>0</v>
      </c>
      <c r="I534" s="4">
        <f>T1.PLATEREADER_VALUE("",E517,H517)</f>
        <v>0</v>
      </c>
      <c r="J534" s="4">
        <f>T1.PLATEREADER_VALUE("",E517,H517)</f>
        <v>0</v>
      </c>
      <c r="K534" s="4">
        <f>T1.PLATEREADER_VALUE("",E517,H517)</f>
        <v>0</v>
      </c>
      <c r="L534" s="4">
        <f>T1.PLATEREADER_VALUE("",E517,H517)</f>
        <v>0</v>
      </c>
      <c r="M534" s="4">
        <f>T1.PLATEREADER_VALUE("",E517,H517)</f>
        <v>0</v>
      </c>
      <c r="N534" s="4">
        <f>T1.PLATEREADER_VALUE("",E517,H517)</f>
        <v>0</v>
      </c>
      <c r="O534" s="4">
        <f>T1.PLATEREADER_VALUE("",E517,H517)</f>
        <v>0</v>
      </c>
      <c r="P534" s="4">
        <f>T1.PLATEREADER_VALUE("",E517,H517)</f>
        <v>0</v>
      </c>
      <c r="Q534" s="4">
        <f>T1.PLATEREADER_VALUE("",E517,H517)</f>
        <v>0</v>
      </c>
      <c r="R534" s="4">
        <f>T1.PLATEREADER_VALUE("",E517,H517)</f>
        <v>0</v>
      </c>
      <c r="S534" s="4">
        <f>T1.PLATEREADER_VALUE("",E517,H517)</f>
        <v>0</v>
      </c>
      <c r="T534" s="4">
        <f>T1.PLATEREADER_VALUE("",E517,H517)</f>
        <v>0</v>
      </c>
      <c r="U534" s="4">
        <f>T1.PLATEREADER_VALUE("",E517,H517)</f>
        <v>0</v>
      </c>
      <c r="V534" s="4">
        <f>T1.PLATEREADER_VALUE("",E517,H517)</f>
        <v>0</v>
      </c>
      <c r="W534" s="4">
        <f>T1.PLATEREADER_VALUE("",E517,H517)</f>
        <v>0</v>
      </c>
      <c r="X534" s="4">
        <f>T1.PLATEREADER_VALUE("",E517,H517)</f>
        <v>0</v>
      </c>
      <c r="Y534" s="4">
        <f>T1.PLATEREADER_VALUE("",E517,H517)</f>
        <v>0</v>
      </c>
      <c r="Z534" s="4">
        <f>T1.PLATEREADER_VALUE("",E517,H517)</f>
        <v>0</v>
      </c>
    </row>
    <row r="535" spans="1:26" ht="11.25" hidden="1" customHeight="1">
      <c r="B535" s="1" t="s">
        <v>430</v>
      </c>
      <c r="C535" s="4">
        <f>T1.PLATEREADER_VALUE("",E517,H517)</f>
        <v>0</v>
      </c>
      <c r="D535" s="4">
        <f>T1.PLATEREADER_VALUE("",E517,H517)</f>
        <v>0</v>
      </c>
      <c r="E535" s="4">
        <f>T1.PLATEREADER_VALUE("",E517,H517)</f>
        <v>0</v>
      </c>
      <c r="F535" s="4">
        <f>T1.PLATEREADER_VALUE("",E517,H517)</f>
        <v>0</v>
      </c>
      <c r="G535" s="4">
        <f>T1.PLATEREADER_VALUE("",E517,H517)</f>
        <v>0</v>
      </c>
      <c r="H535" s="4">
        <f>T1.PLATEREADER_VALUE("",E517,H517)</f>
        <v>0</v>
      </c>
      <c r="I535" s="4">
        <f>T1.PLATEREADER_VALUE("",E517,H517)</f>
        <v>0</v>
      </c>
      <c r="J535" s="4">
        <f>T1.PLATEREADER_VALUE("",E517,H517)</f>
        <v>0</v>
      </c>
      <c r="K535" s="4">
        <f>T1.PLATEREADER_VALUE("",E517,H517)</f>
        <v>0</v>
      </c>
      <c r="L535" s="4">
        <f>T1.PLATEREADER_VALUE("",E517,H517)</f>
        <v>0</v>
      </c>
      <c r="M535" s="4">
        <f>T1.PLATEREADER_VALUE("",E517,H517)</f>
        <v>0</v>
      </c>
      <c r="N535" s="4">
        <f>T1.PLATEREADER_VALUE("",E517,H517)</f>
        <v>0</v>
      </c>
      <c r="O535" s="4">
        <f>T1.PLATEREADER_VALUE("",E517,H517)</f>
        <v>0</v>
      </c>
      <c r="P535" s="4">
        <f>T1.PLATEREADER_VALUE("",E517,H517)</f>
        <v>0</v>
      </c>
      <c r="Q535" s="4">
        <f>T1.PLATEREADER_VALUE("",E517,H517)</f>
        <v>0</v>
      </c>
      <c r="R535" s="4">
        <f>T1.PLATEREADER_VALUE("",E517,H517)</f>
        <v>0</v>
      </c>
      <c r="S535" s="4">
        <f>T1.PLATEREADER_VALUE("",E517,H517)</f>
        <v>0</v>
      </c>
      <c r="T535" s="4">
        <f>T1.PLATEREADER_VALUE("",E517,H517)</f>
        <v>0</v>
      </c>
      <c r="U535" s="4">
        <f>T1.PLATEREADER_VALUE("",E517,H517)</f>
        <v>0</v>
      </c>
      <c r="V535" s="4">
        <f>T1.PLATEREADER_VALUE("",E517,H517)</f>
        <v>0</v>
      </c>
      <c r="W535" s="4">
        <f>T1.PLATEREADER_VALUE("",E517,H517)</f>
        <v>0</v>
      </c>
      <c r="X535" s="4">
        <f>T1.PLATEREADER_VALUE("",E517,H517)</f>
        <v>0</v>
      </c>
      <c r="Y535" s="4">
        <f>T1.PLATEREADER_VALUE("",E517,H517)</f>
        <v>0</v>
      </c>
      <c r="Z535" s="4">
        <f>T1.PLATEREADER_VALUE("",E517,H517)</f>
        <v>0</v>
      </c>
    </row>
    <row r="536" spans="1:26" ht="11.25" hidden="1" customHeight="1">
      <c r="B536" s="1"/>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1.25" hidden="1" customHeight="1">
      <c r="A537" s="6"/>
      <c r="B537" s="5"/>
      <c r="C537" s="10" t="s">
        <v>752</v>
      </c>
      <c r="D537" s="3" t="e">
        <f>T1.Label("RAW_DATA","sb")</f>
        <v>#REF!</v>
      </c>
      <c r="E537" s="3"/>
      <c r="F537" s="33" t="s">
        <v>753</v>
      </c>
      <c r="G537" s="3" t="e">
        <f>T1.Label("RAW_DATA","sn")</f>
        <v>#REF!</v>
      </c>
      <c r="I537" s="33" t="s">
        <v>751</v>
      </c>
      <c r="J537" s="7" t="e">
        <f>T1.Label("RAW_DATA","zprime")</f>
        <v>#REF!</v>
      </c>
      <c r="K537" s="3"/>
      <c r="L537" s="33" t="s">
        <v>754</v>
      </c>
      <c r="M537" s="7" t="e">
        <f>T1.role("MAX","RAW_DATA","cvp")</f>
        <v>#REF!</v>
      </c>
      <c r="N537" s="3"/>
      <c r="O537" s="33" t="s">
        <v>755</v>
      </c>
      <c r="P537" s="7" t="e">
        <f>T1.role("MIN","RAW_DATA","cvp")</f>
        <v>#REF!</v>
      </c>
      <c r="Q537" s="3"/>
      <c r="R537" s="33" t="s">
        <v>756</v>
      </c>
      <c r="S537" s="3" t="e">
        <f>T1.role("MAX","RAW_DATA","avr")</f>
        <v>#REF!</v>
      </c>
      <c r="U537" s="33" t="s">
        <v>757</v>
      </c>
      <c r="V537" s="3" t="e">
        <f>T1.role("MIN","RAW_DATA","avr")</f>
        <v>#REF!</v>
      </c>
      <c r="X537" s="33" t="s">
        <v>798</v>
      </c>
      <c r="Y537" s="3" t="e">
        <f>T1.role("CPD*","RAW_DATA","avr")</f>
        <v>#REF!</v>
      </c>
    </row>
    <row r="538" spans="1:26" ht="11.25" customHeight="1">
      <c r="A538" s="6"/>
      <c r="B538" s="5"/>
      <c r="D538" s="3"/>
      <c r="E538" s="3"/>
      <c r="F538" s="33"/>
      <c r="G538" s="3"/>
      <c r="I538" s="33"/>
      <c r="J538" s="7"/>
      <c r="K538" s="3"/>
      <c r="L538" s="33"/>
      <c r="M538" s="7"/>
      <c r="N538" s="3"/>
      <c r="O538" s="33"/>
      <c r="P538" s="7"/>
      <c r="Q538" s="3"/>
      <c r="R538" s="33"/>
      <c r="S538" s="3"/>
      <c r="U538" s="33"/>
      <c r="V538" s="3"/>
      <c r="X538" s="33"/>
      <c r="Y538" s="3"/>
    </row>
    <row r="539" spans="1:26" s="63" customFormat="1" ht="11.25" customHeight="1">
      <c r="A539" s="63" t="s">
        <v>2022</v>
      </c>
      <c r="D539" s="64" t="s">
        <v>806</v>
      </c>
      <c r="E539" s="65" t="s">
        <v>805</v>
      </c>
      <c r="G539" s="64" t="s">
        <v>2015</v>
      </c>
      <c r="H539" s="65">
        <v>1</v>
      </c>
      <c r="J539" s="64" t="s">
        <v>2017</v>
      </c>
      <c r="K539" s="65">
        <v>60</v>
      </c>
      <c r="M539" s="64" t="s">
        <v>2018</v>
      </c>
      <c r="N539" s="65" t="s">
        <v>2019</v>
      </c>
    </row>
    <row r="540" spans="1:26" s="35" customFormat="1" ht="11.25" hidden="1" customHeight="1">
      <c r="A540" s="27"/>
      <c r="B540" s="27"/>
    </row>
    <row r="541" spans="1:26" ht="11.25" hidden="1" customHeight="1">
      <c r="B541" s="1"/>
      <c r="C541" s="1">
        <v>1</v>
      </c>
      <c r="D541" s="1">
        <v>2</v>
      </c>
      <c r="E541" s="1">
        <v>3</v>
      </c>
      <c r="F541" s="1">
        <v>4</v>
      </c>
      <c r="G541" s="1">
        <v>5</v>
      </c>
      <c r="H541" s="1">
        <v>6</v>
      </c>
      <c r="I541" s="1">
        <v>7</v>
      </c>
      <c r="J541" s="1">
        <v>8</v>
      </c>
      <c r="K541" s="1">
        <v>9</v>
      </c>
      <c r="L541" s="1">
        <v>10</v>
      </c>
      <c r="M541" s="1">
        <v>11</v>
      </c>
      <c r="N541" s="1">
        <v>12</v>
      </c>
      <c r="O541" s="1">
        <v>13</v>
      </c>
      <c r="P541" s="1">
        <v>14</v>
      </c>
      <c r="Q541" s="1">
        <v>15</v>
      </c>
      <c r="R541" s="1">
        <v>16</v>
      </c>
      <c r="S541" s="1">
        <v>17</v>
      </c>
      <c r="T541" s="1">
        <v>18</v>
      </c>
      <c r="U541" s="1">
        <v>19</v>
      </c>
      <c r="V541" s="1">
        <v>20</v>
      </c>
      <c r="W541" s="1">
        <v>21</v>
      </c>
      <c r="X541" s="1">
        <v>22</v>
      </c>
      <c r="Y541" s="1">
        <v>23</v>
      </c>
      <c r="Z541" s="1">
        <v>24</v>
      </c>
    </row>
    <row r="542" spans="1:26" ht="11.25" hidden="1" customHeight="1">
      <c r="B542" s="1" t="s">
        <v>415</v>
      </c>
      <c r="C542" s="4">
        <f>T1.PLATEREADER_VALUE("",E539,H539,K539,N539)</f>
        <v>0</v>
      </c>
      <c r="D542" s="4">
        <f>T1.PLATEREADER_VALUE("",E539,H539,K539,N539)</f>
        <v>0</v>
      </c>
      <c r="E542" s="4">
        <f>T1.PLATEREADER_VALUE("",E539,H539,K539,N539)</f>
        <v>0</v>
      </c>
      <c r="F542" s="4">
        <f>T1.PLATEREADER_VALUE("",E539,H539,K539,N539)</f>
        <v>0</v>
      </c>
      <c r="G542" s="4">
        <f>T1.PLATEREADER_VALUE("",E539,H539,K539,N539)</f>
        <v>0</v>
      </c>
      <c r="H542" s="4">
        <f>T1.PLATEREADER_VALUE("",E539,H539,K539,N539)</f>
        <v>0</v>
      </c>
      <c r="I542" s="4">
        <f>T1.PLATEREADER_VALUE("",E539,H539,K539,N539)</f>
        <v>0</v>
      </c>
      <c r="J542" s="4">
        <f>T1.PLATEREADER_VALUE("",E539,H539,K539,N539)</f>
        <v>0</v>
      </c>
      <c r="K542" s="4">
        <f>T1.PLATEREADER_VALUE("",E539,H539,K539,N539)</f>
        <v>0</v>
      </c>
      <c r="L542" s="4">
        <f>T1.PLATEREADER_VALUE("",E539,H539,K539,N539)</f>
        <v>0</v>
      </c>
      <c r="M542" s="4">
        <f>T1.PLATEREADER_VALUE("",E539,H539,K539,N539)</f>
        <v>0</v>
      </c>
      <c r="N542" s="4">
        <f>T1.PLATEREADER_VALUE("",E539,H539,K539,N539)</f>
        <v>0</v>
      </c>
      <c r="O542" s="4">
        <f>T1.PLATEREADER_VALUE("",E539,H539,K539,N539)</f>
        <v>0</v>
      </c>
      <c r="P542" s="4">
        <f>T1.PLATEREADER_VALUE("",E539,H539,K539,N539)</f>
        <v>0</v>
      </c>
      <c r="Q542" s="4">
        <f>T1.PLATEREADER_VALUE("",E539,H539,K539,N539)</f>
        <v>0</v>
      </c>
      <c r="R542" s="4">
        <f>T1.PLATEREADER_VALUE("",E539,H539,K539,N539)</f>
        <v>0</v>
      </c>
      <c r="S542" s="4">
        <f>T1.PLATEREADER_VALUE("",E539,H539,K539,N539)</f>
        <v>0</v>
      </c>
      <c r="T542" s="4">
        <f>T1.PLATEREADER_VALUE("",E539,H539,K539,N539)</f>
        <v>0</v>
      </c>
      <c r="U542" s="4">
        <f>T1.PLATEREADER_VALUE("",E539,H539,K539,N539)</f>
        <v>0</v>
      </c>
      <c r="V542" s="4">
        <f>T1.PLATEREADER_VALUE("",E539,H539,K539,N539)</f>
        <v>0</v>
      </c>
      <c r="W542" s="4">
        <f>T1.PLATEREADER_VALUE("",E539,H539,K539,N539)</f>
        <v>0</v>
      </c>
      <c r="X542" s="4">
        <f>T1.PLATEREADER_VALUE("",E539,H539,K539,N539)</f>
        <v>0</v>
      </c>
      <c r="Y542" s="4">
        <f>T1.PLATEREADER_VALUE("",E539,H539,K539,N539)</f>
        <v>0</v>
      </c>
      <c r="Z542" s="4">
        <f>T1.PLATEREADER_VALUE("",E539,H539,K539,N539)</f>
        <v>0</v>
      </c>
    </row>
    <row r="543" spans="1:26" ht="11.25" hidden="1" customHeight="1">
      <c r="B543" s="1" t="s">
        <v>416</v>
      </c>
      <c r="C543" s="4">
        <f>T1.PLATEREADER_VALUE("",E539,H539,K539,N539)</f>
        <v>0</v>
      </c>
      <c r="D543" s="4">
        <f>T1.PLATEREADER_VALUE("",E539,H539,K539,N539)</f>
        <v>0</v>
      </c>
      <c r="E543" s="4">
        <f>T1.PLATEREADER_VALUE("",E539,H539,K539,N539)</f>
        <v>0</v>
      </c>
      <c r="F543" s="4">
        <f>T1.PLATEREADER_VALUE("",E539,H539,K539,N539)</f>
        <v>0</v>
      </c>
      <c r="G543" s="4">
        <f>T1.PLATEREADER_VALUE("",E539,H539,K539,N539)</f>
        <v>0</v>
      </c>
      <c r="H543" s="4">
        <f>T1.PLATEREADER_VALUE("",E539,H539,K539,N539)</f>
        <v>0</v>
      </c>
      <c r="I543" s="4">
        <f>T1.PLATEREADER_VALUE("",E539,H539,K539,N539)</f>
        <v>0</v>
      </c>
      <c r="J543" s="4">
        <f>T1.PLATEREADER_VALUE("",E539,H539,K539,N539)</f>
        <v>0</v>
      </c>
      <c r="K543" s="4">
        <f>T1.PLATEREADER_VALUE("",E539,H539,K539,N539)</f>
        <v>0</v>
      </c>
      <c r="L543" s="4">
        <f>T1.PLATEREADER_VALUE("",E539,H539,K539,N539)</f>
        <v>0</v>
      </c>
      <c r="M543" s="4">
        <f>T1.PLATEREADER_VALUE("",E539,H539,K539,N539)</f>
        <v>0</v>
      </c>
      <c r="N543" s="4">
        <f>T1.PLATEREADER_VALUE("",E539,H539,K539,N539)</f>
        <v>0</v>
      </c>
      <c r="O543" s="4">
        <f>T1.PLATEREADER_VALUE("",E539,H539,K539,N539)</f>
        <v>0</v>
      </c>
      <c r="P543" s="4">
        <f>T1.PLATEREADER_VALUE("",E539,H539,K539,N539)</f>
        <v>0</v>
      </c>
      <c r="Q543" s="4">
        <f>T1.PLATEREADER_VALUE("",E539,H539,K539,N539)</f>
        <v>0</v>
      </c>
      <c r="R543" s="4">
        <f>T1.PLATEREADER_VALUE("",E539,H539,K539,N539)</f>
        <v>0</v>
      </c>
      <c r="S543" s="4">
        <f>T1.PLATEREADER_VALUE("",E539,H539,K539,N539)</f>
        <v>0</v>
      </c>
      <c r="T543" s="4">
        <f>T1.PLATEREADER_VALUE("",E539,H539,K539,N539)</f>
        <v>0</v>
      </c>
      <c r="U543" s="4">
        <f>T1.PLATEREADER_VALUE("",E539,H539,K539,N539)</f>
        <v>0</v>
      </c>
      <c r="V543" s="4">
        <f>T1.PLATEREADER_VALUE("",E539,H539,K539,N539)</f>
        <v>0</v>
      </c>
      <c r="W543" s="4">
        <f>T1.PLATEREADER_VALUE("",E539,H539,K539,N539)</f>
        <v>0</v>
      </c>
      <c r="X543" s="4">
        <f>T1.PLATEREADER_VALUE("",E539,H539,K539,N539)</f>
        <v>0</v>
      </c>
      <c r="Y543" s="4">
        <f>T1.PLATEREADER_VALUE("",E539,H539,K539,N539)</f>
        <v>0</v>
      </c>
      <c r="Z543" s="4">
        <f>T1.PLATEREADER_VALUE("",E539,H539,K539,N539)</f>
        <v>0</v>
      </c>
    </row>
    <row r="544" spans="1:26" ht="11.25" hidden="1" customHeight="1">
      <c r="B544" s="1" t="s">
        <v>417</v>
      </c>
      <c r="C544" s="4">
        <f>T1.PLATEREADER_VALUE("",E539,H539,K539,N539)</f>
        <v>0</v>
      </c>
      <c r="D544" s="4">
        <f>T1.PLATEREADER_VALUE("",E539,H539,K539,N539)</f>
        <v>0</v>
      </c>
      <c r="E544" s="4">
        <f>T1.PLATEREADER_VALUE("",E539,H539,K539,N539)</f>
        <v>0</v>
      </c>
      <c r="F544" s="4">
        <f>T1.PLATEREADER_VALUE("",E539,H539,K539,N539)</f>
        <v>0</v>
      </c>
      <c r="G544" s="4">
        <f>T1.PLATEREADER_VALUE("",E539,H539,K539,N539)</f>
        <v>0</v>
      </c>
      <c r="H544" s="4">
        <f>T1.PLATEREADER_VALUE("",E539,H539,K539,N539)</f>
        <v>0</v>
      </c>
      <c r="I544" s="4">
        <f>T1.PLATEREADER_VALUE("",E539,H539,K539,N539)</f>
        <v>0</v>
      </c>
      <c r="J544" s="4">
        <f>T1.PLATEREADER_VALUE("",E539,H539,K539,N539)</f>
        <v>0</v>
      </c>
      <c r="K544" s="4">
        <f>T1.PLATEREADER_VALUE("",E539,H539,K539,N539)</f>
        <v>0</v>
      </c>
      <c r="L544" s="4">
        <f>T1.PLATEREADER_VALUE("",E539,H539,K539,N539)</f>
        <v>0</v>
      </c>
      <c r="M544" s="4">
        <f>T1.PLATEREADER_VALUE("",E539,H539,K539,N539)</f>
        <v>0</v>
      </c>
      <c r="N544" s="4">
        <f>T1.PLATEREADER_VALUE("",E539,H539,K539,N539)</f>
        <v>0</v>
      </c>
      <c r="O544" s="4">
        <f>T1.PLATEREADER_VALUE("",E539,H539,K539,N539)</f>
        <v>0</v>
      </c>
      <c r="P544" s="4">
        <f>T1.PLATEREADER_VALUE("",E539,H539,K539,N539)</f>
        <v>0</v>
      </c>
      <c r="Q544" s="4">
        <f>T1.PLATEREADER_VALUE("",E539,H539,K539,N539)</f>
        <v>0</v>
      </c>
      <c r="R544" s="4">
        <f>T1.PLATEREADER_VALUE("",E539,H539,K539,N539)</f>
        <v>0</v>
      </c>
      <c r="S544" s="4">
        <f>T1.PLATEREADER_VALUE("",E539,H539,K539,N539)</f>
        <v>0</v>
      </c>
      <c r="T544" s="4">
        <f>T1.PLATEREADER_VALUE("",E539,H539,K539,N539)</f>
        <v>0</v>
      </c>
      <c r="U544" s="4">
        <f>T1.PLATEREADER_VALUE("",E539,H539,K539,N539)</f>
        <v>0</v>
      </c>
      <c r="V544" s="4">
        <f>T1.PLATEREADER_VALUE("",E539,H539,K539,N539)</f>
        <v>0</v>
      </c>
      <c r="W544" s="4">
        <f>T1.PLATEREADER_VALUE("",E539,H539,K539,N539)</f>
        <v>0</v>
      </c>
      <c r="X544" s="4">
        <f>T1.PLATEREADER_VALUE("",E539,H539,K539,N539)</f>
        <v>0</v>
      </c>
      <c r="Y544" s="4">
        <f>T1.PLATEREADER_VALUE("",E539,H539,K539,N539)</f>
        <v>0</v>
      </c>
      <c r="Z544" s="4">
        <f>T1.PLATEREADER_VALUE("",E539,H539,K539,N539)</f>
        <v>0</v>
      </c>
    </row>
    <row r="545" spans="1:26" ht="11.25" hidden="1" customHeight="1">
      <c r="B545" s="1" t="s">
        <v>418</v>
      </c>
      <c r="C545" s="4">
        <f>T1.PLATEREADER_VALUE("",E539,H539,K539,N539)</f>
        <v>0</v>
      </c>
      <c r="D545" s="4">
        <f>T1.PLATEREADER_VALUE("",E539,H539,K539,N539)</f>
        <v>0</v>
      </c>
      <c r="E545" s="4">
        <f>T1.PLATEREADER_VALUE("",E539,H539,K539,N539)</f>
        <v>0</v>
      </c>
      <c r="F545" s="4">
        <f>T1.PLATEREADER_VALUE("",E539,H539,K539,N539)</f>
        <v>0</v>
      </c>
      <c r="G545" s="4">
        <f>T1.PLATEREADER_VALUE("",E539,H539,K539,N539)</f>
        <v>0</v>
      </c>
      <c r="H545" s="4">
        <f>T1.PLATEREADER_VALUE("",E539,H539,K539,N539)</f>
        <v>0</v>
      </c>
      <c r="I545" s="4">
        <f>T1.PLATEREADER_VALUE("",E539,H539,K539,N539)</f>
        <v>0</v>
      </c>
      <c r="J545" s="4">
        <f>T1.PLATEREADER_VALUE("",E539,H539,K539,N539)</f>
        <v>0</v>
      </c>
      <c r="K545" s="4">
        <f>T1.PLATEREADER_VALUE("",E539,H539,K539,N539)</f>
        <v>0</v>
      </c>
      <c r="L545" s="4">
        <f>T1.PLATEREADER_VALUE("",E539,H539,K539,N539)</f>
        <v>0</v>
      </c>
      <c r="M545" s="4">
        <f>T1.PLATEREADER_VALUE("",E539,H539,K539,N539)</f>
        <v>0</v>
      </c>
      <c r="N545" s="4">
        <f>T1.PLATEREADER_VALUE("",E539,H539,K539,N539)</f>
        <v>0</v>
      </c>
      <c r="O545" s="4">
        <f>T1.PLATEREADER_VALUE("",E539,H539,K539,N539)</f>
        <v>0</v>
      </c>
      <c r="P545" s="4">
        <f>T1.PLATEREADER_VALUE("",E539,H539,K539,N539)</f>
        <v>0</v>
      </c>
      <c r="Q545" s="4">
        <f>T1.PLATEREADER_VALUE("",E539,H539,K539,N539)</f>
        <v>0</v>
      </c>
      <c r="R545" s="4">
        <f>T1.PLATEREADER_VALUE("",E539,H539,K539,N539)</f>
        <v>0</v>
      </c>
      <c r="S545" s="4">
        <f>T1.PLATEREADER_VALUE("",E539,H539,K539,N539)</f>
        <v>0</v>
      </c>
      <c r="T545" s="4">
        <f>T1.PLATEREADER_VALUE("",E539,H539,K539,N539)</f>
        <v>0</v>
      </c>
      <c r="U545" s="4">
        <f>T1.PLATEREADER_VALUE("",E539,H539,K539,N539)</f>
        <v>0</v>
      </c>
      <c r="V545" s="4">
        <f>T1.PLATEREADER_VALUE("",E539,H539,K539,N539)</f>
        <v>0</v>
      </c>
      <c r="W545" s="4">
        <f>T1.PLATEREADER_VALUE("",E539,H539,K539,N539)</f>
        <v>0</v>
      </c>
      <c r="X545" s="4">
        <f>T1.PLATEREADER_VALUE("",E539,H539,K539,N539)</f>
        <v>0</v>
      </c>
      <c r="Y545" s="4">
        <f>T1.PLATEREADER_VALUE("",E539,H539,K539,N539)</f>
        <v>0</v>
      </c>
      <c r="Z545" s="4">
        <f>T1.PLATEREADER_VALUE("",E539,H539,K539,N539)</f>
        <v>0</v>
      </c>
    </row>
    <row r="546" spans="1:26" ht="11.25" hidden="1" customHeight="1">
      <c r="B546" s="1" t="s">
        <v>419</v>
      </c>
      <c r="C546" s="4">
        <f>T1.PLATEREADER_VALUE("",E539,H539,K539,N539)</f>
        <v>0</v>
      </c>
      <c r="D546" s="4">
        <f>T1.PLATEREADER_VALUE("",E539,H539,K539,N539)</f>
        <v>0</v>
      </c>
      <c r="E546" s="4">
        <f>T1.PLATEREADER_VALUE("",E539,H539,K539,N539)</f>
        <v>0</v>
      </c>
      <c r="F546" s="4">
        <f>T1.PLATEREADER_VALUE("",E539,H539,K539,N539)</f>
        <v>0</v>
      </c>
      <c r="G546" s="4">
        <f>T1.PLATEREADER_VALUE("",E539,H539,K539,N539)</f>
        <v>0</v>
      </c>
      <c r="H546" s="4">
        <f>T1.PLATEREADER_VALUE("",E539,H539,K539,N539)</f>
        <v>0</v>
      </c>
      <c r="I546" s="4">
        <f>T1.PLATEREADER_VALUE("",E539,H539,K539,N539)</f>
        <v>0</v>
      </c>
      <c r="J546" s="4">
        <f>T1.PLATEREADER_VALUE("",E539,H539,K539,N539)</f>
        <v>0</v>
      </c>
      <c r="K546" s="4">
        <f>T1.PLATEREADER_VALUE("",E539,H539,K539,N539)</f>
        <v>0</v>
      </c>
      <c r="L546" s="4">
        <f>T1.PLATEREADER_VALUE("",E539,H539,K539,N539)</f>
        <v>0</v>
      </c>
      <c r="M546" s="4">
        <f>T1.PLATEREADER_VALUE("",E539,H539,K539,N539)</f>
        <v>0</v>
      </c>
      <c r="N546" s="4">
        <f>T1.PLATEREADER_VALUE("",E539,H539,K539,N539)</f>
        <v>0</v>
      </c>
      <c r="O546" s="4">
        <f>T1.PLATEREADER_VALUE("",E539,H539,K539,N539)</f>
        <v>0</v>
      </c>
      <c r="P546" s="4">
        <f>T1.PLATEREADER_VALUE("",E539,H539,K539,N539)</f>
        <v>0</v>
      </c>
      <c r="Q546" s="4">
        <f>T1.PLATEREADER_VALUE("",E539,H539,K539,N539)</f>
        <v>0</v>
      </c>
      <c r="R546" s="4">
        <f>T1.PLATEREADER_VALUE("",E539,H539,K539,N539)</f>
        <v>0</v>
      </c>
      <c r="S546" s="4">
        <f>T1.PLATEREADER_VALUE("",E539,H539,K539,N539)</f>
        <v>0</v>
      </c>
      <c r="T546" s="4">
        <f>T1.PLATEREADER_VALUE("",E539,H539,K539,N539)</f>
        <v>0</v>
      </c>
      <c r="U546" s="4">
        <f>T1.PLATEREADER_VALUE("",E539,H539,K539,N539)</f>
        <v>0</v>
      </c>
      <c r="V546" s="4">
        <f>T1.PLATEREADER_VALUE("",E539,H539,K539,N539)</f>
        <v>0</v>
      </c>
      <c r="W546" s="4">
        <f>T1.PLATEREADER_VALUE("",E539,H539,K539,N539)</f>
        <v>0</v>
      </c>
      <c r="X546" s="4">
        <f>T1.PLATEREADER_VALUE("",E539,H539,K539,N539)</f>
        <v>0</v>
      </c>
      <c r="Y546" s="4">
        <f>T1.PLATEREADER_VALUE("",E539,H539,K539,N539)</f>
        <v>0</v>
      </c>
      <c r="Z546" s="4">
        <f>T1.PLATEREADER_VALUE("",E539,H539,K539,N539)</f>
        <v>0</v>
      </c>
    </row>
    <row r="547" spans="1:26" ht="11.25" hidden="1" customHeight="1">
      <c r="B547" s="1" t="s">
        <v>420</v>
      </c>
      <c r="C547" s="4">
        <f>T1.PLATEREADER_VALUE("",E539,H539,K539,N539)</f>
        <v>0</v>
      </c>
      <c r="D547" s="4">
        <f>T1.PLATEREADER_VALUE("",E539,H539,K539,N539)</f>
        <v>0</v>
      </c>
      <c r="E547" s="4">
        <f>T1.PLATEREADER_VALUE("",E539,H539,K539,N539)</f>
        <v>0</v>
      </c>
      <c r="F547" s="4">
        <f>T1.PLATEREADER_VALUE("",E539,H539,K539,N539)</f>
        <v>0</v>
      </c>
      <c r="G547" s="4">
        <f>T1.PLATEREADER_VALUE("",E539,H539,K539,N539)</f>
        <v>0</v>
      </c>
      <c r="H547" s="4">
        <f>T1.PLATEREADER_VALUE("",E539,H539,K539,N539)</f>
        <v>0</v>
      </c>
      <c r="I547" s="4">
        <f>T1.PLATEREADER_VALUE("",E539,H539,K539,N539)</f>
        <v>0</v>
      </c>
      <c r="J547" s="4">
        <f>T1.PLATEREADER_VALUE("",E539,H539,K539,N539)</f>
        <v>0</v>
      </c>
      <c r="K547" s="4">
        <f>T1.PLATEREADER_VALUE("",E539,H539,K539,N539)</f>
        <v>0</v>
      </c>
      <c r="L547" s="4">
        <f>T1.PLATEREADER_VALUE("",E539,H539,K539,N539)</f>
        <v>0</v>
      </c>
      <c r="M547" s="4">
        <f>T1.PLATEREADER_VALUE("",E539,H539,K539,N539)</f>
        <v>0</v>
      </c>
      <c r="N547" s="4">
        <f>T1.PLATEREADER_VALUE("",E539,H539,K539,N539)</f>
        <v>0</v>
      </c>
      <c r="O547" s="4">
        <f>T1.PLATEREADER_VALUE("",E539,H539,K539,N539)</f>
        <v>0</v>
      </c>
      <c r="P547" s="4">
        <f>T1.PLATEREADER_VALUE("",E539,H539,K539,N539)</f>
        <v>0</v>
      </c>
      <c r="Q547" s="4">
        <f>T1.PLATEREADER_VALUE("",E539,H539,K539,N539)</f>
        <v>0</v>
      </c>
      <c r="R547" s="4">
        <f>T1.PLATEREADER_VALUE("",E539,H539,K539,N539)</f>
        <v>0</v>
      </c>
      <c r="S547" s="4">
        <f>T1.PLATEREADER_VALUE("",E539,H539,K539,N539)</f>
        <v>0</v>
      </c>
      <c r="T547" s="4">
        <f>T1.PLATEREADER_VALUE("",E539,H539,K539,N539)</f>
        <v>0</v>
      </c>
      <c r="U547" s="4">
        <f>T1.PLATEREADER_VALUE("",E539,H539,K539,N539)</f>
        <v>0</v>
      </c>
      <c r="V547" s="4">
        <f>T1.PLATEREADER_VALUE("",E539,H539,K539,N539)</f>
        <v>0</v>
      </c>
      <c r="W547" s="4">
        <f>T1.PLATEREADER_VALUE("",E539,H539,K539,N539)</f>
        <v>0</v>
      </c>
      <c r="X547" s="4">
        <f>T1.PLATEREADER_VALUE("",E539,H539,K539,N539)</f>
        <v>0</v>
      </c>
      <c r="Y547" s="4">
        <f>T1.PLATEREADER_VALUE("",E539,H539,K539,N539)</f>
        <v>0</v>
      </c>
      <c r="Z547" s="4">
        <f>T1.PLATEREADER_VALUE("",E539,H539,K539,N539)</f>
        <v>0</v>
      </c>
    </row>
    <row r="548" spans="1:26" ht="11.25" hidden="1" customHeight="1">
      <c r="B548" s="1" t="s">
        <v>421</v>
      </c>
      <c r="C548" s="4">
        <f>T1.PLATEREADER_VALUE("",E539,H539,K539,N539)</f>
        <v>0</v>
      </c>
      <c r="D548" s="4">
        <f>T1.PLATEREADER_VALUE("",E539,H539,K539,N539)</f>
        <v>0</v>
      </c>
      <c r="E548" s="4">
        <f>T1.PLATEREADER_VALUE("",E539,H539,K539,N539)</f>
        <v>0</v>
      </c>
      <c r="F548" s="4">
        <f>T1.PLATEREADER_VALUE("",E539,H539,K539,N539)</f>
        <v>0</v>
      </c>
      <c r="G548" s="4">
        <f>T1.PLATEREADER_VALUE("",E539,H539,K539,N539)</f>
        <v>0</v>
      </c>
      <c r="H548" s="4">
        <f>T1.PLATEREADER_VALUE("",E539,H539,K539,N539)</f>
        <v>0</v>
      </c>
      <c r="I548" s="4">
        <f>T1.PLATEREADER_VALUE("",E539,H539,K539,N539)</f>
        <v>0</v>
      </c>
      <c r="J548" s="4">
        <f>T1.PLATEREADER_VALUE("",E539,H539,K539,N539)</f>
        <v>0</v>
      </c>
      <c r="K548" s="4">
        <f>T1.PLATEREADER_VALUE("",E539,H539,K539,N539)</f>
        <v>0</v>
      </c>
      <c r="L548" s="4">
        <f>T1.PLATEREADER_VALUE("",E539,H539,K539,N539)</f>
        <v>0</v>
      </c>
      <c r="M548" s="4">
        <f>T1.PLATEREADER_VALUE("",E539,H539,K539,N539)</f>
        <v>0</v>
      </c>
      <c r="N548" s="4">
        <f>T1.PLATEREADER_VALUE("",E539,H539,K539,N539)</f>
        <v>0</v>
      </c>
      <c r="O548" s="4">
        <f>T1.PLATEREADER_VALUE("",E539,H539,K539,N539)</f>
        <v>0</v>
      </c>
      <c r="P548" s="4">
        <f>T1.PLATEREADER_VALUE("",E539,H539,K539,N539)</f>
        <v>0</v>
      </c>
      <c r="Q548" s="4">
        <f>T1.PLATEREADER_VALUE("",E539,H539,K539,N539)</f>
        <v>0</v>
      </c>
      <c r="R548" s="4">
        <f>T1.PLATEREADER_VALUE("",E539,H539,K539,N539)</f>
        <v>0</v>
      </c>
      <c r="S548" s="4">
        <f>T1.PLATEREADER_VALUE("",E539,H539,K539,N539)</f>
        <v>0</v>
      </c>
      <c r="T548" s="4">
        <f>T1.PLATEREADER_VALUE("",E539,H539,K539,N539)</f>
        <v>0</v>
      </c>
      <c r="U548" s="4">
        <f>T1.PLATEREADER_VALUE("",E539,H539,K539,N539)</f>
        <v>0</v>
      </c>
      <c r="V548" s="4">
        <f>T1.PLATEREADER_VALUE("",E539,H539,K539,N539)</f>
        <v>0</v>
      </c>
      <c r="W548" s="4">
        <f>T1.PLATEREADER_VALUE("",E539,H539,K539,N539)</f>
        <v>0</v>
      </c>
      <c r="X548" s="4">
        <f>T1.PLATEREADER_VALUE("",E539,H539,K539,N539)</f>
        <v>0</v>
      </c>
      <c r="Y548" s="4">
        <f>T1.PLATEREADER_VALUE("",E539,H539,K539,N539)</f>
        <v>0</v>
      </c>
      <c r="Z548" s="4">
        <f>T1.PLATEREADER_VALUE("",E539,H539,K539,N539)</f>
        <v>0</v>
      </c>
    </row>
    <row r="549" spans="1:26" ht="11.25" hidden="1" customHeight="1">
      <c r="B549" s="1" t="s">
        <v>422</v>
      </c>
      <c r="C549" s="4">
        <f>T1.PLATEREADER_VALUE("",E539,H539,K539,N539)</f>
        <v>0</v>
      </c>
      <c r="D549" s="4">
        <f>T1.PLATEREADER_VALUE("",E539,H539,K539,N539)</f>
        <v>0</v>
      </c>
      <c r="E549" s="4">
        <f>T1.PLATEREADER_VALUE("",E539,H539,K539,N539)</f>
        <v>0</v>
      </c>
      <c r="F549" s="4">
        <f>T1.PLATEREADER_VALUE("",E539,H539,K539,N539)</f>
        <v>0</v>
      </c>
      <c r="G549" s="4">
        <f>T1.PLATEREADER_VALUE("",E539,H539,K539,N539)</f>
        <v>0</v>
      </c>
      <c r="H549" s="4">
        <f>T1.PLATEREADER_VALUE("",E539,H539,K539,N539)</f>
        <v>0</v>
      </c>
      <c r="I549" s="4">
        <f>T1.PLATEREADER_VALUE("",E539,H539,K539,N539)</f>
        <v>0</v>
      </c>
      <c r="J549" s="4">
        <f>T1.PLATEREADER_VALUE("",E539,H539,K539,N539)</f>
        <v>0</v>
      </c>
      <c r="K549" s="4">
        <f>T1.PLATEREADER_VALUE("",E539,H539,K539,N539)</f>
        <v>0</v>
      </c>
      <c r="L549" s="4">
        <f>T1.PLATEREADER_VALUE("",E539,H539,K539,N539)</f>
        <v>0</v>
      </c>
      <c r="M549" s="4">
        <f>T1.PLATEREADER_VALUE("",E539,H539,K539,N539)</f>
        <v>0</v>
      </c>
      <c r="N549" s="4">
        <f>T1.PLATEREADER_VALUE("",E539,H539,K539,N539)</f>
        <v>0</v>
      </c>
      <c r="O549" s="4">
        <f>T1.PLATEREADER_VALUE("",E539,H539,K539,N539)</f>
        <v>0</v>
      </c>
      <c r="P549" s="4">
        <f>T1.PLATEREADER_VALUE("",E539,H539,K539,N539)</f>
        <v>0</v>
      </c>
      <c r="Q549" s="4">
        <f>T1.PLATEREADER_VALUE("",E539,H539,K539,N539)</f>
        <v>0</v>
      </c>
      <c r="R549" s="4">
        <f>T1.PLATEREADER_VALUE("",E539,H539,K539,N539)</f>
        <v>0</v>
      </c>
      <c r="S549" s="4">
        <f>T1.PLATEREADER_VALUE("",E539,H539,K539,N539)</f>
        <v>0</v>
      </c>
      <c r="T549" s="4">
        <f>T1.PLATEREADER_VALUE("",E539,H539,K539,N539)</f>
        <v>0</v>
      </c>
      <c r="U549" s="4">
        <f>T1.PLATEREADER_VALUE("",E539,H539,K539,N539)</f>
        <v>0</v>
      </c>
      <c r="V549" s="4">
        <f>T1.PLATEREADER_VALUE("",E539,H539,K539,N539)</f>
        <v>0</v>
      </c>
      <c r="W549" s="4">
        <f>T1.PLATEREADER_VALUE("",E539,H539,K539,N539)</f>
        <v>0</v>
      </c>
      <c r="X549" s="4">
        <f>T1.PLATEREADER_VALUE("",E539,H539,K539,N539)</f>
        <v>0</v>
      </c>
      <c r="Y549" s="4">
        <f>T1.PLATEREADER_VALUE("",E539,H539,K539,N539)</f>
        <v>0</v>
      </c>
      <c r="Z549" s="4">
        <f>T1.PLATEREADER_VALUE("",E539,H539,K539,N539)</f>
        <v>0</v>
      </c>
    </row>
    <row r="550" spans="1:26" ht="11.25" hidden="1" customHeight="1">
      <c r="B550" s="1" t="s">
        <v>423</v>
      </c>
      <c r="C550" s="4">
        <f>T1.PLATEREADER_VALUE("",E539,H539,K539,N539)</f>
        <v>0</v>
      </c>
      <c r="D550" s="4">
        <f>T1.PLATEREADER_VALUE("",E539,H539,K539,N539)</f>
        <v>0</v>
      </c>
      <c r="E550" s="4">
        <f>T1.PLATEREADER_VALUE("",E539,H539,K539,N539)</f>
        <v>0</v>
      </c>
      <c r="F550" s="4">
        <f>T1.PLATEREADER_VALUE("",E539,H539,K539,N539)</f>
        <v>0</v>
      </c>
      <c r="G550" s="4">
        <f>T1.PLATEREADER_VALUE("",E539,H539,K539,N539)</f>
        <v>0</v>
      </c>
      <c r="H550" s="4">
        <f>T1.PLATEREADER_VALUE("",E539,H539,K539,N539)</f>
        <v>0</v>
      </c>
      <c r="I550" s="4">
        <f>T1.PLATEREADER_VALUE("",E539,H539,K539,N539)</f>
        <v>0</v>
      </c>
      <c r="J550" s="4">
        <f>T1.PLATEREADER_VALUE("",E539,H539,K539,N539)</f>
        <v>0</v>
      </c>
      <c r="K550" s="4">
        <f>T1.PLATEREADER_VALUE("",E539,H539,K539,N539)</f>
        <v>0</v>
      </c>
      <c r="L550" s="4">
        <f>T1.PLATEREADER_VALUE("",E539,H539,K539,N539)</f>
        <v>0</v>
      </c>
      <c r="M550" s="4">
        <f>T1.PLATEREADER_VALUE("",E539,H539,K539,N539)</f>
        <v>0</v>
      </c>
      <c r="N550" s="4">
        <f>T1.PLATEREADER_VALUE("",E539,H539,K539,N539)</f>
        <v>0</v>
      </c>
      <c r="O550" s="4">
        <f>T1.PLATEREADER_VALUE("",E539,H539,K539,N539)</f>
        <v>0</v>
      </c>
      <c r="P550" s="4">
        <f>T1.PLATEREADER_VALUE("",E539,H539,K539,N539)</f>
        <v>0</v>
      </c>
      <c r="Q550" s="4">
        <f>T1.PLATEREADER_VALUE("",E539,H539,K539,N539)</f>
        <v>0</v>
      </c>
      <c r="R550" s="4">
        <f>T1.PLATEREADER_VALUE("",E539,H539,K539,N539)</f>
        <v>0</v>
      </c>
      <c r="S550" s="4">
        <f>T1.PLATEREADER_VALUE("",E539,H539,K539,N539)</f>
        <v>0</v>
      </c>
      <c r="T550" s="4">
        <f>T1.PLATEREADER_VALUE("",E539,H539,K539,N539)</f>
        <v>0</v>
      </c>
      <c r="U550" s="4">
        <f>T1.PLATEREADER_VALUE("",E539,H539,K539,N539)</f>
        <v>0</v>
      </c>
      <c r="V550" s="4">
        <f>T1.PLATEREADER_VALUE("",E539,H539,K539,N539)</f>
        <v>0</v>
      </c>
      <c r="W550" s="4">
        <f>T1.PLATEREADER_VALUE("",E539,H539,K539,N539)</f>
        <v>0</v>
      </c>
      <c r="X550" s="4">
        <f>T1.PLATEREADER_VALUE("",E539,H539,K539,N539)</f>
        <v>0</v>
      </c>
      <c r="Y550" s="4">
        <f>T1.PLATEREADER_VALUE("",E539,H539,K539,N539)</f>
        <v>0</v>
      </c>
      <c r="Z550" s="4">
        <f>T1.PLATEREADER_VALUE("",E539,H539,K539,N539)</f>
        <v>0</v>
      </c>
    </row>
    <row r="551" spans="1:26" ht="11.25" hidden="1" customHeight="1">
      <c r="B551" s="1" t="s">
        <v>424</v>
      </c>
      <c r="C551" s="4">
        <f>T1.PLATEREADER_VALUE("",E539,H539,K539,N539)</f>
        <v>0</v>
      </c>
      <c r="D551" s="4">
        <f>T1.PLATEREADER_VALUE("",E539,H539,K539,N539)</f>
        <v>0</v>
      </c>
      <c r="E551" s="4">
        <f>T1.PLATEREADER_VALUE("",E539,H539,K539,N539)</f>
        <v>0</v>
      </c>
      <c r="F551" s="4">
        <f>T1.PLATEREADER_VALUE("",E539,H539,K539,N539)</f>
        <v>0</v>
      </c>
      <c r="G551" s="4">
        <f>T1.PLATEREADER_VALUE("",E539,H539,K539,N539)</f>
        <v>0</v>
      </c>
      <c r="H551" s="4">
        <f>T1.PLATEREADER_VALUE("",E539,H539,K539,N539)</f>
        <v>0</v>
      </c>
      <c r="I551" s="4">
        <f>T1.PLATEREADER_VALUE("",E539,H539,K539,N539)</f>
        <v>0</v>
      </c>
      <c r="J551" s="4">
        <f>T1.PLATEREADER_VALUE("",E539,H539,K539,N539)</f>
        <v>0</v>
      </c>
      <c r="K551" s="4">
        <f>T1.PLATEREADER_VALUE("",E539,H539,K539,N539)</f>
        <v>0</v>
      </c>
      <c r="L551" s="4">
        <f>T1.PLATEREADER_VALUE("",E539,H539,K539,N539)</f>
        <v>0</v>
      </c>
      <c r="M551" s="4">
        <f>T1.PLATEREADER_VALUE("",E539,H539,K539,N539)</f>
        <v>0</v>
      </c>
      <c r="N551" s="4">
        <f>T1.PLATEREADER_VALUE("",E539,H539,K539,N539)</f>
        <v>0</v>
      </c>
      <c r="O551" s="4">
        <f>T1.PLATEREADER_VALUE("",E539,H539,K539,N539)</f>
        <v>0</v>
      </c>
      <c r="P551" s="4">
        <f>T1.PLATEREADER_VALUE("",E539,H539,K539,N539)</f>
        <v>0</v>
      </c>
      <c r="Q551" s="4">
        <f>T1.PLATEREADER_VALUE("",E539,H539,K539,N539)</f>
        <v>0</v>
      </c>
      <c r="R551" s="4">
        <f>T1.PLATEREADER_VALUE("",E539,H539,K539,N539)</f>
        <v>0</v>
      </c>
      <c r="S551" s="4">
        <f>T1.PLATEREADER_VALUE("",E539,H539,K539,N539)</f>
        <v>0</v>
      </c>
      <c r="T551" s="4">
        <f>T1.PLATEREADER_VALUE("",E539,H539,K539,N539)</f>
        <v>0</v>
      </c>
      <c r="U551" s="4">
        <f>T1.PLATEREADER_VALUE("",E539,H539,K539,N539)</f>
        <v>0</v>
      </c>
      <c r="V551" s="4">
        <f>T1.PLATEREADER_VALUE("",E539,H539,K539,N539)</f>
        <v>0</v>
      </c>
      <c r="W551" s="4">
        <f>T1.PLATEREADER_VALUE("",E539,H539,K539,N539)</f>
        <v>0</v>
      </c>
      <c r="X551" s="4">
        <f>T1.PLATEREADER_VALUE("",E539,H539,K539,N539)</f>
        <v>0</v>
      </c>
      <c r="Y551" s="4">
        <f>T1.PLATEREADER_VALUE("",E539,H539,K539,N539)</f>
        <v>0</v>
      </c>
      <c r="Z551" s="4">
        <f>T1.PLATEREADER_VALUE("",E539,H539,K539,N539)</f>
        <v>0</v>
      </c>
    </row>
    <row r="552" spans="1:26" ht="11.25" hidden="1" customHeight="1">
      <c r="B552" s="1" t="s">
        <v>425</v>
      </c>
      <c r="C552" s="4">
        <f>T1.PLATEREADER_VALUE("",E539,H539,K539,N539)</f>
        <v>0</v>
      </c>
      <c r="D552" s="4">
        <f>T1.PLATEREADER_VALUE("",E539,H539,K539,N539)</f>
        <v>0</v>
      </c>
      <c r="E552" s="4">
        <f>T1.PLATEREADER_VALUE("",E539,H539,K539,N539)</f>
        <v>0</v>
      </c>
      <c r="F552" s="4">
        <f>T1.PLATEREADER_VALUE("",E539,H539,K539,N539)</f>
        <v>0</v>
      </c>
      <c r="G552" s="4">
        <f>T1.PLATEREADER_VALUE("",E539,H539,K539,N539)</f>
        <v>0</v>
      </c>
      <c r="H552" s="4">
        <f>T1.PLATEREADER_VALUE("",E539,H539,K539,N539)</f>
        <v>0</v>
      </c>
      <c r="I552" s="4">
        <f>T1.PLATEREADER_VALUE("",E539,H539,K539,N539)</f>
        <v>0</v>
      </c>
      <c r="J552" s="4">
        <f>T1.PLATEREADER_VALUE("",E539,H539,K539,N539)</f>
        <v>0</v>
      </c>
      <c r="K552" s="4">
        <f>T1.PLATEREADER_VALUE("",E539,H539,K539,N539)</f>
        <v>0</v>
      </c>
      <c r="L552" s="4">
        <f>T1.PLATEREADER_VALUE("",E539,H539,K539,N539)</f>
        <v>0</v>
      </c>
      <c r="M552" s="4">
        <f>T1.PLATEREADER_VALUE("",E539,H539,K539,N539)</f>
        <v>0</v>
      </c>
      <c r="N552" s="4">
        <f>T1.PLATEREADER_VALUE("",E539,H539,K539,N539)</f>
        <v>0</v>
      </c>
      <c r="O552" s="4">
        <f>T1.PLATEREADER_VALUE("",E539,H539,K539,N539)</f>
        <v>0</v>
      </c>
      <c r="P552" s="4">
        <f>T1.PLATEREADER_VALUE("",E539,H539,K539,N539)</f>
        <v>0</v>
      </c>
      <c r="Q552" s="4">
        <f>T1.PLATEREADER_VALUE("",E539,H539,K539,N539)</f>
        <v>0</v>
      </c>
      <c r="R552" s="4">
        <f>T1.PLATEREADER_VALUE("",E539,H539,K539,N539)</f>
        <v>0</v>
      </c>
      <c r="S552" s="4">
        <f>T1.PLATEREADER_VALUE("",E539,H539,K539,N539)</f>
        <v>0</v>
      </c>
      <c r="T552" s="4">
        <f>T1.PLATEREADER_VALUE("",E539,H539,K539,N539)</f>
        <v>0</v>
      </c>
      <c r="U552" s="4">
        <f>T1.PLATEREADER_VALUE("",E539,H539,K539,N539)</f>
        <v>0</v>
      </c>
      <c r="V552" s="4">
        <f>T1.PLATEREADER_VALUE("",E539,H539,K539,N539)</f>
        <v>0</v>
      </c>
      <c r="W552" s="4">
        <f>T1.PLATEREADER_VALUE("",E539,H539,K539,N539)</f>
        <v>0</v>
      </c>
      <c r="X552" s="4">
        <f>T1.PLATEREADER_VALUE("",E539,H539,K539,N539)</f>
        <v>0</v>
      </c>
      <c r="Y552" s="4">
        <f>T1.PLATEREADER_VALUE("",E539,H539,K539,N539)</f>
        <v>0</v>
      </c>
      <c r="Z552" s="4">
        <f>T1.PLATEREADER_VALUE("",E539,H539,K539,N539)</f>
        <v>0</v>
      </c>
    </row>
    <row r="553" spans="1:26" ht="11.25" hidden="1" customHeight="1">
      <c r="B553" s="1" t="s">
        <v>426</v>
      </c>
      <c r="C553" s="4">
        <f>T1.PLATEREADER_VALUE("",E539,H539,K539,N539)</f>
        <v>0</v>
      </c>
      <c r="D553" s="4">
        <f>T1.PLATEREADER_VALUE("",E539,H539,K539,N539)</f>
        <v>0</v>
      </c>
      <c r="E553" s="4">
        <f>T1.PLATEREADER_VALUE("",E539,H539,K539,N539)</f>
        <v>0</v>
      </c>
      <c r="F553" s="4">
        <f>T1.PLATEREADER_VALUE("",E539,H539,K539,N539)</f>
        <v>0</v>
      </c>
      <c r="G553" s="4">
        <f>T1.PLATEREADER_VALUE("",E539,H539,K539,N539)</f>
        <v>0</v>
      </c>
      <c r="H553" s="4">
        <f>T1.PLATEREADER_VALUE("",E539,H539,K539,N539)</f>
        <v>0</v>
      </c>
      <c r="I553" s="4">
        <f>T1.PLATEREADER_VALUE("",E539,H539,K539,N539)</f>
        <v>0</v>
      </c>
      <c r="J553" s="4">
        <f>T1.PLATEREADER_VALUE("",E539,H539,K539,N539)</f>
        <v>0</v>
      </c>
      <c r="K553" s="4">
        <f>T1.PLATEREADER_VALUE("",E539,H539,K539,N539)</f>
        <v>0</v>
      </c>
      <c r="L553" s="4">
        <f>T1.PLATEREADER_VALUE("",E539,H539,K539,N539)</f>
        <v>0</v>
      </c>
      <c r="M553" s="4">
        <f>T1.PLATEREADER_VALUE("",E539,H539,K539,N539)</f>
        <v>0</v>
      </c>
      <c r="N553" s="4">
        <f>T1.PLATEREADER_VALUE("",E539,H539,K539,N539)</f>
        <v>0</v>
      </c>
      <c r="O553" s="4">
        <f>T1.PLATEREADER_VALUE("",E539,H539,K539,N539)</f>
        <v>0</v>
      </c>
      <c r="P553" s="4">
        <f>T1.PLATEREADER_VALUE("",E539,H539,K539,N539)</f>
        <v>0</v>
      </c>
      <c r="Q553" s="4">
        <f>T1.PLATEREADER_VALUE("",E539,H539,K539,N539)</f>
        <v>0</v>
      </c>
      <c r="R553" s="4">
        <f>T1.PLATEREADER_VALUE("",E539,H539,K539,N539)</f>
        <v>0</v>
      </c>
      <c r="S553" s="4">
        <f>T1.PLATEREADER_VALUE("",E539,H539,K539,N539)</f>
        <v>0</v>
      </c>
      <c r="T553" s="4">
        <f>T1.PLATEREADER_VALUE("",E539,H539,K539,N539)</f>
        <v>0</v>
      </c>
      <c r="U553" s="4">
        <f>T1.PLATEREADER_VALUE("",E539,H539,K539,N539)</f>
        <v>0</v>
      </c>
      <c r="V553" s="4">
        <f>T1.PLATEREADER_VALUE("",E539,H539,K539,N539)</f>
        <v>0</v>
      </c>
      <c r="W553" s="4">
        <f>T1.PLATEREADER_VALUE("",E539,H539,K539,N539)</f>
        <v>0</v>
      </c>
      <c r="X553" s="4">
        <f>T1.PLATEREADER_VALUE("",E539,H539,K539,N539)</f>
        <v>0</v>
      </c>
      <c r="Y553" s="4">
        <f>T1.PLATEREADER_VALUE("",E539,H539,K539,N539)</f>
        <v>0</v>
      </c>
      <c r="Z553" s="4">
        <f>T1.PLATEREADER_VALUE("",E539,H539,K539,N539)</f>
        <v>0</v>
      </c>
    </row>
    <row r="554" spans="1:26" ht="11.25" hidden="1" customHeight="1">
      <c r="B554" s="1" t="s">
        <v>427</v>
      </c>
      <c r="C554" s="4">
        <f>T1.PLATEREADER_VALUE("",E539,H539,K539,N539)</f>
        <v>0</v>
      </c>
      <c r="D554" s="4">
        <f>T1.PLATEREADER_VALUE("",E539,H539,K539,N539)</f>
        <v>0</v>
      </c>
      <c r="E554" s="4">
        <f>T1.PLATEREADER_VALUE("",E539,H539,K539,N539)</f>
        <v>0</v>
      </c>
      <c r="F554" s="4">
        <f>T1.PLATEREADER_VALUE("",E539,H539,K539,N539)</f>
        <v>0</v>
      </c>
      <c r="G554" s="4">
        <f>T1.PLATEREADER_VALUE("",E539,H539,K539,N539)</f>
        <v>0</v>
      </c>
      <c r="H554" s="4">
        <f>T1.PLATEREADER_VALUE("",E539,H539,K539,N539)</f>
        <v>0</v>
      </c>
      <c r="I554" s="4">
        <f>T1.PLATEREADER_VALUE("",E539,H539,K539,N539)</f>
        <v>0</v>
      </c>
      <c r="J554" s="4">
        <f>T1.PLATEREADER_VALUE("",E539,H539,K539,N539)</f>
        <v>0</v>
      </c>
      <c r="K554" s="4">
        <f>T1.PLATEREADER_VALUE("",E539,H539,K539,N539)</f>
        <v>0</v>
      </c>
      <c r="L554" s="4">
        <f>T1.PLATEREADER_VALUE("",E539,H539,K539,N539)</f>
        <v>0</v>
      </c>
      <c r="M554" s="4">
        <f>T1.PLATEREADER_VALUE("",E539,H539,K539,N539)</f>
        <v>0</v>
      </c>
      <c r="N554" s="4">
        <f>T1.PLATEREADER_VALUE("",E539,H539,K539,N539)</f>
        <v>0</v>
      </c>
      <c r="O554" s="4">
        <f>T1.PLATEREADER_VALUE("",E539,H539,K539,N539)</f>
        <v>0</v>
      </c>
      <c r="P554" s="4">
        <f>T1.PLATEREADER_VALUE("",E539,H539,K539,N539)</f>
        <v>0</v>
      </c>
      <c r="Q554" s="4">
        <f>T1.PLATEREADER_VALUE("",E539,H539,K539,N539)</f>
        <v>0</v>
      </c>
      <c r="R554" s="4">
        <f>T1.PLATEREADER_VALUE("",E539,H539,K539,N539)</f>
        <v>0</v>
      </c>
      <c r="S554" s="4">
        <f>T1.PLATEREADER_VALUE("",E539,H539,K539,N539)</f>
        <v>0</v>
      </c>
      <c r="T554" s="4">
        <f>T1.PLATEREADER_VALUE("",E539,H539,K539,N539)</f>
        <v>0</v>
      </c>
      <c r="U554" s="4">
        <f>T1.PLATEREADER_VALUE("",E539,H539,K539,N539)</f>
        <v>0</v>
      </c>
      <c r="V554" s="4">
        <f>T1.PLATEREADER_VALUE("",E539,H539,K539,N539)</f>
        <v>0</v>
      </c>
      <c r="W554" s="4">
        <f>T1.PLATEREADER_VALUE("",E539,H539,K539,N539)</f>
        <v>0</v>
      </c>
      <c r="X554" s="4">
        <f>T1.PLATEREADER_VALUE("",E539,H539,K539,N539)</f>
        <v>0</v>
      </c>
      <c r="Y554" s="4">
        <f>T1.PLATEREADER_VALUE("",E539,H539,K539,N539)</f>
        <v>0</v>
      </c>
      <c r="Z554" s="4">
        <f>T1.PLATEREADER_VALUE("",E539,H539,K539,N539)</f>
        <v>0</v>
      </c>
    </row>
    <row r="555" spans="1:26" ht="11.25" hidden="1" customHeight="1">
      <c r="B555" s="1" t="s">
        <v>428</v>
      </c>
      <c r="C555" s="4">
        <f>T1.PLATEREADER_VALUE("",E539,H539,K539,N539)</f>
        <v>0</v>
      </c>
      <c r="D555" s="4">
        <f>T1.PLATEREADER_VALUE("",E539,H539,K539,N539)</f>
        <v>0</v>
      </c>
      <c r="E555" s="4">
        <f>T1.PLATEREADER_VALUE("",E539,H539,K539,N539)</f>
        <v>0</v>
      </c>
      <c r="F555" s="4">
        <f>T1.PLATEREADER_VALUE("",E539,H539,K539,N539)</f>
        <v>0</v>
      </c>
      <c r="G555" s="4">
        <f>T1.PLATEREADER_VALUE("",E539,H539,K539,N539)</f>
        <v>0</v>
      </c>
      <c r="H555" s="4">
        <f>T1.PLATEREADER_VALUE("",E539,H539,K539,N539)</f>
        <v>0</v>
      </c>
      <c r="I555" s="4">
        <f>T1.PLATEREADER_VALUE("",E539,H539,K539,N539)</f>
        <v>0</v>
      </c>
      <c r="J555" s="4">
        <f>T1.PLATEREADER_VALUE("",E539,H539,K539,N539)</f>
        <v>0</v>
      </c>
      <c r="K555" s="4">
        <f>T1.PLATEREADER_VALUE("",E539,H539,K539,N539)</f>
        <v>0</v>
      </c>
      <c r="L555" s="4">
        <f>T1.PLATEREADER_VALUE("",E539,H539,K539,N539)</f>
        <v>0</v>
      </c>
      <c r="M555" s="4">
        <f>T1.PLATEREADER_VALUE("",E539,H539,K539,N539)</f>
        <v>0</v>
      </c>
      <c r="N555" s="4">
        <f>T1.PLATEREADER_VALUE("",E539,H539,K539,N539)</f>
        <v>0</v>
      </c>
      <c r="O555" s="4">
        <f>T1.PLATEREADER_VALUE("",E539,H539,K539,N539)</f>
        <v>0</v>
      </c>
      <c r="P555" s="4">
        <f>T1.PLATEREADER_VALUE("",E539,H539,K539,N539)</f>
        <v>0</v>
      </c>
      <c r="Q555" s="4">
        <f>T1.PLATEREADER_VALUE("",E539,H539,K539,N539)</f>
        <v>0</v>
      </c>
      <c r="R555" s="4">
        <f>T1.PLATEREADER_VALUE("",E539,H539,K539,N539)</f>
        <v>0</v>
      </c>
      <c r="S555" s="4">
        <f>T1.PLATEREADER_VALUE("",E539,H539,K539,N539)</f>
        <v>0</v>
      </c>
      <c r="T555" s="4">
        <f>T1.PLATEREADER_VALUE("",E539,H539,K539,N539)</f>
        <v>0</v>
      </c>
      <c r="U555" s="4">
        <f>T1.PLATEREADER_VALUE("",E539,H539,K539,N539)</f>
        <v>0</v>
      </c>
      <c r="V555" s="4">
        <f>T1.PLATEREADER_VALUE("",E539,H539,K539,N539)</f>
        <v>0</v>
      </c>
      <c r="W555" s="4">
        <f>T1.PLATEREADER_VALUE("",E539,H539,K539,N539)</f>
        <v>0</v>
      </c>
      <c r="X555" s="4">
        <f>T1.PLATEREADER_VALUE("",E539,H539,K539,N539)</f>
        <v>0</v>
      </c>
      <c r="Y555" s="4">
        <f>T1.PLATEREADER_VALUE("",E539,H539,K539,N539)</f>
        <v>0</v>
      </c>
      <c r="Z555" s="4">
        <f>T1.PLATEREADER_VALUE("",E539,H539,K539,N539)</f>
        <v>0</v>
      </c>
    </row>
    <row r="556" spans="1:26" ht="11.25" hidden="1" customHeight="1">
      <c r="B556" s="1" t="s">
        <v>429</v>
      </c>
      <c r="C556" s="4">
        <f>T1.PLATEREADER_VALUE("",E539,H539,K539,N539)</f>
        <v>0</v>
      </c>
      <c r="D556" s="4">
        <f>T1.PLATEREADER_VALUE("",E539,H539,K539,N539)</f>
        <v>0</v>
      </c>
      <c r="E556" s="4">
        <f>T1.PLATEREADER_VALUE("",E539,H539,K539,N539)</f>
        <v>0</v>
      </c>
      <c r="F556" s="4">
        <f>T1.PLATEREADER_VALUE("",E539,H539,K539,N539)</f>
        <v>0</v>
      </c>
      <c r="G556" s="4">
        <f>T1.PLATEREADER_VALUE("",E539,H539,K539,N539)</f>
        <v>0</v>
      </c>
      <c r="H556" s="4">
        <f>T1.PLATEREADER_VALUE("",E539,H539,K539,N539)</f>
        <v>0</v>
      </c>
      <c r="I556" s="4">
        <f>T1.PLATEREADER_VALUE("",E539,H539,K539,N539)</f>
        <v>0</v>
      </c>
      <c r="J556" s="4">
        <f>T1.PLATEREADER_VALUE("",E539,H539,K539,N539)</f>
        <v>0</v>
      </c>
      <c r="K556" s="4">
        <f>T1.PLATEREADER_VALUE("",E539,H539,K539,N539)</f>
        <v>0</v>
      </c>
      <c r="L556" s="4">
        <f>T1.PLATEREADER_VALUE("",E539,H539,K539,N539)</f>
        <v>0</v>
      </c>
      <c r="M556" s="4">
        <f>T1.PLATEREADER_VALUE("",E539,H539,K539,N539)</f>
        <v>0</v>
      </c>
      <c r="N556" s="4">
        <f>T1.PLATEREADER_VALUE("",E539,H539,K539,N539)</f>
        <v>0</v>
      </c>
      <c r="O556" s="4">
        <f>T1.PLATEREADER_VALUE("",E539,H539,K539,N539)</f>
        <v>0</v>
      </c>
      <c r="P556" s="4">
        <f>T1.PLATEREADER_VALUE("",E539,H539,K539,N539)</f>
        <v>0</v>
      </c>
      <c r="Q556" s="4">
        <f>T1.PLATEREADER_VALUE("",E539,H539,K539,N539)</f>
        <v>0</v>
      </c>
      <c r="R556" s="4">
        <f>T1.PLATEREADER_VALUE("",E539,H539,K539,N539)</f>
        <v>0</v>
      </c>
      <c r="S556" s="4">
        <f>T1.PLATEREADER_VALUE("",E539,H539,K539,N539)</f>
        <v>0</v>
      </c>
      <c r="T556" s="4">
        <f>T1.PLATEREADER_VALUE("",E539,H539,K539,N539)</f>
        <v>0</v>
      </c>
      <c r="U556" s="4">
        <f>T1.PLATEREADER_VALUE("",E539,H539,K539,N539)</f>
        <v>0</v>
      </c>
      <c r="V556" s="4">
        <f>T1.PLATEREADER_VALUE("",E539,H539,K539,N539)</f>
        <v>0</v>
      </c>
      <c r="W556" s="4">
        <f>T1.PLATEREADER_VALUE("",E539,H539,K539,N539)</f>
        <v>0</v>
      </c>
      <c r="X556" s="4">
        <f>T1.PLATEREADER_VALUE("",E539,H539,K539,N539)</f>
        <v>0</v>
      </c>
      <c r="Y556" s="4">
        <f>T1.PLATEREADER_VALUE("",E539,H539,K539,N539)</f>
        <v>0</v>
      </c>
      <c r="Z556" s="4">
        <f>T1.PLATEREADER_VALUE("",E539,H539,K539,N539)</f>
        <v>0</v>
      </c>
    </row>
    <row r="557" spans="1:26" ht="11.25" hidden="1" customHeight="1">
      <c r="B557" s="1" t="s">
        <v>430</v>
      </c>
      <c r="C557" s="4">
        <f>T1.PLATEREADER_VALUE("",E539,H539,K539,N539)</f>
        <v>0</v>
      </c>
      <c r="D557" s="4">
        <f>T1.PLATEREADER_VALUE("",E539,H539,K539,N539)</f>
        <v>0</v>
      </c>
      <c r="E557" s="4">
        <f>T1.PLATEREADER_VALUE("",E539,H539,K539,N539)</f>
        <v>0</v>
      </c>
      <c r="F557" s="4">
        <f>T1.PLATEREADER_VALUE("",E539,H539,K539,N539)</f>
        <v>0</v>
      </c>
      <c r="G557" s="4">
        <f>T1.PLATEREADER_VALUE("",E539,H539,K539,N539)</f>
        <v>0</v>
      </c>
      <c r="H557" s="4">
        <f>T1.PLATEREADER_VALUE("",E539,H539,K539,N539)</f>
        <v>0</v>
      </c>
      <c r="I557" s="4">
        <f>T1.PLATEREADER_VALUE("",E539,H539,K539,N539)</f>
        <v>0</v>
      </c>
      <c r="J557" s="4">
        <f>T1.PLATEREADER_VALUE("",E539,H539,K539,N539)</f>
        <v>0</v>
      </c>
      <c r="K557" s="4">
        <f>T1.PLATEREADER_VALUE("",E539,H539,K539,N539)</f>
        <v>0</v>
      </c>
      <c r="L557" s="4">
        <f>T1.PLATEREADER_VALUE("",E539,H539,K539,N539)</f>
        <v>0</v>
      </c>
      <c r="M557" s="4">
        <f>T1.PLATEREADER_VALUE("",E539,H539,K539,N539)</f>
        <v>0</v>
      </c>
      <c r="N557" s="4">
        <f>T1.PLATEREADER_VALUE("",E539,H539,K539,N539)</f>
        <v>0</v>
      </c>
      <c r="O557" s="4">
        <f>T1.PLATEREADER_VALUE("",E539,H539,K539,N539)</f>
        <v>0</v>
      </c>
      <c r="P557" s="4">
        <f>T1.PLATEREADER_VALUE("",E539,H539,K539,N539)</f>
        <v>0</v>
      </c>
      <c r="Q557" s="4">
        <f>T1.PLATEREADER_VALUE("",E539,H539,K539,N539)</f>
        <v>0</v>
      </c>
      <c r="R557" s="4">
        <f>T1.PLATEREADER_VALUE("",E539,H539,K539,N539)</f>
        <v>0</v>
      </c>
      <c r="S557" s="4">
        <f>T1.PLATEREADER_VALUE("",E539,H539,K539,N539)</f>
        <v>0</v>
      </c>
      <c r="T557" s="4">
        <f>T1.PLATEREADER_VALUE("",E539,H539,K539,N539)</f>
        <v>0</v>
      </c>
      <c r="U557" s="4">
        <f>T1.PLATEREADER_VALUE("",E539,H539,K539,N539)</f>
        <v>0</v>
      </c>
      <c r="V557" s="4">
        <f>T1.PLATEREADER_VALUE("",E539,H539,K539,N539)</f>
        <v>0</v>
      </c>
      <c r="W557" s="4">
        <f>T1.PLATEREADER_VALUE("",E539,H539,K539,N539)</f>
        <v>0</v>
      </c>
      <c r="X557" s="4">
        <f>T1.PLATEREADER_VALUE("",E539,H539,K539,N539)</f>
        <v>0</v>
      </c>
      <c r="Y557" s="4">
        <f>T1.PLATEREADER_VALUE("",E539,H539,K539,N539)</f>
        <v>0</v>
      </c>
      <c r="Z557" s="4">
        <f>T1.PLATEREADER_VALUE("",E539,H539,K539,N539)</f>
        <v>0</v>
      </c>
    </row>
    <row r="558" spans="1:26" ht="11.25" hidden="1" customHeight="1">
      <c r="B558" s="1"/>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1.25" hidden="1" customHeight="1">
      <c r="A559" s="6"/>
      <c r="B559" s="5"/>
      <c r="C559" s="10" t="s">
        <v>752</v>
      </c>
      <c r="D559" s="3" t="e">
        <f>T1.Label("RAW_DATA","sb")</f>
        <v>#REF!</v>
      </c>
      <c r="E559" s="3"/>
      <c r="F559" s="33" t="s">
        <v>753</v>
      </c>
      <c r="G559" s="3" t="e">
        <f>T1.Label("RAW_DATA","sn")</f>
        <v>#REF!</v>
      </c>
      <c r="I559" s="33" t="s">
        <v>751</v>
      </c>
      <c r="J559" s="7" t="e">
        <f>T1.Label("RAW_DATA","zprime")</f>
        <v>#REF!</v>
      </c>
      <c r="K559" s="3"/>
      <c r="L559" s="33" t="s">
        <v>754</v>
      </c>
      <c r="M559" s="7" t="e">
        <f>T1.role("MAX","RAW_DATA","cvp")</f>
        <v>#REF!</v>
      </c>
      <c r="N559" s="3"/>
      <c r="O559" s="33" t="s">
        <v>755</v>
      </c>
      <c r="P559" s="7" t="e">
        <f>T1.role("MIN","RAW_DATA","cvp")</f>
        <v>#REF!</v>
      </c>
      <c r="Q559" s="3"/>
      <c r="R559" s="33" t="s">
        <v>756</v>
      </c>
      <c r="S559" s="3" t="e">
        <f>T1.role("MAX","RAW_DATA","avr")</f>
        <v>#REF!</v>
      </c>
      <c r="U559" s="33" t="s">
        <v>757</v>
      </c>
      <c r="V559" s="3" t="e">
        <f>T1.role("MIN","RAW_DATA","avr")</f>
        <v>#REF!</v>
      </c>
      <c r="X559" s="33" t="s">
        <v>798</v>
      </c>
      <c r="Y559" s="3" t="e">
        <f>T1.role("CPD*","RAW_DATA","avr")</f>
        <v>#REF!</v>
      </c>
    </row>
    <row r="560" spans="1:26" ht="11.25" customHeight="1">
      <c r="A560" s="6"/>
      <c r="B560" s="5"/>
      <c r="D560" s="3"/>
      <c r="E560" s="3"/>
      <c r="F560" s="33"/>
      <c r="G560" s="3"/>
      <c r="I560" s="33"/>
      <c r="J560" s="7"/>
      <c r="K560" s="3"/>
      <c r="L560" s="33"/>
      <c r="M560" s="7"/>
      <c r="N560" s="3"/>
      <c r="O560" s="33"/>
      <c r="P560" s="7"/>
      <c r="Q560" s="3"/>
      <c r="R560" s="33"/>
      <c r="S560" s="3"/>
      <c r="U560" s="33"/>
      <c r="V560" s="3"/>
      <c r="X560" s="33"/>
      <c r="Y560" s="3"/>
    </row>
    <row r="561" spans="1:1" s="28" customFormat="1" ht="11.25" customHeight="1">
      <c r="A561" s="28" t="s">
        <v>2025</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66" customFormat="1" ht="11.25" customHeight="1">
      <c r="A587" s="66" t="s">
        <v>3033</v>
      </c>
      <c r="D587" s="67" t="s">
        <v>2063</v>
      </c>
      <c r="E587" s="66" t="s">
        <v>818</v>
      </c>
      <c r="G587" s="67" t="s">
        <v>816</v>
      </c>
      <c r="H587" s="66" t="s">
        <v>817</v>
      </c>
    </row>
    <row r="588" spans="1:21" s="35" customFormat="1" ht="11.25" hidden="1" customHeight="1">
      <c r="A588" s="27"/>
      <c r="D588" s="48"/>
    </row>
    <row r="589" spans="1:21" ht="11.25" hidden="1" customHeight="1">
      <c r="B589" s="1"/>
      <c r="C589" s="1">
        <v>1</v>
      </c>
      <c r="D589" s="1">
        <v>2</v>
      </c>
      <c r="E589" s="1">
        <v>3</v>
      </c>
      <c r="F589" s="1">
        <v>4</v>
      </c>
      <c r="G589" s="1">
        <v>5</v>
      </c>
      <c r="H589" s="1">
        <v>6</v>
      </c>
      <c r="I589" s="49"/>
      <c r="J589" s="49"/>
      <c r="K589" s="49"/>
      <c r="L589" s="49"/>
      <c r="M589" s="49"/>
      <c r="N589" s="49"/>
      <c r="O589" s="49"/>
      <c r="P589" s="49"/>
      <c r="Q589" s="49"/>
      <c r="R589" s="49"/>
      <c r="S589" s="49"/>
      <c r="T589" s="49"/>
      <c r="U589" s="49"/>
    </row>
    <row r="590" spans="1:21" ht="11.25" hidden="1" customHeight="1">
      <c r="B590" s="1" t="s">
        <v>415</v>
      </c>
      <c r="C590" s="4" t="e">
        <f>T1.WELL("",E587,H587)</f>
        <v>#REF!</v>
      </c>
      <c r="D590" s="4" t="e">
        <f>T1.WELL("",E587,H587)</f>
        <v>#REF!</v>
      </c>
      <c r="E590" s="4" t="e">
        <f>T1.WELL("",E587,H587)</f>
        <v>#REF!</v>
      </c>
      <c r="F590" s="4" t="e">
        <f>T1.WELL("",E587,H587)</f>
        <v>#REF!</v>
      </c>
      <c r="G590" s="4" t="e">
        <f>T1.WELL("",E587,H587)</f>
        <v>#REF!</v>
      </c>
      <c r="H590" s="4" t="e">
        <f>T1.WELL("",E587,H587)</f>
        <v>#REF!</v>
      </c>
      <c r="I590" s="49"/>
      <c r="J590" s="33" t="s">
        <v>798</v>
      </c>
      <c r="K590" s="3" t="e">
        <f>T1.role("CPD*","CPD_RESULT","avr")</f>
        <v>#REF!</v>
      </c>
      <c r="L590" s="49"/>
      <c r="M590" s="33" t="s">
        <v>2031</v>
      </c>
      <c r="N590" s="3" t="e">
        <f>K590+2*K591</f>
        <v>#REF!</v>
      </c>
      <c r="O590" s="49"/>
      <c r="P590" s="49"/>
      <c r="Q590" s="49"/>
      <c r="R590" s="49"/>
      <c r="S590" s="49"/>
      <c r="T590" s="49"/>
      <c r="U590" s="49"/>
    </row>
    <row r="591" spans="1:21" ht="11.25" hidden="1" customHeight="1">
      <c r="B591" s="1" t="s">
        <v>416</v>
      </c>
      <c r="C591" s="4" t="e">
        <f>T1.WELL("",E587,H587)</f>
        <v>#REF!</v>
      </c>
      <c r="D591" s="4" t="e">
        <f>T1.WELL("",E587,H587)</f>
        <v>#REF!</v>
      </c>
      <c r="E591" s="4" t="e">
        <f>T1.WELL("",E587,H587)</f>
        <v>#REF!</v>
      </c>
      <c r="F591" s="4" t="e">
        <f>T1.WELL("",E587,H587)</f>
        <v>#REF!</v>
      </c>
      <c r="G591" s="4" t="e">
        <f>T1.WELL("",E587,H587)</f>
        <v>#REF!</v>
      </c>
      <c r="H591" s="4" t="e">
        <f>T1.WELL("",E587,H587)</f>
        <v>#REF!</v>
      </c>
      <c r="I591" s="49"/>
      <c r="J591" s="33" t="s">
        <v>2030</v>
      </c>
      <c r="K591" s="3" t="e">
        <f>T1.role("CPD*","CPD_RESULT","sd")</f>
        <v>#REF!</v>
      </c>
      <c r="L591" s="49"/>
      <c r="M591" s="33" t="s">
        <v>2032</v>
      </c>
      <c r="N591" s="3" t="e">
        <f>K590+3*K591</f>
        <v>#REF!</v>
      </c>
      <c r="O591" s="49"/>
      <c r="P591" s="49"/>
      <c r="Q591" s="49"/>
      <c r="R591" s="49"/>
      <c r="S591" s="49"/>
      <c r="T591" s="49"/>
      <c r="U591" s="49"/>
    </row>
    <row r="592" spans="1:21" ht="11.25" hidden="1" customHeight="1">
      <c r="B592" s="1" t="s">
        <v>417</v>
      </c>
      <c r="C592" s="4" t="e">
        <f>T1.WELL("",E587,H587)</f>
        <v>#REF!</v>
      </c>
      <c r="D592" s="4" t="e">
        <f>T1.WELL("",E587,H587)</f>
        <v>#REF!</v>
      </c>
      <c r="E592" s="4" t="e">
        <f>T1.WELL("",E587,H587)</f>
        <v>#REF!</v>
      </c>
      <c r="F592" s="4" t="e">
        <f>T1.WELL("",E587,H587)</f>
        <v>#REF!</v>
      </c>
      <c r="G592" s="4" t="e">
        <f>T1.WELL("",E587,H587)</f>
        <v>#REF!</v>
      </c>
      <c r="H592" s="4" t="e">
        <f>T1.WELL("",E587,H587)</f>
        <v>#REF!</v>
      </c>
      <c r="I592" s="49"/>
      <c r="M592" s="33" t="s">
        <v>2033</v>
      </c>
      <c r="N592" s="3" t="e">
        <f>K590+4*K591</f>
        <v>#REF!</v>
      </c>
      <c r="O592" s="49"/>
      <c r="P592" s="49"/>
      <c r="Q592" s="49"/>
      <c r="R592" s="49"/>
      <c r="S592" s="49"/>
      <c r="T592" s="49"/>
      <c r="U592" s="49"/>
    </row>
    <row r="593" spans="1:27" ht="11.25" hidden="1" customHeight="1">
      <c r="B593" s="1" t="s">
        <v>418</v>
      </c>
      <c r="C593" s="4" t="e">
        <f>T1.WELL("",E587,H587)</f>
        <v>#REF!</v>
      </c>
      <c r="D593" s="4" t="e">
        <f>T1.WELL("",E587,H587)</f>
        <v>#REF!</v>
      </c>
      <c r="E593" s="4" t="e">
        <f>T1.WELL("",E587,H587)</f>
        <v>#REF!</v>
      </c>
      <c r="F593" s="4" t="e">
        <f>T1.WELL("",E587,H587)</f>
        <v>#REF!</v>
      </c>
      <c r="G593" s="4" t="e">
        <f>T1.WELL("",E587,H587)</f>
        <v>#REF!</v>
      </c>
      <c r="H593" s="4" t="e">
        <f>T1.WELL("",E587,H587)</f>
        <v>#REF!</v>
      </c>
      <c r="I593" s="49"/>
      <c r="M593" s="49"/>
      <c r="N593" s="49"/>
      <c r="O593" s="49"/>
      <c r="P593" s="49"/>
      <c r="Q593" s="49"/>
      <c r="R593" s="49"/>
      <c r="S593" s="49"/>
      <c r="T593" s="49"/>
      <c r="U593" s="49"/>
    </row>
    <row r="595" spans="1:27" s="66" customFormat="1" ht="11.25" customHeight="1">
      <c r="A595" s="66" t="s">
        <v>2027</v>
      </c>
      <c r="D595" s="67" t="s">
        <v>2063</v>
      </c>
      <c r="E595" s="66" t="s">
        <v>818</v>
      </c>
      <c r="G595" s="67" t="s">
        <v>816</v>
      </c>
      <c r="H595" s="66" t="s">
        <v>817</v>
      </c>
    </row>
    <row r="596" spans="1:27" s="35" customFormat="1" ht="11.25" hidden="1" customHeight="1">
      <c r="A596" s="27"/>
      <c r="D596" s="48"/>
    </row>
    <row r="597" spans="1:27" ht="11.25" hidden="1" customHeight="1">
      <c r="B597" s="1"/>
      <c r="C597" s="1">
        <v>1</v>
      </c>
      <c r="D597" s="1">
        <v>2</v>
      </c>
      <c r="E597" s="1">
        <v>3</v>
      </c>
      <c r="F597" s="1">
        <v>4</v>
      </c>
      <c r="G597" s="1">
        <v>5</v>
      </c>
      <c r="H597" s="1">
        <v>6</v>
      </c>
      <c r="I597" s="1">
        <v>7</v>
      </c>
      <c r="J597" s="1">
        <v>8</v>
      </c>
      <c r="K597" s="1">
        <v>9</v>
      </c>
      <c r="L597" s="1">
        <v>10</v>
      </c>
      <c r="M597" s="1">
        <v>11</v>
      </c>
      <c r="N597" s="1">
        <v>12</v>
      </c>
      <c r="O597" s="49"/>
      <c r="P597" s="49"/>
      <c r="Q597" s="49"/>
      <c r="R597" s="49"/>
      <c r="S597" s="49"/>
      <c r="T597" s="49"/>
      <c r="U597" s="49"/>
      <c r="V597" s="49"/>
      <c r="W597" s="49"/>
      <c r="X597" s="49"/>
      <c r="Y597" s="49"/>
      <c r="Z597" s="49"/>
      <c r="AA597" s="49"/>
    </row>
    <row r="598" spans="1:27" ht="11.25" hidden="1" customHeight="1">
      <c r="B598" s="1" t="s">
        <v>415</v>
      </c>
      <c r="C598" s="4" t="e">
        <f>T1.WELL("",E595,H595)</f>
        <v>#REF!</v>
      </c>
      <c r="D598" s="4" t="e">
        <f>T1.WELL("",E595,H595)</f>
        <v>#REF!</v>
      </c>
      <c r="E598" s="4" t="e">
        <f>T1.WELL("",E595,H595)</f>
        <v>#REF!</v>
      </c>
      <c r="F598" s="4" t="e">
        <f>T1.WELL("",E595,H595)</f>
        <v>#REF!</v>
      </c>
      <c r="G598" s="4" t="e">
        <f>T1.WELL("",E595,H595)</f>
        <v>#REF!</v>
      </c>
      <c r="H598" s="4" t="e">
        <f>T1.WELL("",E595,H595)</f>
        <v>#REF!</v>
      </c>
      <c r="I598" s="4" t="e">
        <f>T1.WELL("",E595,H595)</f>
        <v>#REF!</v>
      </c>
      <c r="J598" s="4" t="e">
        <f>T1.WELL("",E595,H595)</f>
        <v>#REF!</v>
      </c>
      <c r="K598" s="4" t="e">
        <f>T1.WELL("",E595,H595)</f>
        <v>#REF!</v>
      </c>
      <c r="L598" s="4" t="e">
        <f>T1.WELL("",E595,H595)</f>
        <v>#REF!</v>
      </c>
      <c r="M598" s="4" t="e">
        <f>T1.WELL("",E595,H595)</f>
        <v>#REF!</v>
      </c>
      <c r="N598" s="4" t="e">
        <f>T1.WELL("",E595,H595)</f>
        <v>#REF!</v>
      </c>
      <c r="O598" s="49"/>
      <c r="P598" s="33" t="s">
        <v>798</v>
      </c>
      <c r="Q598" s="3" t="e">
        <f>T1.role("CPD*","CPD_RESULT","avr")</f>
        <v>#REF!</v>
      </c>
      <c r="R598" s="49"/>
      <c r="S598" s="49"/>
      <c r="T598" s="49"/>
      <c r="U598" s="49"/>
      <c r="V598" s="49"/>
      <c r="W598" s="49"/>
      <c r="X598" s="49"/>
      <c r="Y598" s="49"/>
      <c r="Z598" s="49"/>
      <c r="AA598" s="49"/>
    </row>
    <row r="599" spans="1:27" ht="11.25" hidden="1" customHeight="1">
      <c r="B599" s="1" t="s">
        <v>416</v>
      </c>
      <c r="C599" s="4" t="e">
        <f>T1.WELL("",E595,H595)</f>
        <v>#REF!</v>
      </c>
      <c r="D599" s="4" t="e">
        <f>T1.WELL("",E595,H595)</f>
        <v>#REF!</v>
      </c>
      <c r="E599" s="4" t="e">
        <f>T1.WELL("",E595,H595)</f>
        <v>#REF!</v>
      </c>
      <c r="F599" s="4" t="e">
        <f>T1.WELL("",E595,H595)</f>
        <v>#REF!</v>
      </c>
      <c r="G599" s="4" t="e">
        <f>T1.WELL("",E595,H595)</f>
        <v>#REF!</v>
      </c>
      <c r="H599" s="4" t="e">
        <f>T1.WELL("",E595,H595)</f>
        <v>#REF!</v>
      </c>
      <c r="I599" s="4" t="e">
        <f>T1.WELL("",E595,H595)</f>
        <v>#REF!</v>
      </c>
      <c r="J599" s="4" t="e">
        <f>T1.WELL("",E595,H595)</f>
        <v>#REF!</v>
      </c>
      <c r="K599" s="4" t="e">
        <f>T1.WELL("",E595,H595)</f>
        <v>#REF!</v>
      </c>
      <c r="L599" s="4" t="e">
        <f>T1.WELL("",E595,H595)</f>
        <v>#REF!</v>
      </c>
      <c r="M599" s="4" t="e">
        <f>T1.WELL("",E595,H595)</f>
        <v>#REF!</v>
      </c>
      <c r="N599" s="4" t="e">
        <f>T1.WELL("",E595,H595)</f>
        <v>#REF!</v>
      </c>
      <c r="O599" s="49"/>
      <c r="P599" s="33" t="s">
        <v>2030</v>
      </c>
      <c r="Q599" s="3" t="e">
        <f>T1.role("CPD*","CPD_RESULT","sd")</f>
        <v>#REF!</v>
      </c>
      <c r="R599" s="49"/>
      <c r="S599" s="49"/>
      <c r="T599" s="49"/>
      <c r="U599" s="49"/>
      <c r="V599" s="49"/>
      <c r="W599" s="49"/>
      <c r="X599" s="49"/>
      <c r="Y599" s="49"/>
      <c r="Z599" s="49"/>
      <c r="AA599" s="49"/>
    </row>
    <row r="600" spans="1:27" ht="11.25" hidden="1" customHeight="1">
      <c r="B600" s="1" t="s">
        <v>417</v>
      </c>
      <c r="C600" s="4" t="e">
        <f>T1.WELL("",E595,H595)</f>
        <v>#REF!</v>
      </c>
      <c r="D600" s="4" t="e">
        <f>T1.WELL("",E595,H595)</f>
        <v>#REF!</v>
      </c>
      <c r="E600" s="4" t="e">
        <f>T1.WELL("",E595,H595)</f>
        <v>#REF!</v>
      </c>
      <c r="F600" s="4" t="e">
        <f>T1.WELL("",E595,H595)</f>
        <v>#REF!</v>
      </c>
      <c r="G600" s="4" t="e">
        <f>T1.WELL("",E595,H595)</f>
        <v>#REF!</v>
      </c>
      <c r="H600" s="4" t="e">
        <f>T1.WELL("",E595,H595)</f>
        <v>#REF!</v>
      </c>
      <c r="I600" s="4" t="e">
        <f>T1.WELL("",E595,H595)</f>
        <v>#REF!</v>
      </c>
      <c r="J600" s="4" t="e">
        <f>T1.WELL("",E595,H595)</f>
        <v>#REF!</v>
      </c>
      <c r="K600" s="4" t="e">
        <f>T1.WELL("",E595,H595)</f>
        <v>#REF!</v>
      </c>
      <c r="L600" s="4" t="e">
        <f>T1.WELL("",E595,H595)</f>
        <v>#REF!</v>
      </c>
      <c r="M600" s="4" t="e">
        <f>T1.WELL("",E595,H595)</f>
        <v>#REF!</v>
      </c>
      <c r="N600" s="4" t="e">
        <f>T1.WELL("",E595,H595)</f>
        <v>#REF!</v>
      </c>
      <c r="O600" s="49"/>
      <c r="P600" s="33" t="s">
        <v>2031</v>
      </c>
      <c r="Q600" s="3" t="e">
        <f>Q598+2*Q599</f>
        <v>#REF!</v>
      </c>
      <c r="R600" s="49"/>
      <c r="S600" s="49"/>
      <c r="T600" s="49"/>
      <c r="U600" s="49"/>
      <c r="V600" s="49"/>
      <c r="W600" s="49"/>
      <c r="X600" s="49"/>
      <c r="Y600" s="49"/>
      <c r="Z600" s="49"/>
      <c r="AA600" s="49"/>
    </row>
    <row r="601" spans="1:27" ht="11.25" hidden="1" customHeight="1">
      <c r="B601" s="1" t="s">
        <v>418</v>
      </c>
      <c r="C601" s="4" t="e">
        <f>T1.WELL("",E595,H595)</f>
        <v>#REF!</v>
      </c>
      <c r="D601" s="4" t="e">
        <f>T1.WELL("",E595,H595)</f>
        <v>#REF!</v>
      </c>
      <c r="E601" s="4" t="e">
        <f>T1.WELL("",E595,H595)</f>
        <v>#REF!</v>
      </c>
      <c r="F601" s="4" t="e">
        <f>T1.WELL("",E595,H595)</f>
        <v>#REF!</v>
      </c>
      <c r="G601" s="4" t="e">
        <f>T1.WELL("",E595,H595)</f>
        <v>#REF!</v>
      </c>
      <c r="H601" s="4" t="e">
        <f>T1.WELL("",E595,H595)</f>
        <v>#REF!</v>
      </c>
      <c r="I601" s="4" t="e">
        <f>T1.WELL("",E595,H595)</f>
        <v>#REF!</v>
      </c>
      <c r="J601" s="4" t="e">
        <f>T1.WELL("",E595,H595)</f>
        <v>#REF!</v>
      </c>
      <c r="K601" s="4" t="e">
        <f>T1.WELL("",E595,H595)</f>
        <v>#REF!</v>
      </c>
      <c r="L601" s="4" t="e">
        <f>T1.WELL("",E595,H595)</f>
        <v>#REF!</v>
      </c>
      <c r="M601" s="4" t="e">
        <f>T1.WELL("",E595,H595)</f>
        <v>#REF!</v>
      </c>
      <c r="N601" s="4" t="e">
        <f>T1.WELL("",E595,H595)</f>
        <v>#REF!</v>
      </c>
      <c r="O601" s="49"/>
      <c r="P601" s="33" t="s">
        <v>2032</v>
      </c>
      <c r="Q601" s="3" t="e">
        <f>Q598+3*Q599</f>
        <v>#REF!</v>
      </c>
      <c r="R601" s="49"/>
      <c r="S601" s="49"/>
      <c r="T601" s="49"/>
      <c r="U601" s="49"/>
      <c r="V601" s="49"/>
      <c r="W601" s="49"/>
      <c r="X601" s="49"/>
      <c r="Y601" s="49"/>
      <c r="Z601" s="49"/>
      <c r="AA601" s="49"/>
    </row>
    <row r="602" spans="1:27" ht="11.25" hidden="1" customHeight="1">
      <c r="B602" s="1" t="s">
        <v>419</v>
      </c>
      <c r="C602" s="4" t="e">
        <f>T1.WELL("",E595,H595)</f>
        <v>#REF!</v>
      </c>
      <c r="D602" s="4" t="e">
        <f>T1.WELL("",E595,H595)</f>
        <v>#REF!</v>
      </c>
      <c r="E602" s="4" t="e">
        <f>T1.WELL("",E595,H595)</f>
        <v>#REF!</v>
      </c>
      <c r="F602" s="4" t="e">
        <f>T1.WELL("",E595,H595)</f>
        <v>#REF!</v>
      </c>
      <c r="G602" s="4" t="e">
        <f>T1.WELL("",E595,H595)</f>
        <v>#REF!</v>
      </c>
      <c r="H602" s="4" t="e">
        <f>T1.WELL("",E595,H595)</f>
        <v>#REF!</v>
      </c>
      <c r="I602" s="4" t="e">
        <f>T1.WELL("",E595,H595)</f>
        <v>#REF!</v>
      </c>
      <c r="J602" s="4" t="e">
        <f>T1.WELL("",E595,H595)</f>
        <v>#REF!</v>
      </c>
      <c r="K602" s="4" t="e">
        <f>T1.WELL("",E595,H595)</f>
        <v>#REF!</v>
      </c>
      <c r="L602" s="4" t="e">
        <f>T1.WELL("",E595,H595)</f>
        <v>#REF!</v>
      </c>
      <c r="M602" s="4" t="e">
        <f>T1.WELL("",E595,H595)</f>
        <v>#REF!</v>
      </c>
      <c r="N602" s="4" t="e">
        <f>T1.WELL("",E595,H595)</f>
        <v>#REF!</v>
      </c>
      <c r="O602" s="49"/>
      <c r="P602" s="33" t="s">
        <v>2033</v>
      </c>
      <c r="Q602" s="3" t="e">
        <f>Q598+4*Q599</f>
        <v>#REF!</v>
      </c>
      <c r="R602" s="49"/>
      <c r="S602" s="49"/>
      <c r="T602" s="49"/>
      <c r="U602" s="49"/>
      <c r="V602" s="49"/>
      <c r="W602" s="49"/>
      <c r="X602" s="49"/>
      <c r="Y602" s="49"/>
      <c r="Z602" s="49"/>
      <c r="AA602" s="49"/>
    </row>
    <row r="603" spans="1:27" ht="11.25" hidden="1" customHeight="1">
      <c r="B603" s="1" t="s">
        <v>420</v>
      </c>
      <c r="C603" s="4" t="e">
        <f>T1.WELL("",E595,H595)</f>
        <v>#REF!</v>
      </c>
      <c r="D603" s="4" t="e">
        <f>T1.WELL("",E595,H595)</f>
        <v>#REF!</v>
      </c>
      <c r="E603" s="4" t="e">
        <f>T1.WELL("",E595,H595)</f>
        <v>#REF!</v>
      </c>
      <c r="F603" s="4" t="e">
        <f>T1.WELL("",E595,H595)</f>
        <v>#REF!</v>
      </c>
      <c r="G603" s="4" t="e">
        <f>T1.WELL("",E595,H595)</f>
        <v>#REF!</v>
      </c>
      <c r="H603" s="4" t="e">
        <f>T1.WELL("",E595,H595)</f>
        <v>#REF!</v>
      </c>
      <c r="I603" s="4" t="e">
        <f>T1.WELL("",E595,H595)</f>
        <v>#REF!</v>
      </c>
      <c r="J603" s="4" t="e">
        <f>T1.WELL("",E595,H595)</f>
        <v>#REF!</v>
      </c>
      <c r="K603" s="4" t="e">
        <f>T1.WELL("",E595,H595)</f>
        <v>#REF!</v>
      </c>
      <c r="L603" s="4" t="e">
        <f>T1.WELL("",E595,H595)</f>
        <v>#REF!</v>
      </c>
      <c r="M603" s="4" t="e">
        <f>T1.WELL("",E595,H595)</f>
        <v>#REF!</v>
      </c>
      <c r="N603" s="4" t="e">
        <f>T1.WELL("",E595,H595)</f>
        <v>#REF!</v>
      </c>
      <c r="O603" s="49"/>
      <c r="P603" s="33"/>
      <c r="Q603" s="3"/>
      <c r="R603" s="49"/>
      <c r="S603" s="49"/>
      <c r="T603" s="49"/>
      <c r="U603" s="49"/>
      <c r="V603" s="49"/>
      <c r="W603" s="49"/>
      <c r="X603" s="49"/>
      <c r="Y603" s="49"/>
      <c r="Z603" s="49"/>
      <c r="AA603" s="49"/>
    </row>
    <row r="604" spans="1:27" ht="11.25" hidden="1" customHeight="1">
      <c r="B604" s="1" t="s">
        <v>421</v>
      </c>
      <c r="C604" s="4" t="e">
        <f>T1.WELL("",E595,H595)</f>
        <v>#REF!</v>
      </c>
      <c r="D604" s="4" t="e">
        <f>T1.WELL("",E595,H595)</f>
        <v>#REF!</v>
      </c>
      <c r="E604" s="4" t="e">
        <f>T1.WELL("",E595,H595)</f>
        <v>#REF!</v>
      </c>
      <c r="F604" s="4" t="e">
        <f>T1.WELL("",E595,H595)</f>
        <v>#REF!</v>
      </c>
      <c r="G604" s="4" t="e">
        <f>T1.WELL("",E595,H595)</f>
        <v>#REF!</v>
      </c>
      <c r="H604" s="4" t="e">
        <f>T1.WELL("",E595,H595)</f>
        <v>#REF!</v>
      </c>
      <c r="I604" s="4" t="e">
        <f>T1.WELL("",E595,H595)</f>
        <v>#REF!</v>
      </c>
      <c r="J604" s="4" t="e">
        <f>T1.WELL("",E595,H595)</f>
        <v>#REF!</v>
      </c>
      <c r="K604" s="4" t="e">
        <f>T1.WELL("",E595,H595)</f>
        <v>#REF!</v>
      </c>
      <c r="L604" s="4" t="e">
        <f>T1.WELL("",E595,H595)</f>
        <v>#REF!</v>
      </c>
      <c r="M604" s="4" t="e">
        <f>T1.WELL("",E595,H595)</f>
        <v>#REF!</v>
      </c>
      <c r="N604" s="4" t="e">
        <f>T1.WELL("",E595,H595)</f>
        <v>#REF!</v>
      </c>
      <c r="O604" s="49"/>
      <c r="P604" s="33"/>
      <c r="Q604" s="3"/>
      <c r="R604" s="49"/>
      <c r="S604" s="49"/>
      <c r="T604" s="49"/>
      <c r="U604" s="49"/>
      <c r="V604" s="49"/>
      <c r="W604" s="49"/>
      <c r="X604" s="49"/>
      <c r="Y604" s="49"/>
      <c r="Z604" s="49"/>
      <c r="AA604" s="49"/>
    </row>
    <row r="605" spans="1:27" ht="11.25" hidden="1" customHeight="1">
      <c r="B605" s="1" t="s">
        <v>422</v>
      </c>
      <c r="C605" s="4" t="e">
        <f>T1.WELL("",E595,H595)</f>
        <v>#REF!</v>
      </c>
      <c r="D605" s="4" t="e">
        <f>T1.WELL("",E595,H595)</f>
        <v>#REF!</v>
      </c>
      <c r="E605" s="4" t="e">
        <f>T1.WELL("",E595,H595)</f>
        <v>#REF!</v>
      </c>
      <c r="F605" s="4" t="e">
        <f>T1.WELL("",E595,H595)</f>
        <v>#REF!</v>
      </c>
      <c r="G605" s="4" t="e">
        <f>T1.WELL("",E595,H595)</f>
        <v>#REF!</v>
      </c>
      <c r="H605" s="4" t="e">
        <f>T1.WELL("",E595,H595)</f>
        <v>#REF!</v>
      </c>
      <c r="I605" s="4" t="e">
        <f>T1.WELL("",E595,H595)</f>
        <v>#REF!</v>
      </c>
      <c r="J605" s="4" t="e">
        <f>T1.WELL("",E595,H595)</f>
        <v>#REF!</v>
      </c>
      <c r="K605" s="4" t="e">
        <f>T1.WELL("",E595,H595)</f>
        <v>#REF!</v>
      </c>
      <c r="L605" s="4" t="e">
        <f>T1.WELL("",E595,H595)</f>
        <v>#REF!</v>
      </c>
      <c r="M605" s="4" t="e">
        <f>T1.WELL("",E595,H595)</f>
        <v>#REF!</v>
      </c>
      <c r="N605" s="4" t="e">
        <f>T1.WELL("",E595,H595)</f>
        <v>#REF!</v>
      </c>
      <c r="O605" s="49"/>
      <c r="P605" s="33"/>
      <c r="Q605" s="3"/>
      <c r="R605" s="49"/>
      <c r="S605" s="49"/>
      <c r="T605" s="49"/>
      <c r="U605" s="49"/>
      <c r="V605" s="49"/>
      <c r="W605" s="49"/>
      <c r="X605" s="49"/>
      <c r="Y605" s="49"/>
      <c r="Z605" s="49"/>
      <c r="AA605" s="49"/>
    </row>
    <row r="607" spans="1:27" s="66" customFormat="1" ht="11.25" customHeight="1">
      <c r="A607" s="66" t="s">
        <v>2028</v>
      </c>
      <c r="D607" s="67" t="s">
        <v>2063</v>
      </c>
      <c r="E607" s="66" t="s">
        <v>818</v>
      </c>
      <c r="G607" s="67" t="s">
        <v>816</v>
      </c>
      <c r="H607" s="66" t="s">
        <v>817</v>
      </c>
    </row>
    <row r="608" spans="1:27" s="35" customFormat="1" ht="11.25" hidden="1" customHeight="1">
      <c r="A608" s="27"/>
      <c r="D608" s="48"/>
    </row>
    <row r="609" spans="2:26" ht="11.25" hidden="1" customHeight="1">
      <c r="B609" s="1"/>
      <c r="C609" s="1">
        <v>1</v>
      </c>
      <c r="D609" s="1">
        <v>2</v>
      </c>
      <c r="E609" s="1">
        <v>3</v>
      </c>
      <c r="F609" s="1">
        <v>4</v>
      </c>
      <c r="G609" s="1">
        <v>5</v>
      </c>
      <c r="H609" s="1">
        <v>6</v>
      </c>
      <c r="I609" s="1">
        <v>7</v>
      </c>
      <c r="J609" s="1">
        <v>8</v>
      </c>
      <c r="K609" s="1">
        <v>9</v>
      </c>
      <c r="L609" s="1">
        <v>10</v>
      </c>
      <c r="M609" s="1">
        <v>11</v>
      </c>
      <c r="N609" s="1">
        <v>12</v>
      </c>
      <c r="O609" s="1">
        <v>13</v>
      </c>
      <c r="P609" s="1">
        <v>14</v>
      </c>
      <c r="Q609" s="1">
        <v>15</v>
      </c>
      <c r="R609" s="1">
        <v>16</v>
      </c>
      <c r="S609" s="1">
        <v>17</v>
      </c>
      <c r="T609" s="1">
        <v>18</v>
      </c>
      <c r="U609" s="1">
        <v>19</v>
      </c>
      <c r="V609" s="1">
        <v>20</v>
      </c>
      <c r="W609" s="1">
        <v>21</v>
      </c>
      <c r="X609" s="1">
        <v>22</v>
      </c>
      <c r="Y609" s="1">
        <v>23</v>
      </c>
      <c r="Z609" s="1">
        <v>24</v>
      </c>
    </row>
    <row r="610" spans="2:26" ht="11.25" hidden="1" customHeight="1">
      <c r="B610" s="1" t="s">
        <v>415</v>
      </c>
      <c r="C610" s="4" t="e">
        <f>T1.WELL("",E607,H607)</f>
        <v>#REF!</v>
      </c>
      <c r="D610" s="4" t="e">
        <f>T1.WELL("",E607,H607)</f>
        <v>#REF!</v>
      </c>
      <c r="E610" s="4" t="e">
        <f>T1.WELL("",E607,H607)</f>
        <v>#REF!</v>
      </c>
      <c r="F610" s="4" t="e">
        <f>T1.WELL("",E607,H607)</f>
        <v>#REF!</v>
      </c>
      <c r="G610" s="4" t="e">
        <f>T1.WELL("",E607,H607)</f>
        <v>#REF!</v>
      </c>
      <c r="H610" s="4" t="e">
        <f>T1.WELL("",E607,H607)</f>
        <v>#REF!</v>
      </c>
      <c r="I610" s="4" t="e">
        <f>T1.WELL("",E607,H607)</f>
        <v>#REF!</v>
      </c>
      <c r="J610" s="4" t="e">
        <f>T1.WELL("",E607,H607)</f>
        <v>#REF!</v>
      </c>
      <c r="K610" s="4" t="e">
        <f>T1.WELL("",E607,H607)</f>
        <v>#REF!</v>
      </c>
      <c r="L610" s="4" t="e">
        <f>T1.WELL("",E607,H607)</f>
        <v>#REF!</v>
      </c>
      <c r="M610" s="4" t="e">
        <f>T1.WELL("",E607,H607)</f>
        <v>#REF!</v>
      </c>
      <c r="N610" s="4" t="e">
        <f>T1.WELL("",E607,H607)</f>
        <v>#REF!</v>
      </c>
      <c r="O610" s="4" t="e">
        <f>T1.WELL("",E607,H607)</f>
        <v>#REF!</v>
      </c>
      <c r="P610" s="4" t="e">
        <f>T1.WELL("",E607,H607)</f>
        <v>#REF!</v>
      </c>
      <c r="Q610" s="4" t="e">
        <f>T1.WELL("",E607,H607)</f>
        <v>#REF!</v>
      </c>
      <c r="R610" s="4" t="e">
        <f>T1.WELL("",E607,H607)</f>
        <v>#REF!</v>
      </c>
      <c r="S610" s="4" t="e">
        <f>T1.WELL("",E607,H607)</f>
        <v>#REF!</v>
      </c>
      <c r="T610" s="4" t="e">
        <f>T1.WELL("",E607,H607)</f>
        <v>#REF!</v>
      </c>
      <c r="U610" s="4" t="e">
        <f>T1.WELL("",E607,H607)</f>
        <v>#REF!</v>
      </c>
      <c r="V610" s="4" t="e">
        <f>T1.WELL("",E607,H607)</f>
        <v>#REF!</v>
      </c>
      <c r="W610" s="4" t="e">
        <f>T1.WELL("",E607,H607)</f>
        <v>#REF!</v>
      </c>
      <c r="X610" s="4" t="e">
        <f>T1.WELL("",E607,H607)</f>
        <v>#REF!</v>
      </c>
      <c r="Y610" s="4" t="e">
        <f>T1.WELL("",E607,H607)</f>
        <v>#REF!</v>
      </c>
      <c r="Z610" s="4" t="e">
        <f>T1.WELL("",E607,H607)</f>
        <v>#REF!</v>
      </c>
    </row>
    <row r="611" spans="2:26" ht="11.25" hidden="1" customHeight="1">
      <c r="B611" s="1" t="s">
        <v>416</v>
      </c>
      <c r="C611" s="4" t="e">
        <f>T1.WELL("",E607,H607)</f>
        <v>#REF!</v>
      </c>
      <c r="D611" s="4" t="e">
        <f>T1.WELL("",E607,H607)</f>
        <v>#REF!</v>
      </c>
      <c r="E611" s="4" t="e">
        <f>T1.WELL("",E607,H607)</f>
        <v>#REF!</v>
      </c>
      <c r="F611" s="4" t="e">
        <f>T1.WELL("",E607,H607)</f>
        <v>#REF!</v>
      </c>
      <c r="G611" s="4" t="e">
        <f>T1.WELL("",E607,H607)</f>
        <v>#REF!</v>
      </c>
      <c r="H611" s="4" t="e">
        <f>T1.WELL("",E607,H607)</f>
        <v>#REF!</v>
      </c>
      <c r="I611" s="4" t="e">
        <f>T1.WELL("",E607,H607)</f>
        <v>#REF!</v>
      </c>
      <c r="J611" s="4" t="e">
        <f>T1.WELL("",E607,H607)</f>
        <v>#REF!</v>
      </c>
      <c r="K611" s="4" t="e">
        <f>T1.WELL("",E607,H607)</f>
        <v>#REF!</v>
      </c>
      <c r="L611" s="4" t="e">
        <f>T1.WELL("",E607,H607)</f>
        <v>#REF!</v>
      </c>
      <c r="M611" s="4" t="e">
        <f>T1.WELL("",E607,H607)</f>
        <v>#REF!</v>
      </c>
      <c r="N611" s="4" t="e">
        <f>T1.WELL("",E607,H607)</f>
        <v>#REF!</v>
      </c>
      <c r="O611" s="4" t="e">
        <f>T1.WELL("",E607,H607)</f>
        <v>#REF!</v>
      </c>
      <c r="P611" s="4" t="e">
        <f>T1.WELL("",E607,H607)</f>
        <v>#REF!</v>
      </c>
      <c r="Q611" s="4" t="e">
        <f>T1.WELL("",E607,H607)</f>
        <v>#REF!</v>
      </c>
      <c r="R611" s="4" t="e">
        <f>T1.WELL("",E607,H607)</f>
        <v>#REF!</v>
      </c>
      <c r="S611" s="4" t="e">
        <f>T1.WELL("",E607,H607)</f>
        <v>#REF!</v>
      </c>
      <c r="T611" s="4" t="e">
        <f>T1.WELL("",E607,H607)</f>
        <v>#REF!</v>
      </c>
      <c r="U611" s="4" t="e">
        <f>T1.WELL("",E607,H607)</f>
        <v>#REF!</v>
      </c>
      <c r="V611" s="4" t="e">
        <f>T1.WELL("",E607,H607)</f>
        <v>#REF!</v>
      </c>
      <c r="W611" s="4" t="e">
        <f>T1.WELL("",E607,H607)</f>
        <v>#REF!</v>
      </c>
      <c r="X611" s="4" t="e">
        <f>T1.WELL("",E607,H607)</f>
        <v>#REF!</v>
      </c>
      <c r="Y611" s="4" t="e">
        <f>T1.WELL("",E607,H607)</f>
        <v>#REF!</v>
      </c>
      <c r="Z611" s="4" t="e">
        <f>T1.WELL("",E607,H607)</f>
        <v>#REF!</v>
      </c>
    </row>
    <row r="612" spans="2:26" ht="11.25" hidden="1" customHeight="1">
      <c r="B612" s="1" t="s">
        <v>417</v>
      </c>
      <c r="C612" s="4" t="e">
        <f>T1.WELL("",E607,H607)</f>
        <v>#REF!</v>
      </c>
      <c r="D612" s="4" t="e">
        <f>T1.WELL("",E607,H607)</f>
        <v>#REF!</v>
      </c>
      <c r="E612" s="4" t="e">
        <f>T1.WELL("",E607,H607)</f>
        <v>#REF!</v>
      </c>
      <c r="F612" s="4" t="e">
        <f>T1.WELL("",E607,H607)</f>
        <v>#REF!</v>
      </c>
      <c r="G612" s="4" t="e">
        <f>T1.WELL("",E607,H607)</f>
        <v>#REF!</v>
      </c>
      <c r="H612" s="4" t="e">
        <f>T1.WELL("",E607,H607)</f>
        <v>#REF!</v>
      </c>
      <c r="I612" s="4" t="e">
        <f>T1.WELL("",E607,H607)</f>
        <v>#REF!</v>
      </c>
      <c r="J612" s="4" t="e">
        <f>T1.WELL("",E607,H607)</f>
        <v>#REF!</v>
      </c>
      <c r="K612" s="4" t="e">
        <f>T1.WELL("",E607,H607)</f>
        <v>#REF!</v>
      </c>
      <c r="L612" s="4" t="e">
        <f>T1.WELL("",E607,H607)</f>
        <v>#REF!</v>
      </c>
      <c r="M612" s="4" t="e">
        <f>T1.WELL("",E607,H607)</f>
        <v>#REF!</v>
      </c>
      <c r="N612" s="4" t="e">
        <f>T1.WELL("",E607,H607)</f>
        <v>#REF!</v>
      </c>
      <c r="O612" s="4" t="e">
        <f>T1.WELL("",E607,H607)</f>
        <v>#REF!</v>
      </c>
      <c r="P612" s="4" t="e">
        <f>T1.WELL("",E607,H607)</f>
        <v>#REF!</v>
      </c>
      <c r="Q612" s="4" t="e">
        <f>T1.WELL("",E607,H607)</f>
        <v>#REF!</v>
      </c>
      <c r="R612" s="4" t="e">
        <f>T1.WELL("",E607,H607)</f>
        <v>#REF!</v>
      </c>
      <c r="S612" s="4" t="e">
        <f>T1.WELL("",E607,H607)</f>
        <v>#REF!</v>
      </c>
      <c r="T612" s="4" t="e">
        <f>T1.WELL("",E607,H607)</f>
        <v>#REF!</v>
      </c>
      <c r="U612" s="4" t="e">
        <f>T1.WELL("",E607,H607)</f>
        <v>#REF!</v>
      </c>
      <c r="V612" s="4" t="e">
        <f>T1.WELL("",E607,H607)</f>
        <v>#REF!</v>
      </c>
      <c r="W612" s="4" t="e">
        <f>T1.WELL("",E607,H607)</f>
        <v>#REF!</v>
      </c>
      <c r="X612" s="4" t="e">
        <f>T1.WELL("",E607,H607)</f>
        <v>#REF!</v>
      </c>
      <c r="Y612" s="4" t="e">
        <f>T1.WELL("",E607,H607)</f>
        <v>#REF!</v>
      </c>
      <c r="Z612" s="4" t="e">
        <f>T1.WELL("",E607,H607)</f>
        <v>#REF!</v>
      </c>
    </row>
    <row r="613" spans="2:26" ht="11.25" hidden="1" customHeight="1">
      <c r="B613" s="1" t="s">
        <v>418</v>
      </c>
      <c r="C613" s="4" t="e">
        <f>T1.WELL("",E607,H607)</f>
        <v>#REF!</v>
      </c>
      <c r="D613" s="4" t="e">
        <f>T1.WELL("",E607,H607)</f>
        <v>#REF!</v>
      </c>
      <c r="E613" s="4" t="e">
        <f>T1.WELL("",E607,H607)</f>
        <v>#REF!</v>
      </c>
      <c r="F613" s="4" t="e">
        <f>T1.WELL("",E607,H607)</f>
        <v>#REF!</v>
      </c>
      <c r="G613" s="4" t="e">
        <f>T1.WELL("",E607,H607)</f>
        <v>#REF!</v>
      </c>
      <c r="H613" s="4" t="e">
        <f>T1.WELL("",E607,H607)</f>
        <v>#REF!</v>
      </c>
      <c r="I613" s="4" t="e">
        <f>T1.WELL("",E607,H607)</f>
        <v>#REF!</v>
      </c>
      <c r="J613" s="4" t="e">
        <f>T1.WELL("",E607,H607)</f>
        <v>#REF!</v>
      </c>
      <c r="K613" s="4" t="e">
        <f>T1.WELL("",E607,H607)</f>
        <v>#REF!</v>
      </c>
      <c r="L613" s="4" t="e">
        <f>T1.WELL("",E607,H607)</f>
        <v>#REF!</v>
      </c>
      <c r="M613" s="4" t="e">
        <f>T1.WELL("",E607,H607)</f>
        <v>#REF!</v>
      </c>
      <c r="N613" s="4" t="e">
        <f>T1.WELL("",E607,H607)</f>
        <v>#REF!</v>
      </c>
      <c r="O613" s="4" t="e">
        <f>T1.WELL("",E607,H607)</f>
        <v>#REF!</v>
      </c>
      <c r="P613" s="4" t="e">
        <f>T1.WELL("",E607,H607)</f>
        <v>#REF!</v>
      </c>
      <c r="Q613" s="4" t="e">
        <f>T1.WELL("",E607,H607)</f>
        <v>#REF!</v>
      </c>
      <c r="R613" s="4" t="e">
        <f>T1.WELL("",E607,H607)</f>
        <v>#REF!</v>
      </c>
      <c r="S613" s="4" t="e">
        <f>T1.WELL("",E607,H607)</f>
        <v>#REF!</v>
      </c>
      <c r="T613" s="4" t="e">
        <f>T1.WELL("",E607,H607)</f>
        <v>#REF!</v>
      </c>
      <c r="U613" s="4" t="e">
        <f>T1.WELL("",E607,H607)</f>
        <v>#REF!</v>
      </c>
      <c r="V613" s="4" t="e">
        <f>T1.WELL("",E607,H607)</f>
        <v>#REF!</v>
      </c>
      <c r="W613" s="4" t="e">
        <f>T1.WELL("",E607,H607)</f>
        <v>#REF!</v>
      </c>
      <c r="X613" s="4" t="e">
        <f>T1.WELL("",E607,H607)</f>
        <v>#REF!</v>
      </c>
      <c r="Y613" s="4" t="e">
        <f>T1.WELL("",E607,H607)</f>
        <v>#REF!</v>
      </c>
      <c r="Z613" s="4" t="e">
        <f>T1.WELL("",E607,H607)</f>
        <v>#REF!</v>
      </c>
    </row>
    <row r="614" spans="2:26" ht="11.25" hidden="1" customHeight="1">
      <c r="B614" s="1" t="s">
        <v>419</v>
      </c>
      <c r="C614" s="4" t="e">
        <f>T1.WELL("",E607,H607)</f>
        <v>#REF!</v>
      </c>
      <c r="D614" s="4" t="e">
        <f>T1.WELL("",E607,H607)</f>
        <v>#REF!</v>
      </c>
      <c r="E614" s="4" t="e">
        <f>T1.WELL("",E607,H607)</f>
        <v>#REF!</v>
      </c>
      <c r="F614" s="4" t="e">
        <f>T1.WELL("",E607,H607)</f>
        <v>#REF!</v>
      </c>
      <c r="G614" s="4" t="e">
        <f>T1.WELL("",E607,H607)</f>
        <v>#REF!</v>
      </c>
      <c r="H614" s="4" t="e">
        <f>T1.WELL("",E607,H607)</f>
        <v>#REF!</v>
      </c>
      <c r="I614" s="4" t="e">
        <f>T1.WELL("",E607,H607)</f>
        <v>#REF!</v>
      </c>
      <c r="J614" s="4" t="e">
        <f>T1.WELL("",E607,H607)</f>
        <v>#REF!</v>
      </c>
      <c r="K614" s="4" t="e">
        <f>T1.WELL("",E607,H607)</f>
        <v>#REF!</v>
      </c>
      <c r="L614" s="4" t="e">
        <f>T1.WELL("",E607,H607)</f>
        <v>#REF!</v>
      </c>
      <c r="M614" s="4" t="e">
        <f>T1.WELL("",E607,H607)</f>
        <v>#REF!</v>
      </c>
      <c r="N614" s="4" t="e">
        <f>T1.WELL("",E607,H607)</f>
        <v>#REF!</v>
      </c>
      <c r="O614" s="4" t="e">
        <f>T1.WELL("",E607,H607)</f>
        <v>#REF!</v>
      </c>
      <c r="P614" s="4" t="e">
        <f>T1.WELL("",E607,H607)</f>
        <v>#REF!</v>
      </c>
      <c r="Q614" s="4" t="e">
        <f>T1.WELL("",E607,H607)</f>
        <v>#REF!</v>
      </c>
      <c r="R614" s="4" t="e">
        <f>T1.WELL("",E607,H607)</f>
        <v>#REF!</v>
      </c>
      <c r="S614" s="4" t="e">
        <f>T1.WELL("",E607,H607)</f>
        <v>#REF!</v>
      </c>
      <c r="T614" s="4" t="e">
        <f>T1.WELL("",E607,H607)</f>
        <v>#REF!</v>
      </c>
      <c r="U614" s="4" t="e">
        <f>T1.WELL("",E607,H607)</f>
        <v>#REF!</v>
      </c>
      <c r="V614" s="4" t="e">
        <f>T1.WELL("",E607,H607)</f>
        <v>#REF!</v>
      </c>
      <c r="W614" s="4" t="e">
        <f>T1.WELL("",E607,H607)</f>
        <v>#REF!</v>
      </c>
      <c r="X614" s="4" t="e">
        <f>T1.WELL("",E607,H607)</f>
        <v>#REF!</v>
      </c>
      <c r="Y614" s="4" t="e">
        <f>T1.WELL("",E607,H607)</f>
        <v>#REF!</v>
      </c>
      <c r="Z614" s="4" t="e">
        <f>T1.WELL("",E607,H607)</f>
        <v>#REF!</v>
      </c>
    </row>
    <row r="615" spans="2:26" ht="11.25" hidden="1" customHeight="1">
      <c r="B615" s="1" t="s">
        <v>420</v>
      </c>
      <c r="C615" s="4" t="e">
        <f>T1.WELL("",E607,H607)</f>
        <v>#REF!</v>
      </c>
      <c r="D615" s="4" t="e">
        <f>T1.WELL("",E607,H607)</f>
        <v>#REF!</v>
      </c>
      <c r="E615" s="4" t="e">
        <f>T1.WELL("",E607,H607)</f>
        <v>#REF!</v>
      </c>
      <c r="F615" s="4" t="e">
        <f>T1.WELL("",E607,H607)</f>
        <v>#REF!</v>
      </c>
      <c r="G615" s="4" t="e">
        <f>T1.WELL("",E607,H607)</f>
        <v>#REF!</v>
      </c>
      <c r="H615" s="4" t="e">
        <f>T1.WELL("",E607,H607)</f>
        <v>#REF!</v>
      </c>
      <c r="I615" s="4" t="e">
        <f>T1.WELL("",E607,H607)</f>
        <v>#REF!</v>
      </c>
      <c r="J615" s="4" t="e">
        <f>T1.WELL("",E607,H607)</f>
        <v>#REF!</v>
      </c>
      <c r="K615" s="4" t="e">
        <f>T1.WELL("",E607,H607)</f>
        <v>#REF!</v>
      </c>
      <c r="L615" s="4" t="e">
        <f>T1.WELL("",E607,H607)</f>
        <v>#REF!</v>
      </c>
      <c r="M615" s="4" t="e">
        <f>T1.WELL("",E607,H607)</f>
        <v>#REF!</v>
      </c>
      <c r="N615" s="4" t="e">
        <f>T1.WELL("",E607,H607)</f>
        <v>#REF!</v>
      </c>
      <c r="O615" s="4" t="e">
        <f>T1.WELL("",E607,H607)</f>
        <v>#REF!</v>
      </c>
      <c r="P615" s="4" t="e">
        <f>T1.WELL("",E607,H607)</f>
        <v>#REF!</v>
      </c>
      <c r="Q615" s="4" t="e">
        <f>T1.WELL("",E607,H607)</f>
        <v>#REF!</v>
      </c>
      <c r="R615" s="4" t="e">
        <f>T1.WELL("",E607,H607)</f>
        <v>#REF!</v>
      </c>
      <c r="S615" s="4" t="e">
        <f>T1.WELL("",E607,H607)</f>
        <v>#REF!</v>
      </c>
      <c r="T615" s="4" t="e">
        <f>T1.WELL("",E607,H607)</f>
        <v>#REF!</v>
      </c>
      <c r="U615" s="4" t="e">
        <f>T1.WELL("",E607,H607)</f>
        <v>#REF!</v>
      </c>
      <c r="V615" s="4" t="e">
        <f>T1.WELL("",E607,H607)</f>
        <v>#REF!</v>
      </c>
      <c r="W615" s="4" t="e">
        <f>T1.WELL("",E607,H607)</f>
        <v>#REF!</v>
      </c>
      <c r="X615" s="4" t="e">
        <f>T1.WELL("",E607,H607)</f>
        <v>#REF!</v>
      </c>
      <c r="Y615" s="4" t="e">
        <f>T1.WELL("",E607,H607)</f>
        <v>#REF!</v>
      </c>
      <c r="Z615" s="4" t="e">
        <f>T1.WELL("",E607,H607)</f>
        <v>#REF!</v>
      </c>
    </row>
    <row r="616" spans="2:26" ht="11.25" hidden="1" customHeight="1">
      <c r="B616" s="1" t="s">
        <v>421</v>
      </c>
      <c r="C616" s="4" t="e">
        <f>T1.WELL("",E607,H607)</f>
        <v>#REF!</v>
      </c>
      <c r="D616" s="4" t="e">
        <f>T1.WELL("",E607,H607)</f>
        <v>#REF!</v>
      </c>
      <c r="E616" s="4" t="e">
        <f>T1.WELL("",E607,H607)</f>
        <v>#REF!</v>
      </c>
      <c r="F616" s="4" t="e">
        <f>T1.WELL("",E607,H607)</f>
        <v>#REF!</v>
      </c>
      <c r="G616" s="4" t="e">
        <f>T1.WELL("",E607,H607)</f>
        <v>#REF!</v>
      </c>
      <c r="H616" s="4" t="e">
        <f>T1.WELL("",E607,H607)</f>
        <v>#REF!</v>
      </c>
      <c r="I616" s="4" t="e">
        <f>T1.WELL("",E607,H607)</f>
        <v>#REF!</v>
      </c>
      <c r="J616" s="4" t="e">
        <f>T1.WELL("",E607,H607)</f>
        <v>#REF!</v>
      </c>
      <c r="K616" s="4" t="e">
        <f>T1.WELL("",E607,H607)</f>
        <v>#REF!</v>
      </c>
      <c r="L616" s="4" t="e">
        <f>T1.WELL("",E607,H607)</f>
        <v>#REF!</v>
      </c>
      <c r="M616" s="4" t="e">
        <f>T1.WELL("",E607,H607)</f>
        <v>#REF!</v>
      </c>
      <c r="N616" s="4" t="e">
        <f>T1.WELL("",E607,H607)</f>
        <v>#REF!</v>
      </c>
      <c r="O616" s="4" t="e">
        <f>T1.WELL("",E607,H607)</f>
        <v>#REF!</v>
      </c>
      <c r="P616" s="4" t="e">
        <f>T1.WELL("",E607,H607)</f>
        <v>#REF!</v>
      </c>
      <c r="Q616" s="4" t="e">
        <f>T1.WELL("",E607,H607)</f>
        <v>#REF!</v>
      </c>
      <c r="R616" s="4" t="e">
        <f>T1.WELL("",E607,H607)</f>
        <v>#REF!</v>
      </c>
      <c r="S616" s="4" t="e">
        <f>T1.WELL("",E607,H607)</f>
        <v>#REF!</v>
      </c>
      <c r="T616" s="4" t="e">
        <f>T1.WELL("",E607,H607)</f>
        <v>#REF!</v>
      </c>
      <c r="U616" s="4" t="e">
        <f>T1.WELL("",E607,H607)</f>
        <v>#REF!</v>
      </c>
      <c r="V616" s="4" t="e">
        <f>T1.WELL("",E607,H607)</f>
        <v>#REF!</v>
      </c>
      <c r="W616" s="4" t="e">
        <f>T1.WELL("",E607,H607)</f>
        <v>#REF!</v>
      </c>
      <c r="X616" s="4" t="e">
        <f>T1.WELL("",E607,H607)</f>
        <v>#REF!</v>
      </c>
      <c r="Y616" s="4" t="e">
        <f>T1.WELL("",E607,H607)</f>
        <v>#REF!</v>
      </c>
      <c r="Z616" s="4" t="e">
        <f>T1.WELL("",E607,H607)</f>
        <v>#REF!</v>
      </c>
    </row>
    <row r="617" spans="2:26" ht="11.25" hidden="1" customHeight="1">
      <c r="B617" s="1" t="s">
        <v>422</v>
      </c>
      <c r="C617" s="4" t="e">
        <f>T1.WELL("",E607,H607)</f>
        <v>#REF!</v>
      </c>
      <c r="D617" s="4" t="e">
        <f>T1.WELL("",E607,H607)</f>
        <v>#REF!</v>
      </c>
      <c r="E617" s="4" t="e">
        <f>T1.WELL("",E607,H607)</f>
        <v>#REF!</v>
      </c>
      <c r="F617" s="4" t="e">
        <f>T1.WELL("",E607,H607)</f>
        <v>#REF!</v>
      </c>
      <c r="G617" s="4" t="e">
        <f>T1.WELL("",E607,H607)</f>
        <v>#REF!</v>
      </c>
      <c r="H617" s="4" t="e">
        <f>T1.WELL("",E607,H607)</f>
        <v>#REF!</v>
      </c>
      <c r="I617" s="4" t="e">
        <f>T1.WELL("",E607,H607)</f>
        <v>#REF!</v>
      </c>
      <c r="J617" s="4" t="e">
        <f>T1.WELL("",E607,H607)</f>
        <v>#REF!</v>
      </c>
      <c r="K617" s="4" t="e">
        <f>T1.WELL("",E607,H607)</f>
        <v>#REF!</v>
      </c>
      <c r="L617" s="4" t="e">
        <f>T1.WELL("",E607,H607)</f>
        <v>#REF!</v>
      </c>
      <c r="M617" s="4" t="e">
        <f>T1.WELL("",E607,H607)</f>
        <v>#REF!</v>
      </c>
      <c r="N617" s="4" t="e">
        <f>T1.WELL("",E607,H607)</f>
        <v>#REF!</v>
      </c>
      <c r="O617" s="4" t="e">
        <f>T1.WELL("",E607,H607)</f>
        <v>#REF!</v>
      </c>
      <c r="P617" s="4" t="e">
        <f>T1.WELL("",E607,H607)</f>
        <v>#REF!</v>
      </c>
      <c r="Q617" s="4" t="e">
        <f>T1.WELL("",E607,H607)</f>
        <v>#REF!</v>
      </c>
      <c r="R617" s="4" t="e">
        <f>T1.WELL("",E607,H607)</f>
        <v>#REF!</v>
      </c>
      <c r="S617" s="4" t="e">
        <f>T1.WELL("",E607,H607)</f>
        <v>#REF!</v>
      </c>
      <c r="T617" s="4" t="e">
        <f>T1.WELL("",E607,H607)</f>
        <v>#REF!</v>
      </c>
      <c r="U617" s="4" t="e">
        <f>T1.WELL("",E607,H607)</f>
        <v>#REF!</v>
      </c>
      <c r="V617" s="4" t="e">
        <f>T1.WELL("",E607,H607)</f>
        <v>#REF!</v>
      </c>
      <c r="W617" s="4" t="e">
        <f>T1.WELL("",E607,H607)</f>
        <v>#REF!</v>
      </c>
      <c r="X617" s="4" t="e">
        <f>T1.WELL("",E607,H607)</f>
        <v>#REF!</v>
      </c>
      <c r="Y617" s="4" t="e">
        <f>T1.WELL("",E607,H607)</f>
        <v>#REF!</v>
      </c>
      <c r="Z617" s="4" t="e">
        <f>T1.WELL("",E607,H607)</f>
        <v>#REF!</v>
      </c>
    </row>
    <row r="618" spans="2:26" ht="11.25" hidden="1" customHeight="1">
      <c r="B618" s="1" t="s">
        <v>423</v>
      </c>
      <c r="C618" s="4" t="e">
        <f>T1.WELL("",E607,H607)</f>
        <v>#REF!</v>
      </c>
      <c r="D618" s="4" t="e">
        <f>T1.WELL("",E607,H607)</f>
        <v>#REF!</v>
      </c>
      <c r="E618" s="4" t="e">
        <f>T1.WELL("",E607,H607)</f>
        <v>#REF!</v>
      </c>
      <c r="F618" s="4" t="e">
        <f>T1.WELL("",E607,H607)</f>
        <v>#REF!</v>
      </c>
      <c r="G618" s="4" t="e">
        <f>T1.WELL("",E607,H607)</f>
        <v>#REF!</v>
      </c>
      <c r="H618" s="4" t="e">
        <f>T1.WELL("",E607,H607)</f>
        <v>#REF!</v>
      </c>
      <c r="I618" s="4" t="e">
        <f>T1.WELL("",E607,H607)</f>
        <v>#REF!</v>
      </c>
      <c r="J618" s="4" t="e">
        <f>T1.WELL("",E607,H607)</f>
        <v>#REF!</v>
      </c>
      <c r="K618" s="4" t="e">
        <f>T1.WELL("",E607,H607)</f>
        <v>#REF!</v>
      </c>
      <c r="L618" s="4" t="e">
        <f>T1.WELL("",E607,H607)</f>
        <v>#REF!</v>
      </c>
      <c r="M618" s="4" t="e">
        <f>T1.WELL("",E607,H607)</f>
        <v>#REF!</v>
      </c>
      <c r="N618" s="4" t="e">
        <f>T1.WELL("",E607,H607)</f>
        <v>#REF!</v>
      </c>
      <c r="O618" s="4" t="e">
        <f>T1.WELL("",E607,H607)</f>
        <v>#REF!</v>
      </c>
      <c r="P618" s="4" t="e">
        <f>T1.WELL("",E607,H607)</f>
        <v>#REF!</v>
      </c>
      <c r="Q618" s="4" t="e">
        <f>T1.WELL("",E607,H607)</f>
        <v>#REF!</v>
      </c>
      <c r="R618" s="4" t="e">
        <f>T1.WELL("",E607,H607)</f>
        <v>#REF!</v>
      </c>
      <c r="S618" s="4" t="e">
        <f>T1.WELL("",E607,H607)</f>
        <v>#REF!</v>
      </c>
      <c r="T618" s="4" t="e">
        <f>T1.WELL("",E607,H607)</f>
        <v>#REF!</v>
      </c>
      <c r="U618" s="4" t="e">
        <f>T1.WELL("",E607,H607)</f>
        <v>#REF!</v>
      </c>
      <c r="V618" s="4" t="e">
        <f>T1.WELL("",E607,H607)</f>
        <v>#REF!</v>
      </c>
      <c r="W618" s="4" t="e">
        <f>T1.WELL("",E607,H607)</f>
        <v>#REF!</v>
      </c>
      <c r="X618" s="4" t="e">
        <f>T1.WELL("",E607,H607)</f>
        <v>#REF!</v>
      </c>
      <c r="Y618" s="4" t="e">
        <f>T1.WELL("",E607,H607)</f>
        <v>#REF!</v>
      </c>
      <c r="Z618" s="4" t="e">
        <f>T1.WELL("",E607,H607)</f>
        <v>#REF!</v>
      </c>
    </row>
    <row r="619" spans="2:26" ht="11.25" hidden="1" customHeight="1">
      <c r="B619" s="1" t="s">
        <v>424</v>
      </c>
      <c r="C619" s="4" t="e">
        <f>T1.WELL("",E607,H607)</f>
        <v>#REF!</v>
      </c>
      <c r="D619" s="4" t="e">
        <f>T1.WELL("",E607,H607)</f>
        <v>#REF!</v>
      </c>
      <c r="E619" s="4" t="e">
        <f>T1.WELL("",E607,H607)</f>
        <v>#REF!</v>
      </c>
      <c r="F619" s="4" t="e">
        <f>T1.WELL("",E607,H607)</f>
        <v>#REF!</v>
      </c>
      <c r="G619" s="4" t="e">
        <f>T1.WELL("",E607,H607)</f>
        <v>#REF!</v>
      </c>
      <c r="H619" s="4" t="e">
        <f>T1.WELL("",E607,H607)</f>
        <v>#REF!</v>
      </c>
      <c r="I619" s="4" t="e">
        <f>T1.WELL("",E607,H607)</f>
        <v>#REF!</v>
      </c>
      <c r="J619" s="4" t="e">
        <f>T1.WELL("",E607,H607)</f>
        <v>#REF!</v>
      </c>
      <c r="K619" s="4" t="e">
        <f>T1.WELL("",E607,H607)</f>
        <v>#REF!</v>
      </c>
      <c r="L619" s="4" t="e">
        <f>T1.WELL("",E607,H607)</f>
        <v>#REF!</v>
      </c>
      <c r="M619" s="4" t="e">
        <f>T1.WELL("",E607,H607)</f>
        <v>#REF!</v>
      </c>
      <c r="N619" s="4" t="e">
        <f>T1.WELL("",E607,H607)</f>
        <v>#REF!</v>
      </c>
      <c r="O619" s="4" t="e">
        <f>T1.WELL("",E607,H607)</f>
        <v>#REF!</v>
      </c>
      <c r="P619" s="4" t="e">
        <f>T1.WELL("",E607,H607)</f>
        <v>#REF!</v>
      </c>
      <c r="Q619" s="4" t="e">
        <f>T1.WELL("",E607,H607)</f>
        <v>#REF!</v>
      </c>
      <c r="R619" s="4" t="e">
        <f>T1.WELL("",E607,H607)</f>
        <v>#REF!</v>
      </c>
      <c r="S619" s="4" t="e">
        <f>T1.WELL("",E607,H607)</f>
        <v>#REF!</v>
      </c>
      <c r="T619" s="4" t="e">
        <f>T1.WELL("",E607,H607)</f>
        <v>#REF!</v>
      </c>
      <c r="U619" s="4" t="e">
        <f>T1.WELL("",E607,H607)</f>
        <v>#REF!</v>
      </c>
      <c r="V619" s="4" t="e">
        <f>T1.WELL("",E607,H607)</f>
        <v>#REF!</v>
      </c>
      <c r="W619" s="4" t="e">
        <f>T1.WELL("",E607,H607)</f>
        <v>#REF!</v>
      </c>
      <c r="X619" s="4" t="e">
        <f>T1.WELL("",E607,H607)</f>
        <v>#REF!</v>
      </c>
      <c r="Y619" s="4" t="e">
        <f>T1.WELL("",E607,H607)</f>
        <v>#REF!</v>
      </c>
      <c r="Z619" s="4" t="e">
        <f>T1.WELL("",E607,H607)</f>
        <v>#REF!</v>
      </c>
    </row>
    <row r="620" spans="2:26" ht="11.25" hidden="1" customHeight="1">
      <c r="B620" s="1" t="s">
        <v>425</v>
      </c>
      <c r="C620" s="4" t="e">
        <f>T1.WELL("",E607,H607)</f>
        <v>#REF!</v>
      </c>
      <c r="D620" s="4" t="e">
        <f>T1.WELL("",E607,H607)</f>
        <v>#REF!</v>
      </c>
      <c r="E620" s="4" t="e">
        <f>T1.WELL("",E607,H607)</f>
        <v>#REF!</v>
      </c>
      <c r="F620" s="4" t="e">
        <f>T1.WELL("",E607,H607)</f>
        <v>#REF!</v>
      </c>
      <c r="G620" s="4" t="e">
        <f>T1.WELL("",E607,H607)</f>
        <v>#REF!</v>
      </c>
      <c r="H620" s="4" t="e">
        <f>T1.WELL("",E607,H607)</f>
        <v>#REF!</v>
      </c>
      <c r="I620" s="4" t="e">
        <f>T1.WELL("",E607,H607)</f>
        <v>#REF!</v>
      </c>
      <c r="J620" s="4" t="e">
        <f>T1.WELL("",E607,H607)</f>
        <v>#REF!</v>
      </c>
      <c r="K620" s="4" t="e">
        <f>T1.WELL("",E607,H607)</f>
        <v>#REF!</v>
      </c>
      <c r="L620" s="4" t="e">
        <f>T1.WELL("",E607,H607)</f>
        <v>#REF!</v>
      </c>
      <c r="M620" s="4" t="e">
        <f>T1.WELL("",E607,H607)</f>
        <v>#REF!</v>
      </c>
      <c r="N620" s="4" t="e">
        <f>T1.WELL("",E607,H607)</f>
        <v>#REF!</v>
      </c>
      <c r="O620" s="4" t="e">
        <f>T1.WELL("",E607,H607)</f>
        <v>#REF!</v>
      </c>
      <c r="P620" s="4" t="e">
        <f>T1.WELL("",E607,H607)</f>
        <v>#REF!</v>
      </c>
      <c r="Q620" s="4" t="e">
        <f>T1.WELL("",E607,H607)</f>
        <v>#REF!</v>
      </c>
      <c r="R620" s="4" t="e">
        <f>T1.WELL("",E607,H607)</f>
        <v>#REF!</v>
      </c>
      <c r="S620" s="4" t="e">
        <f>T1.WELL("",E607,H607)</f>
        <v>#REF!</v>
      </c>
      <c r="T620" s="4" t="e">
        <f>T1.WELL("",E607,H607)</f>
        <v>#REF!</v>
      </c>
      <c r="U620" s="4" t="e">
        <f>T1.WELL("",E607,H607)</f>
        <v>#REF!</v>
      </c>
      <c r="V620" s="4" t="e">
        <f>T1.WELL("",E607,H607)</f>
        <v>#REF!</v>
      </c>
      <c r="W620" s="4" t="e">
        <f>T1.WELL("",E607,H607)</f>
        <v>#REF!</v>
      </c>
      <c r="X620" s="4" t="e">
        <f>T1.WELL("",E607,H607)</f>
        <v>#REF!</v>
      </c>
      <c r="Y620" s="4" t="e">
        <f>T1.WELL("",E607,H607)</f>
        <v>#REF!</v>
      </c>
      <c r="Z620" s="4" t="e">
        <f>T1.WELL("",E607,H607)</f>
        <v>#REF!</v>
      </c>
    </row>
    <row r="621" spans="2:26" ht="11.25" hidden="1" customHeight="1">
      <c r="B621" s="1" t="s">
        <v>426</v>
      </c>
      <c r="C621" s="4" t="e">
        <f>T1.WELL("",E607,H607)</f>
        <v>#REF!</v>
      </c>
      <c r="D621" s="4" t="e">
        <f>T1.WELL("",E607,H607)</f>
        <v>#REF!</v>
      </c>
      <c r="E621" s="4" t="e">
        <f>T1.WELL("",E607,H607)</f>
        <v>#REF!</v>
      </c>
      <c r="F621" s="4" t="e">
        <f>T1.WELL("",E607,H607)</f>
        <v>#REF!</v>
      </c>
      <c r="G621" s="4" t="e">
        <f>T1.WELL("",E607,H607)</f>
        <v>#REF!</v>
      </c>
      <c r="H621" s="4" t="e">
        <f>T1.WELL("",E607,H607)</f>
        <v>#REF!</v>
      </c>
      <c r="I621" s="4" t="e">
        <f>T1.WELL("",E607,H607)</f>
        <v>#REF!</v>
      </c>
      <c r="J621" s="4" t="e">
        <f>T1.WELL("",E607,H607)</f>
        <v>#REF!</v>
      </c>
      <c r="K621" s="4" t="e">
        <f>T1.WELL("",E607,H607)</f>
        <v>#REF!</v>
      </c>
      <c r="L621" s="4" t="e">
        <f>T1.WELL("",E607,H607)</f>
        <v>#REF!</v>
      </c>
      <c r="M621" s="4" t="e">
        <f>T1.WELL("",E607,H607)</f>
        <v>#REF!</v>
      </c>
      <c r="N621" s="4" t="e">
        <f>T1.WELL("",E607,H607)</f>
        <v>#REF!</v>
      </c>
      <c r="O621" s="4" t="e">
        <f>T1.WELL("",E607,H607)</f>
        <v>#REF!</v>
      </c>
      <c r="P621" s="4" t="e">
        <f>T1.WELL("",E607,H607)</f>
        <v>#REF!</v>
      </c>
      <c r="Q621" s="4" t="e">
        <f>T1.WELL("",E607,H607)</f>
        <v>#REF!</v>
      </c>
      <c r="R621" s="4" t="e">
        <f>T1.WELL("",E607,H607)</f>
        <v>#REF!</v>
      </c>
      <c r="S621" s="4" t="e">
        <f>T1.WELL("",E607,H607)</f>
        <v>#REF!</v>
      </c>
      <c r="T621" s="4" t="e">
        <f>T1.WELL("",E607,H607)</f>
        <v>#REF!</v>
      </c>
      <c r="U621" s="4" t="e">
        <f>T1.WELL("",E607,H607)</f>
        <v>#REF!</v>
      </c>
      <c r="V621" s="4" t="e">
        <f>T1.WELL("",E607,H607)</f>
        <v>#REF!</v>
      </c>
      <c r="W621" s="4" t="e">
        <f>T1.WELL("",E607,H607)</f>
        <v>#REF!</v>
      </c>
      <c r="X621" s="4" t="e">
        <f>T1.WELL("",E607,H607)</f>
        <v>#REF!</v>
      </c>
      <c r="Y621" s="4" t="e">
        <f>T1.WELL("",E607,H607)</f>
        <v>#REF!</v>
      </c>
      <c r="Z621" s="4" t="e">
        <f>T1.WELL("",E607,H607)</f>
        <v>#REF!</v>
      </c>
    </row>
    <row r="622" spans="2:26" ht="11.25" hidden="1" customHeight="1">
      <c r="B622" s="1" t="s">
        <v>427</v>
      </c>
      <c r="C622" s="4" t="e">
        <f>T1.WELL("",E607,H607)</f>
        <v>#REF!</v>
      </c>
      <c r="D622" s="4" t="e">
        <f>T1.WELL("",E607,H607)</f>
        <v>#REF!</v>
      </c>
      <c r="E622" s="4" t="e">
        <f>T1.WELL("",E607,H607)</f>
        <v>#REF!</v>
      </c>
      <c r="F622" s="4" t="e">
        <f>T1.WELL("",E607,H607)</f>
        <v>#REF!</v>
      </c>
      <c r="G622" s="4" t="e">
        <f>T1.WELL("",E607,H607)</f>
        <v>#REF!</v>
      </c>
      <c r="H622" s="4" t="e">
        <f>T1.WELL("",E607,H607)</f>
        <v>#REF!</v>
      </c>
      <c r="I622" s="4" t="e">
        <f>T1.WELL("",E607,H607)</f>
        <v>#REF!</v>
      </c>
      <c r="J622" s="4" t="e">
        <f>T1.WELL("",E607,H607)</f>
        <v>#REF!</v>
      </c>
      <c r="K622" s="4" t="e">
        <f>T1.WELL("",E607,H607)</f>
        <v>#REF!</v>
      </c>
      <c r="L622" s="4" t="e">
        <f>T1.WELL("",E607,H607)</f>
        <v>#REF!</v>
      </c>
      <c r="M622" s="4" t="e">
        <f>T1.WELL("",E607,H607)</f>
        <v>#REF!</v>
      </c>
      <c r="N622" s="4" t="e">
        <f>T1.WELL("",E607,H607)</f>
        <v>#REF!</v>
      </c>
      <c r="O622" s="4" t="e">
        <f>T1.WELL("",E607,H607)</f>
        <v>#REF!</v>
      </c>
      <c r="P622" s="4" t="e">
        <f>T1.WELL("",E607,H607)</f>
        <v>#REF!</v>
      </c>
      <c r="Q622" s="4" t="e">
        <f>T1.WELL("",E607,H607)</f>
        <v>#REF!</v>
      </c>
      <c r="R622" s="4" t="e">
        <f>T1.WELL("",E607,H607)</f>
        <v>#REF!</v>
      </c>
      <c r="S622" s="4" t="e">
        <f>T1.WELL("",E607,H607)</f>
        <v>#REF!</v>
      </c>
      <c r="T622" s="4" t="e">
        <f>T1.WELL("",E607,H607)</f>
        <v>#REF!</v>
      </c>
      <c r="U622" s="4" t="e">
        <f>T1.WELL("",E607,H607)</f>
        <v>#REF!</v>
      </c>
      <c r="V622" s="4" t="e">
        <f>T1.WELL("",E607,H607)</f>
        <v>#REF!</v>
      </c>
      <c r="W622" s="4" t="e">
        <f>T1.WELL("",E607,H607)</f>
        <v>#REF!</v>
      </c>
      <c r="X622" s="4" t="e">
        <f>T1.WELL("",E607,H607)</f>
        <v>#REF!</v>
      </c>
      <c r="Y622" s="4" t="e">
        <f>T1.WELL("",E607,H607)</f>
        <v>#REF!</v>
      </c>
      <c r="Z622" s="4" t="e">
        <f>T1.WELL("",E607,H607)</f>
        <v>#REF!</v>
      </c>
    </row>
    <row r="623" spans="2:26" ht="11.25" hidden="1" customHeight="1">
      <c r="B623" s="1" t="s">
        <v>428</v>
      </c>
      <c r="C623" s="4" t="e">
        <f>T1.WELL("",E607,H607)</f>
        <v>#REF!</v>
      </c>
      <c r="D623" s="4" t="e">
        <f>T1.WELL("",E607,H607)</f>
        <v>#REF!</v>
      </c>
      <c r="E623" s="4" t="e">
        <f>T1.WELL("",E607,H607)</f>
        <v>#REF!</v>
      </c>
      <c r="F623" s="4" t="e">
        <f>T1.WELL("",E607,H607)</f>
        <v>#REF!</v>
      </c>
      <c r="G623" s="4" t="e">
        <f>T1.WELL("",E607,H607)</f>
        <v>#REF!</v>
      </c>
      <c r="H623" s="4" t="e">
        <f>T1.WELL("",E607,H607)</f>
        <v>#REF!</v>
      </c>
      <c r="I623" s="4" t="e">
        <f>T1.WELL("",E607,H607)</f>
        <v>#REF!</v>
      </c>
      <c r="J623" s="4" t="e">
        <f>T1.WELL("",E607,H607)</f>
        <v>#REF!</v>
      </c>
      <c r="K623" s="4" t="e">
        <f>T1.WELL("",E607,H607)</f>
        <v>#REF!</v>
      </c>
      <c r="L623" s="4" t="e">
        <f>T1.WELL("",E607,H607)</f>
        <v>#REF!</v>
      </c>
      <c r="M623" s="4" t="e">
        <f>T1.WELL("",E607,H607)</f>
        <v>#REF!</v>
      </c>
      <c r="N623" s="4" t="e">
        <f>T1.WELL("",E607,H607)</f>
        <v>#REF!</v>
      </c>
      <c r="O623" s="4" t="e">
        <f>T1.WELL("",E607,H607)</f>
        <v>#REF!</v>
      </c>
      <c r="P623" s="4" t="e">
        <f>T1.WELL("",E607,H607)</f>
        <v>#REF!</v>
      </c>
      <c r="Q623" s="4" t="e">
        <f>T1.WELL("",E607,H607)</f>
        <v>#REF!</v>
      </c>
      <c r="R623" s="4" t="e">
        <f>T1.WELL("",E607,H607)</f>
        <v>#REF!</v>
      </c>
      <c r="S623" s="4" t="e">
        <f>T1.WELL("",E607,H607)</f>
        <v>#REF!</v>
      </c>
      <c r="T623" s="4" t="e">
        <f>T1.WELL("",E607,H607)</f>
        <v>#REF!</v>
      </c>
      <c r="U623" s="4" t="e">
        <f>T1.WELL("",E607,H607)</f>
        <v>#REF!</v>
      </c>
      <c r="V623" s="4" t="e">
        <f>T1.WELL("",E607,H607)</f>
        <v>#REF!</v>
      </c>
      <c r="W623" s="4" t="e">
        <f>T1.WELL("",E607,H607)</f>
        <v>#REF!</v>
      </c>
      <c r="X623" s="4" t="e">
        <f>T1.WELL("",E607,H607)</f>
        <v>#REF!</v>
      </c>
      <c r="Y623" s="4" t="e">
        <f>T1.WELL("",E607,H607)</f>
        <v>#REF!</v>
      </c>
      <c r="Z623" s="4" t="e">
        <f>T1.WELL("",E607,H607)</f>
        <v>#REF!</v>
      </c>
    </row>
    <row r="624" spans="2:26" ht="11.25" hidden="1" customHeight="1">
      <c r="B624" s="1" t="s">
        <v>429</v>
      </c>
      <c r="C624" s="4" t="e">
        <f>T1.WELL("",E607,H607)</f>
        <v>#REF!</v>
      </c>
      <c r="D624" s="4" t="e">
        <f>T1.WELL("",E607,H607)</f>
        <v>#REF!</v>
      </c>
      <c r="E624" s="4" t="e">
        <f>T1.WELL("",E607,H607)</f>
        <v>#REF!</v>
      </c>
      <c r="F624" s="4" t="e">
        <f>T1.WELL("",E607,H607)</f>
        <v>#REF!</v>
      </c>
      <c r="G624" s="4" t="e">
        <f>T1.WELL("",E607,H607)</f>
        <v>#REF!</v>
      </c>
      <c r="H624" s="4" t="e">
        <f>T1.WELL("",E607,H607)</f>
        <v>#REF!</v>
      </c>
      <c r="I624" s="4" t="e">
        <f>T1.WELL("",E607,H607)</f>
        <v>#REF!</v>
      </c>
      <c r="J624" s="4" t="e">
        <f>T1.WELL("",E607,H607)</f>
        <v>#REF!</v>
      </c>
      <c r="K624" s="4" t="e">
        <f>T1.WELL("",E607,H607)</f>
        <v>#REF!</v>
      </c>
      <c r="L624" s="4" t="e">
        <f>T1.WELL("",E607,H607)</f>
        <v>#REF!</v>
      </c>
      <c r="M624" s="4" t="e">
        <f>T1.WELL("",E607,H607)</f>
        <v>#REF!</v>
      </c>
      <c r="N624" s="4" t="e">
        <f>T1.WELL("",E607,H607)</f>
        <v>#REF!</v>
      </c>
      <c r="O624" s="4" t="e">
        <f>T1.WELL("",E607,H607)</f>
        <v>#REF!</v>
      </c>
      <c r="P624" s="4" t="e">
        <f>T1.WELL("",E607,H607)</f>
        <v>#REF!</v>
      </c>
      <c r="Q624" s="4" t="e">
        <f>T1.WELL("",E607,H607)</f>
        <v>#REF!</v>
      </c>
      <c r="R624" s="4" t="e">
        <f>T1.WELL("",E607,H607)</f>
        <v>#REF!</v>
      </c>
      <c r="S624" s="4" t="e">
        <f>T1.WELL("",E607,H607)</f>
        <v>#REF!</v>
      </c>
      <c r="T624" s="4" t="e">
        <f>T1.WELL("",E607,H607)</f>
        <v>#REF!</v>
      </c>
      <c r="U624" s="4" t="e">
        <f>T1.WELL("",E607,H607)</f>
        <v>#REF!</v>
      </c>
      <c r="V624" s="4" t="e">
        <f>T1.WELL("",E607,H607)</f>
        <v>#REF!</v>
      </c>
      <c r="W624" s="4" t="e">
        <f>T1.WELL("",E607,H607)</f>
        <v>#REF!</v>
      </c>
      <c r="X624" s="4" t="e">
        <f>T1.WELL("",E607,H607)</f>
        <v>#REF!</v>
      </c>
      <c r="Y624" s="4" t="e">
        <f>T1.WELL("",E607,H607)</f>
        <v>#REF!</v>
      </c>
      <c r="Z624" s="4" t="e">
        <f>T1.WELL("",E607,H607)</f>
        <v>#REF!</v>
      </c>
    </row>
    <row r="625" spans="1:53" ht="11.25" hidden="1" customHeight="1">
      <c r="B625" s="1" t="s">
        <v>430</v>
      </c>
      <c r="C625" s="4" t="e">
        <f>T1.WELL("",E607,H607)</f>
        <v>#REF!</v>
      </c>
      <c r="D625" s="4" t="e">
        <f>T1.WELL("",E607,H607)</f>
        <v>#REF!</v>
      </c>
      <c r="E625" s="4" t="e">
        <f>T1.WELL("",E607,H607)</f>
        <v>#REF!</v>
      </c>
      <c r="F625" s="4" t="e">
        <f>T1.WELL("",E607,H607)</f>
        <v>#REF!</v>
      </c>
      <c r="G625" s="4" t="e">
        <f>T1.WELL("",E607,H607)</f>
        <v>#REF!</v>
      </c>
      <c r="H625" s="4" t="e">
        <f>T1.WELL("",E607,H607)</f>
        <v>#REF!</v>
      </c>
      <c r="I625" s="4" t="e">
        <f>T1.WELL("",E607,H607)</f>
        <v>#REF!</v>
      </c>
      <c r="J625" s="4" t="e">
        <f>T1.WELL("",E607,H607)</f>
        <v>#REF!</v>
      </c>
      <c r="K625" s="4" t="e">
        <f>T1.WELL("",E607,H607)</f>
        <v>#REF!</v>
      </c>
      <c r="L625" s="4" t="e">
        <f>T1.WELL("",E607,H607)</f>
        <v>#REF!</v>
      </c>
      <c r="M625" s="4" t="e">
        <f>T1.WELL("",E607,H607)</f>
        <v>#REF!</v>
      </c>
      <c r="N625" s="4" t="e">
        <f>T1.WELL("",E607,H607)</f>
        <v>#REF!</v>
      </c>
      <c r="O625" s="4" t="e">
        <f>T1.WELL("",E607,H607)</f>
        <v>#REF!</v>
      </c>
      <c r="P625" s="4" t="e">
        <f>T1.WELL("",E607,H607)</f>
        <v>#REF!</v>
      </c>
      <c r="Q625" s="4" t="e">
        <f>T1.WELL("",E607,H607)</f>
        <v>#REF!</v>
      </c>
      <c r="R625" s="4" t="e">
        <f>T1.WELL("",E607,H607)</f>
        <v>#REF!</v>
      </c>
      <c r="S625" s="4" t="e">
        <f>T1.WELL("",E607,H607)</f>
        <v>#REF!</v>
      </c>
      <c r="T625" s="4" t="e">
        <f>T1.WELL("",E607,H607)</f>
        <v>#REF!</v>
      </c>
      <c r="U625" s="4" t="e">
        <f>T1.WELL("",E607,H607)</f>
        <v>#REF!</v>
      </c>
      <c r="V625" s="4" t="e">
        <f>T1.WELL("",E607,H607)</f>
        <v>#REF!</v>
      </c>
      <c r="W625" s="4" t="e">
        <f>T1.WELL("",E607,H607)</f>
        <v>#REF!</v>
      </c>
      <c r="X625" s="4" t="e">
        <f>T1.WELL("",E607,H607)</f>
        <v>#REF!</v>
      </c>
      <c r="Y625" s="4" t="e">
        <f>T1.WELL("",E607,H607)</f>
        <v>#REF!</v>
      </c>
      <c r="Z625" s="4" t="e">
        <f>T1.WELL("",E607,H607)</f>
        <v>#REF!</v>
      </c>
    </row>
    <row r="626" spans="1:53" ht="11.25" hidden="1" customHeight="1">
      <c r="B626" s="1"/>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53" ht="11.25" hidden="1" customHeight="1">
      <c r="B627" s="1"/>
      <c r="C627" s="33" t="s">
        <v>798</v>
      </c>
      <c r="D627" s="3" t="e">
        <f>T1.role("CPD*","CPD_RESULT","avr")</f>
        <v>#REF!</v>
      </c>
      <c r="E627" s="3"/>
      <c r="F627" s="33" t="s">
        <v>2030</v>
      </c>
      <c r="G627" s="3" t="e">
        <f>T1.role("CPD*","CPD_RESULT","sd")</f>
        <v>#REF!</v>
      </c>
      <c r="H627" s="3"/>
      <c r="I627" s="33" t="s">
        <v>2031</v>
      </c>
      <c r="J627" s="3" t="e">
        <f>D627+2*G627</f>
        <v>#REF!</v>
      </c>
      <c r="K627" s="3"/>
      <c r="L627" s="33" t="s">
        <v>2032</v>
      </c>
      <c r="M627" s="3" t="e">
        <f>D627+3*G627</f>
        <v>#REF!</v>
      </c>
      <c r="N627" s="3"/>
      <c r="O627" s="33" t="s">
        <v>2033</v>
      </c>
      <c r="P627" s="3" t="e">
        <f>D627+4*G627</f>
        <v>#REF!</v>
      </c>
      <c r="Q627" s="3"/>
      <c r="R627" s="3"/>
      <c r="S627" s="3"/>
      <c r="T627" s="3"/>
      <c r="U627" s="3"/>
      <c r="V627" s="3"/>
      <c r="W627" s="3"/>
      <c r="X627" s="3"/>
      <c r="Y627" s="3"/>
      <c r="Z627" s="3"/>
    </row>
    <row r="629" spans="1:53" s="66" customFormat="1" ht="11.25" customHeight="1">
      <c r="A629" s="66" t="s">
        <v>2034</v>
      </c>
      <c r="D629" s="67" t="s">
        <v>2063</v>
      </c>
      <c r="E629" s="66" t="s">
        <v>818</v>
      </c>
      <c r="G629" s="67" t="s">
        <v>816</v>
      </c>
      <c r="H629" s="66" t="s">
        <v>817</v>
      </c>
    </row>
    <row r="630" spans="1:53" s="35" customFormat="1" ht="11.25" hidden="1" customHeight="1">
      <c r="A630" s="26"/>
      <c r="B630" s="26"/>
      <c r="C630" s="34"/>
      <c r="D630" s="34"/>
      <c r="H630" s="34"/>
    </row>
    <row r="631" spans="1:53" ht="11.25" hidden="1" customHeight="1">
      <c r="B631" s="36" t="s">
        <v>392</v>
      </c>
      <c r="C631" s="37">
        <v>1</v>
      </c>
      <c r="D631" s="37">
        <v>2</v>
      </c>
      <c r="E631" s="37">
        <v>3</v>
      </c>
      <c r="F631" s="37">
        <v>4</v>
      </c>
      <c r="G631" s="37">
        <v>5</v>
      </c>
      <c r="H631" s="37">
        <v>6</v>
      </c>
      <c r="I631" s="37">
        <v>7</v>
      </c>
      <c r="J631" s="37">
        <v>8</v>
      </c>
      <c r="K631" s="37">
        <v>9</v>
      </c>
      <c r="L631" s="37">
        <v>10</v>
      </c>
      <c r="M631" s="37">
        <v>11</v>
      </c>
      <c r="N631" s="37">
        <v>12</v>
      </c>
      <c r="O631" s="37">
        <v>13</v>
      </c>
      <c r="P631" s="37">
        <v>14</v>
      </c>
      <c r="Q631" s="37">
        <v>15</v>
      </c>
      <c r="R631" s="37">
        <v>16</v>
      </c>
      <c r="S631" s="37">
        <v>17</v>
      </c>
      <c r="T631" s="37">
        <v>18</v>
      </c>
      <c r="U631" s="37">
        <v>19</v>
      </c>
      <c r="V631" s="37">
        <v>20</v>
      </c>
      <c r="W631" s="37">
        <v>21</v>
      </c>
      <c r="X631" s="37">
        <v>22</v>
      </c>
      <c r="Y631" s="37">
        <v>23</v>
      </c>
      <c r="Z631" s="37">
        <v>24</v>
      </c>
      <c r="AA631" s="37">
        <v>25</v>
      </c>
      <c r="AB631" s="37">
        <v>26</v>
      </c>
      <c r="AC631" s="37">
        <v>27</v>
      </c>
      <c r="AD631" s="37">
        <v>28</v>
      </c>
      <c r="AE631" s="37">
        <v>29</v>
      </c>
      <c r="AF631" s="37">
        <v>30</v>
      </c>
      <c r="AG631" s="37">
        <v>31</v>
      </c>
      <c r="AH631" s="37">
        <v>32</v>
      </c>
      <c r="AI631" s="37">
        <v>33</v>
      </c>
      <c r="AJ631" s="37">
        <v>34</v>
      </c>
      <c r="AK631" s="37">
        <v>35</v>
      </c>
      <c r="AL631" s="37">
        <v>36</v>
      </c>
      <c r="AM631" s="37">
        <v>37</v>
      </c>
      <c r="AN631" s="37">
        <v>38</v>
      </c>
      <c r="AO631" s="37">
        <v>39</v>
      </c>
      <c r="AP631" s="37">
        <v>40</v>
      </c>
      <c r="AQ631" s="37">
        <v>41</v>
      </c>
      <c r="AR631" s="37">
        <v>42</v>
      </c>
      <c r="AS631" s="37">
        <v>43</v>
      </c>
      <c r="AT631" s="37">
        <v>44</v>
      </c>
      <c r="AU631" s="37">
        <v>45</v>
      </c>
      <c r="AV631" s="37">
        <v>46</v>
      </c>
      <c r="AW631" s="37">
        <v>47</v>
      </c>
      <c r="AX631" s="37">
        <v>48</v>
      </c>
      <c r="AY631" s="49"/>
      <c r="AZ631" s="49"/>
      <c r="BA631" s="49"/>
    </row>
    <row r="632" spans="1:53" ht="11.25" hidden="1" customHeight="1">
      <c r="B632" s="36" t="s">
        <v>399</v>
      </c>
      <c r="C632" s="4" t="e">
        <f>T1.WELL("",E629,H629)</f>
        <v>#REF!</v>
      </c>
      <c r="D632" s="4" t="e">
        <f>T1.WELL("",E629,H629)</f>
        <v>#REF!</v>
      </c>
      <c r="E632" s="4" t="e">
        <f>T1.WELL("",E629,H629)</f>
        <v>#REF!</v>
      </c>
      <c r="F632" s="4" t="e">
        <f>T1.WELL("",E629,H629)</f>
        <v>#REF!</v>
      </c>
      <c r="G632" s="4" t="e">
        <f>T1.WELL("",E629,H629)</f>
        <v>#REF!</v>
      </c>
      <c r="H632" s="4" t="e">
        <f>T1.WELL("",E629,H629)</f>
        <v>#REF!</v>
      </c>
      <c r="I632" s="4" t="e">
        <f>T1.WELL("",E629,H629)</f>
        <v>#REF!</v>
      </c>
      <c r="J632" s="4" t="e">
        <f>T1.WELL("",E629,H629)</f>
        <v>#REF!</v>
      </c>
      <c r="K632" s="4" t="e">
        <f>T1.WELL("",E629,H629)</f>
        <v>#REF!</v>
      </c>
      <c r="L632" s="4" t="e">
        <f>T1.WELL("",E629,H629)</f>
        <v>#REF!</v>
      </c>
      <c r="M632" s="4" t="e">
        <f>T1.WELL("",E629,H629)</f>
        <v>#REF!</v>
      </c>
      <c r="N632" s="4" t="e">
        <f>T1.WELL("",E629,H629)</f>
        <v>#REF!</v>
      </c>
      <c r="O632" s="4" t="e">
        <f>T1.WELL("",E629,H629)</f>
        <v>#REF!</v>
      </c>
      <c r="P632" s="4" t="e">
        <f>T1.WELL("",E629,H629)</f>
        <v>#REF!</v>
      </c>
      <c r="Q632" s="4" t="e">
        <f>T1.WELL("",E629,H629)</f>
        <v>#REF!</v>
      </c>
      <c r="R632" s="4" t="e">
        <f>T1.WELL("",E629,H629)</f>
        <v>#REF!</v>
      </c>
      <c r="S632" s="4" t="e">
        <f>T1.WELL("",E629,H629)</f>
        <v>#REF!</v>
      </c>
      <c r="T632" s="4" t="e">
        <f>T1.WELL("",E629,H629)</f>
        <v>#REF!</v>
      </c>
      <c r="U632" s="4" t="e">
        <f>T1.WELL("",E629,H629)</f>
        <v>#REF!</v>
      </c>
      <c r="V632" s="4" t="e">
        <f>T1.WELL("",E629,H629)</f>
        <v>#REF!</v>
      </c>
      <c r="W632" s="4" t="e">
        <f>T1.WELL("",E629,H629)</f>
        <v>#REF!</v>
      </c>
      <c r="X632" s="4" t="e">
        <f>T1.WELL("",E629,H629)</f>
        <v>#REF!</v>
      </c>
      <c r="Y632" s="4" t="e">
        <f>T1.WELL("",E629,H629)</f>
        <v>#REF!</v>
      </c>
      <c r="Z632" s="4" t="e">
        <f>T1.WELL("",E629,H629)</f>
        <v>#REF!</v>
      </c>
      <c r="AA632" s="4" t="e">
        <f>T1.WELL("",E629,H629)</f>
        <v>#REF!</v>
      </c>
      <c r="AB632" s="4" t="e">
        <f>T1.WELL("",E629,H629)</f>
        <v>#REF!</v>
      </c>
      <c r="AC632" s="4" t="e">
        <f>T1.WELL("",E629,H629)</f>
        <v>#REF!</v>
      </c>
      <c r="AD632" s="4" t="e">
        <f>T1.WELL("",E629,H629)</f>
        <v>#REF!</v>
      </c>
      <c r="AE632" s="4" t="e">
        <f>T1.WELL("",E629,H629)</f>
        <v>#REF!</v>
      </c>
      <c r="AF632" s="4" t="e">
        <f>T1.WELL("",E629,H629)</f>
        <v>#REF!</v>
      </c>
      <c r="AG632" s="4" t="e">
        <f>T1.WELL("",E629,H629)</f>
        <v>#REF!</v>
      </c>
      <c r="AH632" s="4" t="e">
        <f>T1.WELL("",E629,H629)</f>
        <v>#REF!</v>
      </c>
      <c r="AI632" s="4" t="e">
        <f>T1.WELL("",E629,H629)</f>
        <v>#REF!</v>
      </c>
      <c r="AJ632" s="4" t="e">
        <f>T1.WELL("",E629,H629)</f>
        <v>#REF!</v>
      </c>
      <c r="AK632" s="4" t="e">
        <f>T1.WELL("",E629,H629)</f>
        <v>#REF!</v>
      </c>
      <c r="AL632" s="4" t="e">
        <f>T1.WELL("",E629,H629)</f>
        <v>#REF!</v>
      </c>
      <c r="AM632" s="4" t="e">
        <f>T1.WELL("",E629,H629)</f>
        <v>#REF!</v>
      </c>
      <c r="AN632" s="4" t="e">
        <f>T1.WELL("",E629,H629)</f>
        <v>#REF!</v>
      </c>
      <c r="AO632" s="4" t="e">
        <f>T1.WELL("",E629,H629)</f>
        <v>#REF!</v>
      </c>
      <c r="AP632" s="4" t="e">
        <f>T1.WELL("",E629,H629)</f>
        <v>#REF!</v>
      </c>
      <c r="AQ632" s="4" t="e">
        <f>T1.WELL("",E629,H629)</f>
        <v>#REF!</v>
      </c>
      <c r="AR632" s="4" t="e">
        <f>T1.WELL("",E629,H629)</f>
        <v>#REF!</v>
      </c>
      <c r="AS632" s="4" t="e">
        <f>T1.WELL("",E629,H629)</f>
        <v>#REF!</v>
      </c>
      <c r="AT632" s="4" t="e">
        <f>T1.WELL("",E629,H629)</f>
        <v>#REF!</v>
      </c>
      <c r="AU632" s="4" t="e">
        <f>T1.WELL("",E629,H629)</f>
        <v>#REF!</v>
      </c>
      <c r="AV632" s="4" t="e">
        <f>T1.WELL("",E629,H629)</f>
        <v>#REF!</v>
      </c>
      <c r="AW632" s="4" t="e">
        <f>T1.WELL("",E629,H629)</f>
        <v>#REF!</v>
      </c>
      <c r="AX632" s="4" t="e">
        <f>T1.WELL("",E629,H629)</f>
        <v>#REF!</v>
      </c>
      <c r="AY632" s="49"/>
      <c r="AZ632" s="49"/>
      <c r="BA632" s="49"/>
    </row>
    <row r="633" spans="1:53" ht="11.25" hidden="1" customHeight="1">
      <c r="B633" s="36" t="s">
        <v>400</v>
      </c>
      <c r="C633" s="4" t="e">
        <f>T1.WELL("",E629,H629)</f>
        <v>#REF!</v>
      </c>
      <c r="D633" s="4" t="e">
        <f>T1.WELL("",E629,H629)</f>
        <v>#REF!</v>
      </c>
      <c r="E633" s="4" t="e">
        <f>T1.WELL("",E629,H629)</f>
        <v>#REF!</v>
      </c>
      <c r="F633" s="4" t="e">
        <f>T1.WELL("",E629,H629)</f>
        <v>#REF!</v>
      </c>
      <c r="G633" s="4" t="e">
        <f>T1.WELL("",E629,H629)</f>
        <v>#REF!</v>
      </c>
      <c r="H633" s="4" t="e">
        <f>T1.WELL("",E629,H629)</f>
        <v>#REF!</v>
      </c>
      <c r="I633" s="4" t="e">
        <f>T1.WELL("",E629,H629)</f>
        <v>#REF!</v>
      </c>
      <c r="J633" s="4" t="e">
        <f>T1.WELL("",E629,H629)</f>
        <v>#REF!</v>
      </c>
      <c r="K633" s="4" t="e">
        <f>T1.WELL("",E629,H629)</f>
        <v>#REF!</v>
      </c>
      <c r="L633" s="4" t="e">
        <f>T1.WELL("",E629,H629)</f>
        <v>#REF!</v>
      </c>
      <c r="M633" s="4" t="e">
        <f>T1.WELL("",E629,H629)</f>
        <v>#REF!</v>
      </c>
      <c r="N633" s="4" t="e">
        <f>T1.WELL("",E629,H629)</f>
        <v>#REF!</v>
      </c>
      <c r="O633" s="4" t="e">
        <f>T1.WELL("",E629,H629)</f>
        <v>#REF!</v>
      </c>
      <c r="P633" s="4" t="e">
        <f>T1.WELL("",E629,H629)</f>
        <v>#REF!</v>
      </c>
      <c r="Q633" s="4" t="e">
        <f>T1.WELL("",E629,H629)</f>
        <v>#REF!</v>
      </c>
      <c r="R633" s="4" t="e">
        <f>T1.WELL("",E629,H629)</f>
        <v>#REF!</v>
      </c>
      <c r="S633" s="4" t="e">
        <f>T1.WELL("",E629,H629)</f>
        <v>#REF!</v>
      </c>
      <c r="T633" s="4" t="e">
        <f>T1.WELL("",E629,H629)</f>
        <v>#REF!</v>
      </c>
      <c r="U633" s="4" t="e">
        <f>T1.WELL("",E629,H629)</f>
        <v>#REF!</v>
      </c>
      <c r="V633" s="4" t="e">
        <f>T1.WELL("",E629,H629)</f>
        <v>#REF!</v>
      </c>
      <c r="W633" s="4" t="e">
        <f>T1.WELL("",E629,H629)</f>
        <v>#REF!</v>
      </c>
      <c r="X633" s="4" t="e">
        <f>T1.WELL("",E629,H629)</f>
        <v>#REF!</v>
      </c>
      <c r="Y633" s="4" t="e">
        <f>T1.WELL("",E629,H629)</f>
        <v>#REF!</v>
      </c>
      <c r="Z633" s="4" t="e">
        <f>T1.WELL("",E629,H629)</f>
        <v>#REF!</v>
      </c>
      <c r="AA633" s="4" t="e">
        <f>T1.WELL("",E629,H629)</f>
        <v>#REF!</v>
      </c>
      <c r="AB633" s="4" t="e">
        <f>T1.WELL("",E629,H629)</f>
        <v>#REF!</v>
      </c>
      <c r="AC633" s="4" t="e">
        <f>T1.WELL("",E629,H629)</f>
        <v>#REF!</v>
      </c>
      <c r="AD633" s="4" t="e">
        <f>T1.WELL("",E629,H629)</f>
        <v>#REF!</v>
      </c>
      <c r="AE633" s="4" t="e">
        <f>T1.WELL("",E629,H629)</f>
        <v>#REF!</v>
      </c>
      <c r="AF633" s="4" t="e">
        <f>T1.WELL("",E629,H629)</f>
        <v>#REF!</v>
      </c>
      <c r="AG633" s="4" t="e">
        <f>T1.WELL("",E629,H629)</f>
        <v>#REF!</v>
      </c>
      <c r="AH633" s="4" t="e">
        <f>T1.WELL("",E629,H629)</f>
        <v>#REF!</v>
      </c>
      <c r="AI633" s="4" t="e">
        <f>T1.WELL("",E629,H629)</f>
        <v>#REF!</v>
      </c>
      <c r="AJ633" s="4" t="e">
        <f>T1.WELL("",E629,H629)</f>
        <v>#REF!</v>
      </c>
      <c r="AK633" s="4" t="e">
        <f>T1.WELL("",E629,H629)</f>
        <v>#REF!</v>
      </c>
      <c r="AL633" s="4" t="e">
        <f>T1.WELL("",E629,H629)</f>
        <v>#REF!</v>
      </c>
      <c r="AM633" s="4" t="e">
        <f>T1.WELL("",E629,H629)</f>
        <v>#REF!</v>
      </c>
      <c r="AN633" s="4" t="e">
        <f>T1.WELL("",E629,H629)</f>
        <v>#REF!</v>
      </c>
      <c r="AO633" s="4" t="e">
        <f>T1.WELL("",E629,H629)</f>
        <v>#REF!</v>
      </c>
      <c r="AP633" s="4" t="e">
        <f>T1.WELL("",E629,H629)</f>
        <v>#REF!</v>
      </c>
      <c r="AQ633" s="4" t="e">
        <f>T1.WELL("",E629,H629)</f>
        <v>#REF!</v>
      </c>
      <c r="AR633" s="4" t="e">
        <f>T1.WELL("",E629,H629)</f>
        <v>#REF!</v>
      </c>
      <c r="AS633" s="4" t="e">
        <f>T1.WELL("",E629,H629)</f>
        <v>#REF!</v>
      </c>
      <c r="AT633" s="4" t="e">
        <f>T1.WELL("",E629,H629)</f>
        <v>#REF!</v>
      </c>
      <c r="AU633" s="4" t="e">
        <f>T1.WELL("",E629,H629)</f>
        <v>#REF!</v>
      </c>
      <c r="AV633" s="4" t="e">
        <f>T1.WELL("",E629,H629)</f>
        <v>#REF!</v>
      </c>
      <c r="AW633" s="4" t="e">
        <f>T1.WELL("",E629,H629)</f>
        <v>#REF!</v>
      </c>
      <c r="AX633" s="4" t="e">
        <f>T1.WELL("",E629,H629)</f>
        <v>#REF!</v>
      </c>
      <c r="AY633" s="49"/>
      <c r="AZ633" s="49"/>
      <c r="BA633" s="49"/>
    </row>
    <row r="634" spans="1:53" ht="11.25" hidden="1" customHeight="1">
      <c r="B634" s="36" t="s">
        <v>401</v>
      </c>
      <c r="C634" s="4" t="e">
        <f>T1.WELL("",E629,H629)</f>
        <v>#REF!</v>
      </c>
      <c r="D634" s="4" t="e">
        <f>T1.WELL("",E629,H629)</f>
        <v>#REF!</v>
      </c>
      <c r="E634" s="4" t="e">
        <f>T1.WELL("",E629,H629)</f>
        <v>#REF!</v>
      </c>
      <c r="F634" s="4" t="e">
        <f>T1.WELL("",E629,H629)</f>
        <v>#REF!</v>
      </c>
      <c r="G634" s="4" t="e">
        <f>T1.WELL("",E629,H629)</f>
        <v>#REF!</v>
      </c>
      <c r="H634" s="4" t="e">
        <f>T1.WELL("",E629,H629)</f>
        <v>#REF!</v>
      </c>
      <c r="I634" s="4" t="e">
        <f>T1.WELL("",E629,H629)</f>
        <v>#REF!</v>
      </c>
      <c r="J634" s="4" t="e">
        <f>T1.WELL("",E629,H629)</f>
        <v>#REF!</v>
      </c>
      <c r="K634" s="4" t="e">
        <f>T1.WELL("",E629,H629)</f>
        <v>#REF!</v>
      </c>
      <c r="L634" s="4" t="e">
        <f>T1.WELL("",E629,H629)</f>
        <v>#REF!</v>
      </c>
      <c r="M634" s="4" t="e">
        <f>T1.WELL("",E629,H629)</f>
        <v>#REF!</v>
      </c>
      <c r="N634" s="4" t="e">
        <f>T1.WELL("",E629,H629)</f>
        <v>#REF!</v>
      </c>
      <c r="O634" s="4" t="e">
        <f>T1.WELL("",E629,H629)</f>
        <v>#REF!</v>
      </c>
      <c r="P634" s="4" t="e">
        <f>T1.WELL("",E629,H629)</f>
        <v>#REF!</v>
      </c>
      <c r="Q634" s="4" t="e">
        <f>T1.WELL("",E629,H629)</f>
        <v>#REF!</v>
      </c>
      <c r="R634" s="4" t="e">
        <f>T1.WELL("",E629,H629)</f>
        <v>#REF!</v>
      </c>
      <c r="S634" s="4" t="e">
        <f>T1.WELL("",E629,H629)</f>
        <v>#REF!</v>
      </c>
      <c r="T634" s="4" t="e">
        <f>T1.WELL("",E629,H629)</f>
        <v>#REF!</v>
      </c>
      <c r="U634" s="4" t="e">
        <f>T1.WELL("",E629,H629)</f>
        <v>#REF!</v>
      </c>
      <c r="V634" s="4" t="e">
        <f>T1.WELL("",E629,H629)</f>
        <v>#REF!</v>
      </c>
      <c r="W634" s="4" t="e">
        <f>T1.WELL("",E629,H629)</f>
        <v>#REF!</v>
      </c>
      <c r="X634" s="4" t="e">
        <f>T1.WELL("",E629,H629)</f>
        <v>#REF!</v>
      </c>
      <c r="Y634" s="4" t="e">
        <f>T1.WELL("",E629,H629)</f>
        <v>#REF!</v>
      </c>
      <c r="Z634" s="4" t="e">
        <f>T1.WELL("",E629,H629)</f>
        <v>#REF!</v>
      </c>
      <c r="AA634" s="4" t="e">
        <f>T1.WELL("",E629,H629)</f>
        <v>#REF!</v>
      </c>
      <c r="AB634" s="4" t="e">
        <f>T1.WELL("",E629,H629)</f>
        <v>#REF!</v>
      </c>
      <c r="AC634" s="4" t="e">
        <f>T1.WELL("",E629,H629)</f>
        <v>#REF!</v>
      </c>
      <c r="AD634" s="4" t="e">
        <f>T1.WELL("",E629,H629)</f>
        <v>#REF!</v>
      </c>
      <c r="AE634" s="4" t="e">
        <f>T1.WELL("",E629,H629)</f>
        <v>#REF!</v>
      </c>
      <c r="AF634" s="4" t="e">
        <f>T1.WELL("",E629,H629)</f>
        <v>#REF!</v>
      </c>
      <c r="AG634" s="4" t="e">
        <f>T1.WELL("",E629,H629)</f>
        <v>#REF!</v>
      </c>
      <c r="AH634" s="4" t="e">
        <f>T1.WELL("",E629,H629)</f>
        <v>#REF!</v>
      </c>
      <c r="AI634" s="4" t="e">
        <f>T1.WELL("",E629,H629)</f>
        <v>#REF!</v>
      </c>
      <c r="AJ634" s="4" t="e">
        <f>T1.WELL("",E629,H629)</f>
        <v>#REF!</v>
      </c>
      <c r="AK634" s="4" t="e">
        <f>T1.WELL("",E629,H629)</f>
        <v>#REF!</v>
      </c>
      <c r="AL634" s="4" t="e">
        <f>T1.WELL("",E629,H629)</f>
        <v>#REF!</v>
      </c>
      <c r="AM634" s="4" t="e">
        <f>T1.WELL("",E629,H629)</f>
        <v>#REF!</v>
      </c>
      <c r="AN634" s="4" t="e">
        <f>T1.WELL("",E629,H629)</f>
        <v>#REF!</v>
      </c>
      <c r="AO634" s="4" t="e">
        <f>T1.WELL("",E629,H629)</f>
        <v>#REF!</v>
      </c>
      <c r="AP634" s="4" t="e">
        <f>T1.WELL("",E629,H629)</f>
        <v>#REF!</v>
      </c>
      <c r="AQ634" s="4" t="e">
        <f>T1.WELL("",E629,H629)</f>
        <v>#REF!</v>
      </c>
      <c r="AR634" s="4" t="e">
        <f>T1.WELL("",E629,H629)</f>
        <v>#REF!</v>
      </c>
      <c r="AS634" s="4" t="e">
        <f>T1.WELL("",E629,H629)</f>
        <v>#REF!</v>
      </c>
      <c r="AT634" s="4" t="e">
        <f>T1.WELL("",E629,H629)</f>
        <v>#REF!</v>
      </c>
      <c r="AU634" s="4" t="e">
        <f>T1.WELL("",E629,H629)</f>
        <v>#REF!</v>
      </c>
      <c r="AV634" s="4" t="e">
        <f>T1.WELL("",E629,H629)</f>
        <v>#REF!</v>
      </c>
      <c r="AW634" s="4" t="e">
        <f>T1.WELL("",E629,H629)</f>
        <v>#REF!</v>
      </c>
      <c r="AX634" s="4" t="e">
        <f>T1.WELL("",E629,H629)</f>
        <v>#REF!</v>
      </c>
      <c r="AY634" s="49"/>
      <c r="AZ634" s="49"/>
      <c r="BA634" s="49"/>
    </row>
    <row r="635" spans="1:53" ht="11.25" hidden="1" customHeight="1">
      <c r="B635" s="36" t="s">
        <v>402</v>
      </c>
      <c r="C635" s="4" t="e">
        <f>T1.WELL("",E629,H629)</f>
        <v>#REF!</v>
      </c>
      <c r="D635" s="4" t="e">
        <f>T1.WELL("",E629,H629)</f>
        <v>#REF!</v>
      </c>
      <c r="E635" s="4" t="e">
        <f>T1.WELL("",E629,H629)</f>
        <v>#REF!</v>
      </c>
      <c r="F635" s="4" t="e">
        <f>T1.WELL("",E629,H629)</f>
        <v>#REF!</v>
      </c>
      <c r="G635" s="4" t="e">
        <f>T1.WELL("",E629,H629)</f>
        <v>#REF!</v>
      </c>
      <c r="H635" s="4" t="e">
        <f>T1.WELL("",E629,H629)</f>
        <v>#REF!</v>
      </c>
      <c r="I635" s="4" t="e">
        <f>T1.WELL("",E629,H629)</f>
        <v>#REF!</v>
      </c>
      <c r="J635" s="4" t="e">
        <f>T1.WELL("",E629,H629)</f>
        <v>#REF!</v>
      </c>
      <c r="K635" s="4" t="e">
        <f>T1.WELL("",E629,H629)</f>
        <v>#REF!</v>
      </c>
      <c r="L635" s="4" t="e">
        <f>T1.WELL("",E629,H629)</f>
        <v>#REF!</v>
      </c>
      <c r="M635" s="4" t="e">
        <f>T1.WELL("",E629,H629)</f>
        <v>#REF!</v>
      </c>
      <c r="N635" s="4" t="e">
        <f>T1.WELL("",E629,H629)</f>
        <v>#REF!</v>
      </c>
      <c r="O635" s="4" t="e">
        <f>T1.WELL("",E629,H629)</f>
        <v>#REF!</v>
      </c>
      <c r="P635" s="4" t="e">
        <f>T1.WELL("",E629,H629)</f>
        <v>#REF!</v>
      </c>
      <c r="Q635" s="4" t="e">
        <f>T1.WELL("",E629,H629)</f>
        <v>#REF!</v>
      </c>
      <c r="R635" s="4" t="e">
        <f>T1.WELL("",E629,H629)</f>
        <v>#REF!</v>
      </c>
      <c r="S635" s="4" t="e">
        <f>T1.WELL("",E629,H629)</f>
        <v>#REF!</v>
      </c>
      <c r="T635" s="4" t="e">
        <f>T1.WELL("",E629,H629)</f>
        <v>#REF!</v>
      </c>
      <c r="U635" s="4" t="e">
        <f>T1.WELL("",E629,H629)</f>
        <v>#REF!</v>
      </c>
      <c r="V635" s="4" t="e">
        <f>T1.WELL("",E629,H629)</f>
        <v>#REF!</v>
      </c>
      <c r="W635" s="4" t="e">
        <f>T1.WELL("",E629,H629)</f>
        <v>#REF!</v>
      </c>
      <c r="X635" s="4" t="e">
        <f>T1.WELL("",E629,H629)</f>
        <v>#REF!</v>
      </c>
      <c r="Y635" s="4" t="e">
        <f>T1.WELL("",E629,H629)</f>
        <v>#REF!</v>
      </c>
      <c r="Z635" s="4" t="e">
        <f>T1.WELL("",E629,H629)</f>
        <v>#REF!</v>
      </c>
      <c r="AA635" s="4" t="e">
        <f>T1.WELL("",E629,H629)</f>
        <v>#REF!</v>
      </c>
      <c r="AB635" s="4" t="e">
        <f>T1.WELL("",E629,H629)</f>
        <v>#REF!</v>
      </c>
      <c r="AC635" s="4" t="e">
        <f>T1.WELL("",E629,H629)</f>
        <v>#REF!</v>
      </c>
      <c r="AD635" s="4" t="e">
        <f>T1.WELL("",E629,H629)</f>
        <v>#REF!</v>
      </c>
      <c r="AE635" s="4" t="e">
        <f>T1.WELL("",E629,H629)</f>
        <v>#REF!</v>
      </c>
      <c r="AF635" s="4" t="e">
        <f>T1.WELL("",E629,H629)</f>
        <v>#REF!</v>
      </c>
      <c r="AG635" s="4" t="e">
        <f>T1.WELL("",E629,H629)</f>
        <v>#REF!</v>
      </c>
      <c r="AH635" s="4" t="e">
        <f>T1.WELL("",E629,H629)</f>
        <v>#REF!</v>
      </c>
      <c r="AI635" s="4" t="e">
        <f>T1.WELL("",E629,H629)</f>
        <v>#REF!</v>
      </c>
      <c r="AJ635" s="4" t="e">
        <f>T1.WELL("",E629,H629)</f>
        <v>#REF!</v>
      </c>
      <c r="AK635" s="4" t="e">
        <f>T1.WELL("",E629,H629)</f>
        <v>#REF!</v>
      </c>
      <c r="AL635" s="4" t="e">
        <f>T1.WELL("",E629,H629)</f>
        <v>#REF!</v>
      </c>
      <c r="AM635" s="4" t="e">
        <f>T1.WELL("",E629,H629)</f>
        <v>#REF!</v>
      </c>
      <c r="AN635" s="4" t="e">
        <f>T1.WELL("",E629,H629)</f>
        <v>#REF!</v>
      </c>
      <c r="AO635" s="4" t="e">
        <f>T1.WELL("",E629,H629)</f>
        <v>#REF!</v>
      </c>
      <c r="AP635" s="4" t="e">
        <f>T1.WELL("",E629,H629)</f>
        <v>#REF!</v>
      </c>
      <c r="AQ635" s="4" t="e">
        <f>T1.WELL("",E629,H629)</f>
        <v>#REF!</v>
      </c>
      <c r="AR635" s="4" t="e">
        <f>T1.WELL("",E629,H629)</f>
        <v>#REF!</v>
      </c>
      <c r="AS635" s="4" t="e">
        <f>T1.WELL("",E629,H629)</f>
        <v>#REF!</v>
      </c>
      <c r="AT635" s="4" t="e">
        <f>T1.WELL("",E629,H629)</f>
        <v>#REF!</v>
      </c>
      <c r="AU635" s="4" t="e">
        <f>T1.WELL("",E629,H629)</f>
        <v>#REF!</v>
      </c>
      <c r="AV635" s="4" t="e">
        <f>T1.WELL("",E629,H629)</f>
        <v>#REF!</v>
      </c>
      <c r="AW635" s="4" t="e">
        <f>T1.WELL("",E629,H629)</f>
        <v>#REF!</v>
      </c>
      <c r="AX635" s="4" t="e">
        <f>T1.WELL("",E629,H629)</f>
        <v>#REF!</v>
      </c>
      <c r="AY635" s="49"/>
      <c r="AZ635" s="49"/>
      <c r="BA635" s="49"/>
    </row>
    <row r="636" spans="1:53" ht="11.25" hidden="1" customHeight="1">
      <c r="B636" s="36" t="s">
        <v>403</v>
      </c>
      <c r="C636" s="4" t="e">
        <f>T1.WELL("",E629,H629)</f>
        <v>#REF!</v>
      </c>
      <c r="D636" s="4" t="e">
        <f>T1.WELL("",E629,H629)</f>
        <v>#REF!</v>
      </c>
      <c r="E636" s="4" t="e">
        <f>T1.WELL("",E629,H629)</f>
        <v>#REF!</v>
      </c>
      <c r="F636" s="4" t="e">
        <f>T1.WELL("",E629,H629)</f>
        <v>#REF!</v>
      </c>
      <c r="G636" s="4" t="e">
        <f>T1.WELL("",E629,H629)</f>
        <v>#REF!</v>
      </c>
      <c r="H636" s="4" t="e">
        <f>T1.WELL("",E629,H629)</f>
        <v>#REF!</v>
      </c>
      <c r="I636" s="4" t="e">
        <f>T1.WELL("",E629,H629)</f>
        <v>#REF!</v>
      </c>
      <c r="J636" s="4" t="e">
        <f>T1.WELL("",E629,H629)</f>
        <v>#REF!</v>
      </c>
      <c r="K636" s="4" t="e">
        <f>T1.WELL("",E629,H629)</f>
        <v>#REF!</v>
      </c>
      <c r="L636" s="4" t="e">
        <f>T1.WELL("",E629,H629)</f>
        <v>#REF!</v>
      </c>
      <c r="M636" s="4" t="e">
        <f>T1.WELL("",E629,H629)</f>
        <v>#REF!</v>
      </c>
      <c r="N636" s="4" t="e">
        <f>T1.WELL("",E629,H629)</f>
        <v>#REF!</v>
      </c>
      <c r="O636" s="4" t="e">
        <f>T1.WELL("",E629,H629)</f>
        <v>#REF!</v>
      </c>
      <c r="P636" s="4" t="e">
        <f>T1.WELL("",E629,H629)</f>
        <v>#REF!</v>
      </c>
      <c r="Q636" s="4" t="e">
        <f>T1.WELL("",E629,H629)</f>
        <v>#REF!</v>
      </c>
      <c r="R636" s="4" t="e">
        <f>T1.WELL("",E629,H629)</f>
        <v>#REF!</v>
      </c>
      <c r="S636" s="4" t="e">
        <f>T1.WELL("",E629,H629)</f>
        <v>#REF!</v>
      </c>
      <c r="T636" s="4" t="e">
        <f>T1.WELL("",E629,H629)</f>
        <v>#REF!</v>
      </c>
      <c r="U636" s="4" t="e">
        <f>T1.WELL("",E629,H629)</f>
        <v>#REF!</v>
      </c>
      <c r="V636" s="4" t="e">
        <f>T1.WELL("",E629,H629)</f>
        <v>#REF!</v>
      </c>
      <c r="W636" s="4" t="e">
        <f>T1.WELL("",E629,H629)</f>
        <v>#REF!</v>
      </c>
      <c r="X636" s="4" t="e">
        <f>T1.WELL("",E629,H629)</f>
        <v>#REF!</v>
      </c>
      <c r="Y636" s="4" t="e">
        <f>T1.WELL("",E629,H629)</f>
        <v>#REF!</v>
      </c>
      <c r="Z636" s="4" t="e">
        <f>T1.WELL("",E629,H629)</f>
        <v>#REF!</v>
      </c>
      <c r="AA636" s="4" t="e">
        <f>T1.WELL("",E629,H629)</f>
        <v>#REF!</v>
      </c>
      <c r="AB636" s="4" t="e">
        <f>T1.WELL("",E629,H629)</f>
        <v>#REF!</v>
      </c>
      <c r="AC636" s="4" t="e">
        <f>T1.WELL("",E629,H629)</f>
        <v>#REF!</v>
      </c>
      <c r="AD636" s="4" t="e">
        <f>T1.WELL("",E629,H629)</f>
        <v>#REF!</v>
      </c>
      <c r="AE636" s="4" t="e">
        <f>T1.WELL("",E629,H629)</f>
        <v>#REF!</v>
      </c>
      <c r="AF636" s="4" t="e">
        <f>T1.WELL("",E629,H629)</f>
        <v>#REF!</v>
      </c>
      <c r="AG636" s="4" t="e">
        <f>T1.WELL("",E629,H629)</f>
        <v>#REF!</v>
      </c>
      <c r="AH636" s="4" t="e">
        <f>T1.WELL("",E629,H629)</f>
        <v>#REF!</v>
      </c>
      <c r="AI636" s="4" t="e">
        <f>T1.WELL("",E629,H629)</f>
        <v>#REF!</v>
      </c>
      <c r="AJ636" s="4" t="e">
        <f>T1.WELL("",E629,H629)</f>
        <v>#REF!</v>
      </c>
      <c r="AK636" s="4" t="e">
        <f>T1.WELL("",E629,H629)</f>
        <v>#REF!</v>
      </c>
      <c r="AL636" s="4" t="e">
        <f>T1.WELL("",E629,H629)</f>
        <v>#REF!</v>
      </c>
      <c r="AM636" s="4" t="e">
        <f>T1.WELL("",E629,H629)</f>
        <v>#REF!</v>
      </c>
      <c r="AN636" s="4" t="e">
        <f>T1.WELL("",E629,H629)</f>
        <v>#REF!</v>
      </c>
      <c r="AO636" s="4" t="e">
        <f>T1.WELL("",E629,H629)</f>
        <v>#REF!</v>
      </c>
      <c r="AP636" s="4" t="e">
        <f>T1.WELL("",E629,H629)</f>
        <v>#REF!</v>
      </c>
      <c r="AQ636" s="4" t="e">
        <f>T1.WELL("",E629,H629)</f>
        <v>#REF!</v>
      </c>
      <c r="AR636" s="4" t="e">
        <f>T1.WELL("",E629,H629)</f>
        <v>#REF!</v>
      </c>
      <c r="AS636" s="4" t="e">
        <f>T1.WELL("",E629,H629)</f>
        <v>#REF!</v>
      </c>
      <c r="AT636" s="4" t="e">
        <f>T1.WELL("",E629,H629)</f>
        <v>#REF!</v>
      </c>
      <c r="AU636" s="4" t="e">
        <f>T1.WELL("",E629,H629)</f>
        <v>#REF!</v>
      </c>
      <c r="AV636" s="4" t="e">
        <f>T1.WELL("",E629,H629)</f>
        <v>#REF!</v>
      </c>
      <c r="AW636" s="4" t="e">
        <f>T1.WELL("",E629,H629)</f>
        <v>#REF!</v>
      </c>
      <c r="AX636" s="4" t="e">
        <f>T1.WELL("",E629,H629)</f>
        <v>#REF!</v>
      </c>
      <c r="AY636" s="49"/>
      <c r="AZ636" s="49"/>
      <c r="BA636" s="49"/>
    </row>
    <row r="637" spans="1:53" ht="11.25" hidden="1" customHeight="1">
      <c r="B637" s="36" t="s">
        <v>404</v>
      </c>
      <c r="C637" s="4" t="e">
        <f>T1.WELL("",E629,H629)</f>
        <v>#REF!</v>
      </c>
      <c r="D637" s="4" t="e">
        <f>T1.WELL("",E629,H629)</f>
        <v>#REF!</v>
      </c>
      <c r="E637" s="4" t="e">
        <f>T1.WELL("",E629,H629)</f>
        <v>#REF!</v>
      </c>
      <c r="F637" s="4" t="e">
        <f>T1.WELL("",E629,H629)</f>
        <v>#REF!</v>
      </c>
      <c r="G637" s="4" t="e">
        <f>T1.WELL("",E629,H629)</f>
        <v>#REF!</v>
      </c>
      <c r="H637" s="4" t="e">
        <f>T1.WELL("",E629,H629)</f>
        <v>#REF!</v>
      </c>
      <c r="I637" s="4" t="e">
        <f>T1.WELL("",E629,H629)</f>
        <v>#REF!</v>
      </c>
      <c r="J637" s="4" t="e">
        <f>T1.WELL("",E629,H629)</f>
        <v>#REF!</v>
      </c>
      <c r="K637" s="4" t="e">
        <f>T1.WELL("",E629,H629)</f>
        <v>#REF!</v>
      </c>
      <c r="L637" s="4" t="e">
        <f>T1.WELL("",E629,H629)</f>
        <v>#REF!</v>
      </c>
      <c r="M637" s="4" t="e">
        <f>T1.WELL("",E629,H629)</f>
        <v>#REF!</v>
      </c>
      <c r="N637" s="4" t="e">
        <f>T1.WELL("",E629,H629)</f>
        <v>#REF!</v>
      </c>
      <c r="O637" s="4" t="e">
        <f>T1.WELL("",E629,H629)</f>
        <v>#REF!</v>
      </c>
      <c r="P637" s="4" t="e">
        <f>T1.WELL("",E629,H629)</f>
        <v>#REF!</v>
      </c>
      <c r="Q637" s="4" t="e">
        <f>T1.WELL("",E629,H629)</f>
        <v>#REF!</v>
      </c>
      <c r="R637" s="4" t="e">
        <f>T1.WELL("",E629,H629)</f>
        <v>#REF!</v>
      </c>
      <c r="S637" s="4" t="e">
        <f>T1.WELL("",E629,H629)</f>
        <v>#REF!</v>
      </c>
      <c r="T637" s="4" t="e">
        <f>T1.WELL("",E629,H629)</f>
        <v>#REF!</v>
      </c>
      <c r="U637" s="4" t="e">
        <f>T1.WELL("",E629,H629)</f>
        <v>#REF!</v>
      </c>
      <c r="V637" s="4" t="e">
        <f>T1.WELL("",E629,H629)</f>
        <v>#REF!</v>
      </c>
      <c r="W637" s="4" t="e">
        <f>T1.WELL("",E629,H629)</f>
        <v>#REF!</v>
      </c>
      <c r="X637" s="4" t="e">
        <f>T1.WELL("",E629,H629)</f>
        <v>#REF!</v>
      </c>
      <c r="Y637" s="4" t="e">
        <f>T1.WELL("",E629,H629)</f>
        <v>#REF!</v>
      </c>
      <c r="Z637" s="4" t="e">
        <f>T1.WELL("",E629,H629)</f>
        <v>#REF!</v>
      </c>
      <c r="AA637" s="4" t="e">
        <f>T1.WELL("",E629,H629)</f>
        <v>#REF!</v>
      </c>
      <c r="AB637" s="4" t="e">
        <f>T1.WELL("",E629,H629)</f>
        <v>#REF!</v>
      </c>
      <c r="AC637" s="4" t="e">
        <f>T1.WELL("",E629,H629)</f>
        <v>#REF!</v>
      </c>
      <c r="AD637" s="4" t="e">
        <f>T1.WELL("",E629,H629)</f>
        <v>#REF!</v>
      </c>
      <c r="AE637" s="4" t="e">
        <f>T1.WELL("",E629,H629)</f>
        <v>#REF!</v>
      </c>
      <c r="AF637" s="4" t="e">
        <f>T1.WELL("",E629,H629)</f>
        <v>#REF!</v>
      </c>
      <c r="AG637" s="4" t="e">
        <f>T1.WELL("",E629,H629)</f>
        <v>#REF!</v>
      </c>
      <c r="AH637" s="4" t="e">
        <f>T1.WELL("",E629,H629)</f>
        <v>#REF!</v>
      </c>
      <c r="AI637" s="4" t="e">
        <f>T1.WELL("",E629,H629)</f>
        <v>#REF!</v>
      </c>
      <c r="AJ637" s="4" t="e">
        <f>T1.WELL("",E629,H629)</f>
        <v>#REF!</v>
      </c>
      <c r="AK637" s="4" t="e">
        <f>T1.WELL("",E629,H629)</f>
        <v>#REF!</v>
      </c>
      <c r="AL637" s="4" t="e">
        <f>T1.WELL("",E629,H629)</f>
        <v>#REF!</v>
      </c>
      <c r="AM637" s="4" t="e">
        <f>T1.WELL("",E629,H629)</f>
        <v>#REF!</v>
      </c>
      <c r="AN637" s="4" t="e">
        <f>T1.WELL("",E629,H629)</f>
        <v>#REF!</v>
      </c>
      <c r="AO637" s="4" t="e">
        <f>T1.WELL("",E629,H629)</f>
        <v>#REF!</v>
      </c>
      <c r="AP637" s="4" t="e">
        <f>T1.WELL("",E629,H629)</f>
        <v>#REF!</v>
      </c>
      <c r="AQ637" s="4" t="e">
        <f>T1.WELL("",E629,H629)</f>
        <v>#REF!</v>
      </c>
      <c r="AR637" s="4" t="e">
        <f>T1.WELL("",E629,H629)</f>
        <v>#REF!</v>
      </c>
      <c r="AS637" s="4" t="e">
        <f>T1.WELL("",E629,H629)</f>
        <v>#REF!</v>
      </c>
      <c r="AT637" s="4" t="e">
        <f>T1.WELL("",E629,H629)</f>
        <v>#REF!</v>
      </c>
      <c r="AU637" s="4" t="e">
        <f>T1.WELL("",E629,H629)</f>
        <v>#REF!</v>
      </c>
      <c r="AV637" s="4" t="e">
        <f>T1.WELL("",E629,H629)</f>
        <v>#REF!</v>
      </c>
      <c r="AW637" s="4" t="e">
        <f>T1.WELL("",E629,H629)</f>
        <v>#REF!</v>
      </c>
      <c r="AX637" s="4" t="e">
        <f>T1.WELL("",E629,H629)</f>
        <v>#REF!</v>
      </c>
      <c r="AY637" s="49"/>
      <c r="AZ637" s="49"/>
      <c r="BA637" s="49"/>
    </row>
    <row r="638" spans="1:53" ht="11.25" hidden="1" customHeight="1">
      <c r="B638" s="36" t="s">
        <v>405</v>
      </c>
      <c r="C638" s="4" t="e">
        <f>T1.WELL("",E629,H629)</f>
        <v>#REF!</v>
      </c>
      <c r="D638" s="4" t="e">
        <f>T1.WELL("",E629,H629)</f>
        <v>#REF!</v>
      </c>
      <c r="E638" s="4" t="e">
        <f>T1.WELL("",E629,H629)</f>
        <v>#REF!</v>
      </c>
      <c r="F638" s="4" t="e">
        <f>T1.WELL("",E629,H629)</f>
        <v>#REF!</v>
      </c>
      <c r="G638" s="4" t="e">
        <f>T1.WELL("",E629,H629)</f>
        <v>#REF!</v>
      </c>
      <c r="H638" s="4" t="e">
        <f>T1.WELL("",E629,H629)</f>
        <v>#REF!</v>
      </c>
      <c r="I638" s="4" t="e">
        <f>T1.WELL("",E629,H629)</f>
        <v>#REF!</v>
      </c>
      <c r="J638" s="4" t="e">
        <f>T1.WELL("",E629,H629)</f>
        <v>#REF!</v>
      </c>
      <c r="K638" s="4" t="e">
        <f>T1.WELL("",E629,H629)</f>
        <v>#REF!</v>
      </c>
      <c r="L638" s="4" t="e">
        <f>T1.WELL("",E629,H629)</f>
        <v>#REF!</v>
      </c>
      <c r="M638" s="4" t="e">
        <f>T1.WELL("",E629,H629)</f>
        <v>#REF!</v>
      </c>
      <c r="N638" s="4" t="e">
        <f>T1.WELL("",E629,H629)</f>
        <v>#REF!</v>
      </c>
      <c r="O638" s="4" t="e">
        <f>T1.WELL("",E629,H629)</f>
        <v>#REF!</v>
      </c>
      <c r="P638" s="4" t="e">
        <f>T1.WELL("",E629,H629)</f>
        <v>#REF!</v>
      </c>
      <c r="Q638" s="4" t="e">
        <f>T1.WELL("",E629,H629)</f>
        <v>#REF!</v>
      </c>
      <c r="R638" s="4" t="e">
        <f>T1.WELL("",E629,H629)</f>
        <v>#REF!</v>
      </c>
      <c r="S638" s="4" t="e">
        <f>T1.WELL("",E629,H629)</f>
        <v>#REF!</v>
      </c>
      <c r="T638" s="4" t="e">
        <f>T1.WELL("",E629,H629)</f>
        <v>#REF!</v>
      </c>
      <c r="U638" s="4" t="e">
        <f>T1.WELL("",E629,H629)</f>
        <v>#REF!</v>
      </c>
      <c r="V638" s="4" t="e">
        <f>T1.WELL("",E629,H629)</f>
        <v>#REF!</v>
      </c>
      <c r="W638" s="4" t="e">
        <f>T1.WELL("",E629,H629)</f>
        <v>#REF!</v>
      </c>
      <c r="X638" s="4" t="e">
        <f>T1.WELL("",E629,H629)</f>
        <v>#REF!</v>
      </c>
      <c r="Y638" s="4" t="e">
        <f>T1.WELL("",E629,H629)</f>
        <v>#REF!</v>
      </c>
      <c r="Z638" s="4" t="e">
        <f>T1.WELL("",E629,H629)</f>
        <v>#REF!</v>
      </c>
      <c r="AA638" s="4" t="e">
        <f>T1.WELL("",E629,H629)</f>
        <v>#REF!</v>
      </c>
      <c r="AB638" s="4" t="e">
        <f>T1.WELL("",E629,H629)</f>
        <v>#REF!</v>
      </c>
      <c r="AC638" s="4" t="e">
        <f>T1.WELL("",E629,H629)</f>
        <v>#REF!</v>
      </c>
      <c r="AD638" s="4" t="e">
        <f>T1.WELL("",E629,H629)</f>
        <v>#REF!</v>
      </c>
      <c r="AE638" s="4" t="e">
        <f>T1.WELL("",E629,H629)</f>
        <v>#REF!</v>
      </c>
      <c r="AF638" s="4" t="e">
        <f>T1.WELL("",E629,H629)</f>
        <v>#REF!</v>
      </c>
      <c r="AG638" s="4" t="e">
        <f>T1.WELL("",E629,H629)</f>
        <v>#REF!</v>
      </c>
      <c r="AH638" s="4" t="e">
        <f>T1.WELL("",E629,H629)</f>
        <v>#REF!</v>
      </c>
      <c r="AI638" s="4" t="e">
        <f>T1.WELL("",E629,H629)</f>
        <v>#REF!</v>
      </c>
      <c r="AJ638" s="4" t="e">
        <f>T1.WELL("",E629,H629)</f>
        <v>#REF!</v>
      </c>
      <c r="AK638" s="4" t="e">
        <f>T1.WELL("",E629,H629)</f>
        <v>#REF!</v>
      </c>
      <c r="AL638" s="4" t="e">
        <f>T1.WELL("",E629,H629)</f>
        <v>#REF!</v>
      </c>
      <c r="AM638" s="4" t="e">
        <f>T1.WELL("",E629,H629)</f>
        <v>#REF!</v>
      </c>
      <c r="AN638" s="4" t="e">
        <f>T1.WELL("",E629,H629)</f>
        <v>#REF!</v>
      </c>
      <c r="AO638" s="4" t="e">
        <f>T1.WELL("",E629,H629)</f>
        <v>#REF!</v>
      </c>
      <c r="AP638" s="4" t="e">
        <f>T1.WELL("",E629,H629)</f>
        <v>#REF!</v>
      </c>
      <c r="AQ638" s="4" t="e">
        <f>T1.WELL("",E629,H629)</f>
        <v>#REF!</v>
      </c>
      <c r="AR638" s="4" t="e">
        <f>T1.WELL("",E629,H629)</f>
        <v>#REF!</v>
      </c>
      <c r="AS638" s="4" t="e">
        <f>T1.WELL("",E629,H629)</f>
        <v>#REF!</v>
      </c>
      <c r="AT638" s="4" t="e">
        <f>T1.WELL("",E629,H629)</f>
        <v>#REF!</v>
      </c>
      <c r="AU638" s="4" t="e">
        <f>T1.WELL("",E629,H629)</f>
        <v>#REF!</v>
      </c>
      <c r="AV638" s="4" t="e">
        <f>T1.WELL("",E629,H629)</f>
        <v>#REF!</v>
      </c>
      <c r="AW638" s="4" t="e">
        <f>T1.WELL("",E629,H629)</f>
        <v>#REF!</v>
      </c>
      <c r="AX638" s="4" t="e">
        <f>T1.WELL("",E629,H629)</f>
        <v>#REF!</v>
      </c>
      <c r="AY638" s="49"/>
      <c r="AZ638" s="49"/>
      <c r="BA638" s="49"/>
    </row>
    <row r="639" spans="1:53" ht="11.25" hidden="1" customHeight="1">
      <c r="B639" s="36" t="s">
        <v>406</v>
      </c>
      <c r="C639" s="4" t="e">
        <f>T1.WELL("",E629,H629)</f>
        <v>#REF!</v>
      </c>
      <c r="D639" s="4" t="e">
        <f>T1.WELL("",E629,H629)</f>
        <v>#REF!</v>
      </c>
      <c r="E639" s="4" t="e">
        <f>T1.WELL("",E629,H629)</f>
        <v>#REF!</v>
      </c>
      <c r="F639" s="4" t="e">
        <f>T1.WELL("",E629,H629)</f>
        <v>#REF!</v>
      </c>
      <c r="G639" s="4" t="e">
        <f>T1.WELL("",E629,H629)</f>
        <v>#REF!</v>
      </c>
      <c r="H639" s="4" t="e">
        <f>T1.WELL("",E629,H629)</f>
        <v>#REF!</v>
      </c>
      <c r="I639" s="4" t="e">
        <f>T1.WELL("",E629,H629)</f>
        <v>#REF!</v>
      </c>
      <c r="J639" s="4" t="e">
        <f>T1.WELL("",E629,H629)</f>
        <v>#REF!</v>
      </c>
      <c r="K639" s="4" t="e">
        <f>T1.WELL("",E629,H629)</f>
        <v>#REF!</v>
      </c>
      <c r="L639" s="4" t="e">
        <f>T1.WELL("",E629,H629)</f>
        <v>#REF!</v>
      </c>
      <c r="M639" s="4" t="e">
        <f>T1.WELL("",E629,H629)</f>
        <v>#REF!</v>
      </c>
      <c r="N639" s="4" t="e">
        <f>T1.WELL("",E629,H629)</f>
        <v>#REF!</v>
      </c>
      <c r="O639" s="4" t="e">
        <f>T1.WELL("",E629,H629)</f>
        <v>#REF!</v>
      </c>
      <c r="P639" s="4" t="e">
        <f>T1.WELL("",E629,H629)</f>
        <v>#REF!</v>
      </c>
      <c r="Q639" s="4" t="e">
        <f>T1.WELL("",E629,H629)</f>
        <v>#REF!</v>
      </c>
      <c r="R639" s="4" t="e">
        <f>T1.WELL("",E629,H629)</f>
        <v>#REF!</v>
      </c>
      <c r="S639" s="4" t="e">
        <f>T1.WELL("",E629,H629)</f>
        <v>#REF!</v>
      </c>
      <c r="T639" s="4" t="e">
        <f>T1.WELL("",E629,H629)</f>
        <v>#REF!</v>
      </c>
      <c r="U639" s="4" t="e">
        <f>T1.WELL("",E629,H629)</f>
        <v>#REF!</v>
      </c>
      <c r="V639" s="4" t="e">
        <f>T1.WELL("",E629,H629)</f>
        <v>#REF!</v>
      </c>
      <c r="W639" s="4" t="e">
        <f>T1.WELL("",E629,H629)</f>
        <v>#REF!</v>
      </c>
      <c r="X639" s="4" t="e">
        <f>T1.WELL("",E629,H629)</f>
        <v>#REF!</v>
      </c>
      <c r="Y639" s="4" t="e">
        <f>T1.WELL("",E629,H629)</f>
        <v>#REF!</v>
      </c>
      <c r="Z639" s="4" t="e">
        <f>T1.WELL("",E629,H629)</f>
        <v>#REF!</v>
      </c>
      <c r="AA639" s="4" t="e">
        <f>T1.WELL("",E629,H629)</f>
        <v>#REF!</v>
      </c>
      <c r="AB639" s="4" t="e">
        <f>T1.WELL("",E629,H629)</f>
        <v>#REF!</v>
      </c>
      <c r="AC639" s="4" t="e">
        <f>T1.WELL("",E629,H629)</f>
        <v>#REF!</v>
      </c>
      <c r="AD639" s="4" t="e">
        <f>T1.WELL("",E629,H629)</f>
        <v>#REF!</v>
      </c>
      <c r="AE639" s="4" t="e">
        <f>T1.WELL("",E629,H629)</f>
        <v>#REF!</v>
      </c>
      <c r="AF639" s="4" t="e">
        <f>T1.WELL("",E629,H629)</f>
        <v>#REF!</v>
      </c>
      <c r="AG639" s="4" t="e">
        <f>T1.WELL("",E629,H629)</f>
        <v>#REF!</v>
      </c>
      <c r="AH639" s="4" t="e">
        <f>T1.WELL("",E629,H629)</f>
        <v>#REF!</v>
      </c>
      <c r="AI639" s="4" t="e">
        <f>T1.WELL("",E629,H629)</f>
        <v>#REF!</v>
      </c>
      <c r="AJ639" s="4" t="e">
        <f>T1.WELL("",E629,H629)</f>
        <v>#REF!</v>
      </c>
      <c r="AK639" s="4" t="e">
        <f>T1.WELL("",E629,H629)</f>
        <v>#REF!</v>
      </c>
      <c r="AL639" s="4" t="e">
        <f>T1.WELL("",E629,H629)</f>
        <v>#REF!</v>
      </c>
      <c r="AM639" s="4" t="e">
        <f>T1.WELL("",E629,H629)</f>
        <v>#REF!</v>
      </c>
      <c r="AN639" s="4" t="e">
        <f>T1.WELL("",E629,H629)</f>
        <v>#REF!</v>
      </c>
      <c r="AO639" s="4" t="e">
        <f>T1.WELL("",E629,H629)</f>
        <v>#REF!</v>
      </c>
      <c r="AP639" s="4" t="e">
        <f>T1.WELL("",E629,H629)</f>
        <v>#REF!</v>
      </c>
      <c r="AQ639" s="4" t="e">
        <f>T1.WELL("",E629,H629)</f>
        <v>#REF!</v>
      </c>
      <c r="AR639" s="4" t="e">
        <f>T1.WELL("",E629,H629)</f>
        <v>#REF!</v>
      </c>
      <c r="AS639" s="4" t="e">
        <f>T1.WELL("",E629,H629)</f>
        <v>#REF!</v>
      </c>
      <c r="AT639" s="4" t="e">
        <f>T1.WELL("",E629,H629)</f>
        <v>#REF!</v>
      </c>
      <c r="AU639" s="4" t="e">
        <f>T1.WELL("",E629,H629)</f>
        <v>#REF!</v>
      </c>
      <c r="AV639" s="4" t="e">
        <f>T1.WELL("",E629,H629)</f>
        <v>#REF!</v>
      </c>
      <c r="AW639" s="4" t="e">
        <f>T1.WELL("",E629,H629)</f>
        <v>#REF!</v>
      </c>
      <c r="AX639" s="4" t="e">
        <f>T1.WELL("",E629,H629)</f>
        <v>#REF!</v>
      </c>
      <c r="AY639" s="49"/>
      <c r="AZ639" s="49"/>
      <c r="BA639" s="49"/>
    </row>
    <row r="640" spans="1:53" ht="11.25" hidden="1" customHeight="1">
      <c r="B640" s="36" t="s">
        <v>407</v>
      </c>
      <c r="C640" s="4" t="e">
        <f>T1.WELL("",E629,H629)</f>
        <v>#REF!</v>
      </c>
      <c r="D640" s="4" t="e">
        <f>T1.WELL("",E629,H629)</f>
        <v>#REF!</v>
      </c>
      <c r="E640" s="4" t="e">
        <f>T1.WELL("",E629,H629)</f>
        <v>#REF!</v>
      </c>
      <c r="F640" s="4" t="e">
        <f>T1.WELL("",E629,H629)</f>
        <v>#REF!</v>
      </c>
      <c r="G640" s="4" t="e">
        <f>T1.WELL("",E629,H629)</f>
        <v>#REF!</v>
      </c>
      <c r="H640" s="4" t="e">
        <f>T1.WELL("",E629,H629)</f>
        <v>#REF!</v>
      </c>
      <c r="I640" s="4" t="e">
        <f>T1.WELL("",E629,H629)</f>
        <v>#REF!</v>
      </c>
      <c r="J640" s="4" t="e">
        <f>T1.WELL("",E629,H629)</f>
        <v>#REF!</v>
      </c>
      <c r="K640" s="4" t="e">
        <f>T1.WELL("",E629,H629)</f>
        <v>#REF!</v>
      </c>
      <c r="L640" s="4" t="e">
        <f>T1.WELL("",E629,H629)</f>
        <v>#REF!</v>
      </c>
      <c r="M640" s="4" t="e">
        <f>T1.WELL("",E629,H629)</f>
        <v>#REF!</v>
      </c>
      <c r="N640" s="4" t="e">
        <f>T1.WELL("",E629,H629)</f>
        <v>#REF!</v>
      </c>
      <c r="O640" s="4" t="e">
        <f>T1.WELL("",E629,H629)</f>
        <v>#REF!</v>
      </c>
      <c r="P640" s="4" t="e">
        <f>T1.WELL("",E629,H629)</f>
        <v>#REF!</v>
      </c>
      <c r="Q640" s="4" t="e">
        <f>T1.WELL("",E629,H629)</f>
        <v>#REF!</v>
      </c>
      <c r="R640" s="4" t="e">
        <f>T1.WELL("",E629,H629)</f>
        <v>#REF!</v>
      </c>
      <c r="S640" s="4" t="e">
        <f>T1.WELL("",E629,H629)</f>
        <v>#REF!</v>
      </c>
      <c r="T640" s="4" t="e">
        <f>T1.WELL("",E629,H629)</f>
        <v>#REF!</v>
      </c>
      <c r="U640" s="4" t="e">
        <f>T1.WELL("",E629,H629)</f>
        <v>#REF!</v>
      </c>
      <c r="V640" s="4" t="e">
        <f>T1.WELL("",E629,H629)</f>
        <v>#REF!</v>
      </c>
      <c r="W640" s="4" t="e">
        <f>T1.WELL("",E629,H629)</f>
        <v>#REF!</v>
      </c>
      <c r="X640" s="4" t="e">
        <f>T1.WELL("",E629,H629)</f>
        <v>#REF!</v>
      </c>
      <c r="Y640" s="4" t="e">
        <f>T1.WELL("",E629,H629)</f>
        <v>#REF!</v>
      </c>
      <c r="Z640" s="4" t="e">
        <f>T1.WELL("",E629,H629)</f>
        <v>#REF!</v>
      </c>
      <c r="AA640" s="4" t="e">
        <f>T1.WELL("",E629,H629)</f>
        <v>#REF!</v>
      </c>
      <c r="AB640" s="4" t="e">
        <f>T1.WELL("",E629,H629)</f>
        <v>#REF!</v>
      </c>
      <c r="AC640" s="4" t="e">
        <f>T1.WELL("",E629,H629)</f>
        <v>#REF!</v>
      </c>
      <c r="AD640" s="4" t="e">
        <f>T1.WELL("",E629,H629)</f>
        <v>#REF!</v>
      </c>
      <c r="AE640" s="4" t="e">
        <f>T1.WELL("",E629,H629)</f>
        <v>#REF!</v>
      </c>
      <c r="AF640" s="4" t="e">
        <f>T1.WELL("",E629,H629)</f>
        <v>#REF!</v>
      </c>
      <c r="AG640" s="4" t="e">
        <f>T1.WELL("",E629,H629)</f>
        <v>#REF!</v>
      </c>
      <c r="AH640" s="4" t="e">
        <f>T1.WELL("",E629,H629)</f>
        <v>#REF!</v>
      </c>
      <c r="AI640" s="4" t="e">
        <f>T1.WELL("",E629,H629)</f>
        <v>#REF!</v>
      </c>
      <c r="AJ640" s="4" t="e">
        <f>T1.WELL("",E629,H629)</f>
        <v>#REF!</v>
      </c>
      <c r="AK640" s="4" t="e">
        <f>T1.WELL("",E629,H629)</f>
        <v>#REF!</v>
      </c>
      <c r="AL640" s="4" t="e">
        <f>T1.WELL("",E629,H629)</f>
        <v>#REF!</v>
      </c>
      <c r="AM640" s="4" t="e">
        <f>T1.WELL("",E629,H629)</f>
        <v>#REF!</v>
      </c>
      <c r="AN640" s="4" t="e">
        <f>T1.WELL("",E629,H629)</f>
        <v>#REF!</v>
      </c>
      <c r="AO640" s="4" t="e">
        <f>T1.WELL("",E629,H629)</f>
        <v>#REF!</v>
      </c>
      <c r="AP640" s="4" t="e">
        <f>T1.WELL("",E629,H629)</f>
        <v>#REF!</v>
      </c>
      <c r="AQ640" s="4" t="e">
        <f>T1.WELL("",E629,H629)</f>
        <v>#REF!</v>
      </c>
      <c r="AR640" s="4" t="e">
        <f>T1.WELL("",E629,H629)</f>
        <v>#REF!</v>
      </c>
      <c r="AS640" s="4" t="e">
        <f>T1.WELL("",E629,H629)</f>
        <v>#REF!</v>
      </c>
      <c r="AT640" s="4" t="e">
        <f>T1.WELL("",E629,H629)</f>
        <v>#REF!</v>
      </c>
      <c r="AU640" s="4" t="e">
        <f>T1.WELL("",E629,H629)</f>
        <v>#REF!</v>
      </c>
      <c r="AV640" s="4" t="e">
        <f>T1.WELL("",E629,H629)</f>
        <v>#REF!</v>
      </c>
      <c r="AW640" s="4" t="e">
        <f>T1.WELL("",E629,H629)</f>
        <v>#REF!</v>
      </c>
      <c r="AX640" s="4" t="e">
        <f>T1.WELL("",E629,H629)</f>
        <v>#REF!</v>
      </c>
      <c r="AY640" s="49"/>
      <c r="AZ640" s="49"/>
      <c r="BA640" s="49"/>
    </row>
    <row r="641" spans="2:53" ht="11.25" hidden="1" customHeight="1">
      <c r="B641" s="36" t="s">
        <v>408</v>
      </c>
      <c r="C641" s="4" t="e">
        <f>T1.WELL("",E629,H629)</f>
        <v>#REF!</v>
      </c>
      <c r="D641" s="4" t="e">
        <f>T1.WELL("",E629,H629)</f>
        <v>#REF!</v>
      </c>
      <c r="E641" s="4" t="e">
        <f>T1.WELL("",E629,H629)</f>
        <v>#REF!</v>
      </c>
      <c r="F641" s="4" t="e">
        <f>T1.WELL("",E629,H629)</f>
        <v>#REF!</v>
      </c>
      <c r="G641" s="4" t="e">
        <f>T1.WELL("",E629,H629)</f>
        <v>#REF!</v>
      </c>
      <c r="H641" s="4" t="e">
        <f>T1.WELL("",E629,H629)</f>
        <v>#REF!</v>
      </c>
      <c r="I641" s="4" t="e">
        <f>T1.WELL("",E629,H629)</f>
        <v>#REF!</v>
      </c>
      <c r="J641" s="4" t="e">
        <f>T1.WELL("",E629,H629)</f>
        <v>#REF!</v>
      </c>
      <c r="K641" s="4" t="e">
        <f>T1.WELL("",E629,H629)</f>
        <v>#REF!</v>
      </c>
      <c r="L641" s="4" t="e">
        <f>T1.WELL("",E629,H629)</f>
        <v>#REF!</v>
      </c>
      <c r="M641" s="4" t="e">
        <f>T1.WELL("",E629,H629)</f>
        <v>#REF!</v>
      </c>
      <c r="N641" s="4" t="e">
        <f>T1.WELL("",E629,H629)</f>
        <v>#REF!</v>
      </c>
      <c r="O641" s="4" t="e">
        <f>T1.WELL("",E629,H629)</f>
        <v>#REF!</v>
      </c>
      <c r="P641" s="4" t="e">
        <f>T1.WELL("",E629,H629)</f>
        <v>#REF!</v>
      </c>
      <c r="Q641" s="4" t="e">
        <f>T1.WELL("",E629,H629)</f>
        <v>#REF!</v>
      </c>
      <c r="R641" s="4" t="e">
        <f>T1.WELL("",E629,H629)</f>
        <v>#REF!</v>
      </c>
      <c r="S641" s="4" t="e">
        <f>T1.WELL("",E629,H629)</f>
        <v>#REF!</v>
      </c>
      <c r="T641" s="4" t="e">
        <f>T1.WELL("",E629,H629)</f>
        <v>#REF!</v>
      </c>
      <c r="U641" s="4" t="e">
        <f>T1.WELL("",E629,H629)</f>
        <v>#REF!</v>
      </c>
      <c r="V641" s="4" t="e">
        <f>T1.WELL("",E629,H629)</f>
        <v>#REF!</v>
      </c>
      <c r="W641" s="4" t="e">
        <f>T1.WELL("",E629,H629)</f>
        <v>#REF!</v>
      </c>
      <c r="X641" s="4" t="e">
        <f>T1.WELL("",E629,H629)</f>
        <v>#REF!</v>
      </c>
      <c r="Y641" s="4" t="e">
        <f>T1.WELL("",E629,H629)</f>
        <v>#REF!</v>
      </c>
      <c r="Z641" s="4" t="e">
        <f>T1.WELL("",E629,H629)</f>
        <v>#REF!</v>
      </c>
      <c r="AA641" s="4" t="e">
        <f>T1.WELL("",E629,H629)</f>
        <v>#REF!</v>
      </c>
      <c r="AB641" s="4" t="e">
        <f>T1.WELL("",E629,H629)</f>
        <v>#REF!</v>
      </c>
      <c r="AC641" s="4" t="e">
        <f>T1.WELL("",E629,H629)</f>
        <v>#REF!</v>
      </c>
      <c r="AD641" s="4" t="e">
        <f>T1.WELL("",E629,H629)</f>
        <v>#REF!</v>
      </c>
      <c r="AE641" s="4" t="e">
        <f>T1.WELL("",E629,H629)</f>
        <v>#REF!</v>
      </c>
      <c r="AF641" s="4" t="e">
        <f>T1.WELL("",E629,H629)</f>
        <v>#REF!</v>
      </c>
      <c r="AG641" s="4" t="e">
        <f>T1.WELL("",E629,H629)</f>
        <v>#REF!</v>
      </c>
      <c r="AH641" s="4" t="e">
        <f>T1.WELL("",E629,H629)</f>
        <v>#REF!</v>
      </c>
      <c r="AI641" s="4" t="e">
        <f>T1.WELL("",E629,H629)</f>
        <v>#REF!</v>
      </c>
      <c r="AJ641" s="4" t="e">
        <f>T1.WELL("",E629,H629)</f>
        <v>#REF!</v>
      </c>
      <c r="AK641" s="4" t="e">
        <f>T1.WELL("",E629,H629)</f>
        <v>#REF!</v>
      </c>
      <c r="AL641" s="4" t="e">
        <f>T1.WELL("",E629,H629)</f>
        <v>#REF!</v>
      </c>
      <c r="AM641" s="4" t="e">
        <f>T1.WELL("",E629,H629)</f>
        <v>#REF!</v>
      </c>
      <c r="AN641" s="4" t="e">
        <f>T1.WELL("",E629,H629)</f>
        <v>#REF!</v>
      </c>
      <c r="AO641" s="4" t="e">
        <f>T1.WELL("",E629,H629)</f>
        <v>#REF!</v>
      </c>
      <c r="AP641" s="4" t="e">
        <f>T1.WELL("",E629,H629)</f>
        <v>#REF!</v>
      </c>
      <c r="AQ641" s="4" t="e">
        <f>T1.WELL("",E629,H629)</f>
        <v>#REF!</v>
      </c>
      <c r="AR641" s="4" t="e">
        <f>T1.WELL("",E629,H629)</f>
        <v>#REF!</v>
      </c>
      <c r="AS641" s="4" t="e">
        <f>T1.WELL("",E629,H629)</f>
        <v>#REF!</v>
      </c>
      <c r="AT641" s="4" t="e">
        <f>T1.WELL("",E629,H629)</f>
        <v>#REF!</v>
      </c>
      <c r="AU641" s="4" t="e">
        <f>T1.WELL("",E629,H629)</f>
        <v>#REF!</v>
      </c>
      <c r="AV641" s="4" t="e">
        <f>T1.WELL("",E629,H629)</f>
        <v>#REF!</v>
      </c>
      <c r="AW641" s="4" t="e">
        <f>T1.WELL("",E629,H629)</f>
        <v>#REF!</v>
      </c>
      <c r="AX641" s="4" t="e">
        <f>T1.WELL("",E629,H629)</f>
        <v>#REF!</v>
      </c>
      <c r="AY641" s="49"/>
      <c r="AZ641" s="49"/>
      <c r="BA641" s="49"/>
    </row>
    <row r="642" spans="2:53" ht="11.25" hidden="1" customHeight="1">
      <c r="B642" s="36" t="s">
        <v>409</v>
      </c>
      <c r="C642" s="4" t="e">
        <f>T1.WELL("",E629,H629)</f>
        <v>#REF!</v>
      </c>
      <c r="D642" s="4" t="e">
        <f>T1.WELL("",E629,H629)</f>
        <v>#REF!</v>
      </c>
      <c r="E642" s="4" t="e">
        <f>T1.WELL("",E629,H629)</f>
        <v>#REF!</v>
      </c>
      <c r="F642" s="4" t="e">
        <f>T1.WELL("",E629,H629)</f>
        <v>#REF!</v>
      </c>
      <c r="G642" s="4" t="e">
        <f>T1.WELL("",E629,H629)</f>
        <v>#REF!</v>
      </c>
      <c r="H642" s="4" t="e">
        <f>T1.WELL("",E629,H629)</f>
        <v>#REF!</v>
      </c>
      <c r="I642" s="4" t="e">
        <f>T1.WELL("",E629,H629)</f>
        <v>#REF!</v>
      </c>
      <c r="J642" s="4" t="e">
        <f>T1.WELL("",E629,H629)</f>
        <v>#REF!</v>
      </c>
      <c r="K642" s="4" t="e">
        <f>T1.WELL("",E629,H629)</f>
        <v>#REF!</v>
      </c>
      <c r="L642" s="4" t="e">
        <f>T1.WELL("",E629,H629)</f>
        <v>#REF!</v>
      </c>
      <c r="M642" s="4" t="e">
        <f>T1.WELL("",E629,H629)</f>
        <v>#REF!</v>
      </c>
      <c r="N642" s="4" t="e">
        <f>T1.WELL("",E629,H629)</f>
        <v>#REF!</v>
      </c>
      <c r="O642" s="4" t="e">
        <f>T1.WELL("",E629,H629)</f>
        <v>#REF!</v>
      </c>
      <c r="P642" s="4" t="e">
        <f>T1.WELL("",E629,H629)</f>
        <v>#REF!</v>
      </c>
      <c r="Q642" s="4" t="e">
        <f>T1.WELL("",E629,H629)</f>
        <v>#REF!</v>
      </c>
      <c r="R642" s="4" t="e">
        <f>T1.WELL("",E629,H629)</f>
        <v>#REF!</v>
      </c>
      <c r="S642" s="4" t="e">
        <f>T1.WELL("",E629,H629)</f>
        <v>#REF!</v>
      </c>
      <c r="T642" s="4" t="e">
        <f>T1.WELL("",E629,H629)</f>
        <v>#REF!</v>
      </c>
      <c r="U642" s="4" t="e">
        <f>T1.WELL("",E629,H629)</f>
        <v>#REF!</v>
      </c>
      <c r="V642" s="4" t="e">
        <f>T1.WELL("",E629,H629)</f>
        <v>#REF!</v>
      </c>
      <c r="W642" s="4" t="e">
        <f>T1.WELL("",E629,H629)</f>
        <v>#REF!</v>
      </c>
      <c r="X642" s="4" t="e">
        <f>T1.WELL("",E629,H629)</f>
        <v>#REF!</v>
      </c>
      <c r="Y642" s="4" t="e">
        <f>T1.WELL("",E629,H629)</f>
        <v>#REF!</v>
      </c>
      <c r="Z642" s="4" t="e">
        <f>T1.WELL("",E629,H629)</f>
        <v>#REF!</v>
      </c>
      <c r="AA642" s="4" t="e">
        <f>T1.WELL("",E629,H629)</f>
        <v>#REF!</v>
      </c>
      <c r="AB642" s="4" t="e">
        <f>T1.WELL("",E629,H629)</f>
        <v>#REF!</v>
      </c>
      <c r="AC642" s="4" t="e">
        <f>T1.WELL("",E629,H629)</f>
        <v>#REF!</v>
      </c>
      <c r="AD642" s="4" t="e">
        <f>T1.WELL("",E629,H629)</f>
        <v>#REF!</v>
      </c>
      <c r="AE642" s="4" t="e">
        <f>T1.WELL("",E629,H629)</f>
        <v>#REF!</v>
      </c>
      <c r="AF642" s="4" t="e">
        <f>T1.WELL("",E629,H629)</f>
        <v>#REF!</v>
      </c>
      <c r="AG642" s="4" t="e">
        <f>T1.WELL("",E629,H629)</f>
        <v>#REF!</v>
      </c>
      <c r="AH642" s="4" t="e">
        <f>T1.WELL("",E629,H629)</f>
        <v>#REF!</v>
      </c>
      <c r="AI642" s="4" t="e">
        <f>T1.WELL("",E629,H629)</f>
        <v>#REF!</v>
      </c>
      <c r="AJ642" s="4" t="e">
        <f>T1.WELL("",E629,H629)</f>
        <v>#REF!</v>
      </c>
      <c r="AK642" s="4" t="e">
        <f>T1.WELL("",E629,H629)</f>
        <v>#REF!</v>
      </c>
      <c r="AL642" s="4" t="e">
        <f>T1.WELL("",E629,H629)</f>
        <v>#REF!</v>
      </c>
      <c r="AM642" s="4" t="e">
        <f>T1.WELL("",E629,H629)</f>
        <v>#REF!</v>
      </c>
      <c r="AN642" s="4" t="e">
        <f>T1.WELL("",E629,H629)</f>
        <v>#REF!</v>
      </c>
      <c r="AO642" s="4" t="e">
        <f>T1.WELL("",E629,H629)</f>
        <v>#REF!</v>
      </c>
      <c r="AP642" s="4" t="e">
        <f>T1.WELL("",E629,H629)</f>
        <v>#REF!</v>
      </c>
      <c r="AQ642" s="4" t="e">
        <f>T1.WELL("",E629,H629)</f>
        <v>#REF!</v>
      </c>
      <c r="AR642" s="4" t="e">
        <f>T1.WELL("",E629,H629)</f>
        <v>#REF!</v>
      </c>
      <c r="AS642" s="4" t="e">
        <f>T1.WELL("",E629,H629)</f>
        <v>#REF!</v>
      </c>
      <c r="AT642" s="4" t="e">
        <f>T1.WELL("",E629,H629)</f>
        <v>#REF!</v>
      </c>
      <c r="AU642" s="4" t="e">
        <f>T1.WELL("",E629,H629)</f>
        <v>#REF!</v>
      </c>
      <c r="AV642" s="4" t="e">
        <f>T1.WELL("",E629,H629)</f>
        <v>#REF!</v>
      </c>
      <c r="AW642" s="4" t="e">
        <f>T1.WELL("",E629,H629)</f>
        <v>#REF!</v>
      </c>
      <c r="AX642" s="4" t="e">
        <f>T1.WELL("",E629,H629)</f>
        <v>#REF!</v>
      </c>
      <c r="AY642" s="49"/>
      <c r="AZ642" s="49"/>
      <c r="BA642" s="49"/>
    </row>
    <row r="643" spans="2:53" ht="11.25" hidden="1" customHeight="1">
      <c r="B643" s="36" t="s">
        <v>410</v>
      </c>
      <c r="C643" s="4" t="e">
        <f>T1.WELL("",E629,H629)</f>
        <v>#REF!</v>
      </c>
      <c r="D643" s="4" t="e">
        <f>T1.WELL("",E629,H629)</f>
        <v>#REF!</v>
      </c>
      <c r="E643" s="4" t="e">
        <f>T1.WELL("",E629,H629)</f>
        <v>#REF!</v>
      </c>
      <c r="F643" s="4" t="e">
        <f>T1.WELL("",E629,H629)</f>
        <v>#REF!</v>
      </c>
      <c r="G643" s="4" t="e">
        <f>T1.WELL("",E629,H629)</f>
        <v>#REF!</v>
      </c>
      <c r="H643" s="4" t="e">
        <f>T1.WELL("",E629,H629)</f>
        <v>#REF!</v>
      </c>
      <c r="I643" s="4" t="e">
        <f>T1.WELL("",E629,H629)</f>
        <v>#REF!</v>
      </c>
      <c r="J643" s="4" t="e">
        <f>T1.WELL("",E629,H629)</f>
        <v>#REF!</v>
      </c>
      <c r="K643" s="4" t="e">
        <f>T1.WELL("",E629,H629)</f>
        <v>#REF!</v>
      </c>
      <c r="L643" s="4" t="e">
        <f>T1.WELL("",E629,H629)</f>
        <v>#REF!</v>
      </c>
      <c r="M643" s="4" t="e">
        <f>T1.WELL("",E629,H629)</f>
        <v>#REF!</v>
      </c>
      <c r="N643" s="4" t="e">
        <f>T1.WELL("",E629,H629)</f>
        <v>#REF!</v>
      </c>
      <c r="O643" s="4" t="e">
        <f>T1.WELL("",E629,H629)</f>
        <v>#REF!</v>
      </c>
      <c r="P643" s="4" t="e">
        <f>T1.WELL("",E629,H629)</f>
        <v>#REF!</v>
      </c>
      <c r="Q643" s="4" t="e">
        <f>T1.WELL("",E629,H629)</f>
        <v>#REF!</v>
      </c>
      <c r="R643" s="4" t="e">
        <f>T1.WELL("",E629,H629)</f>
        <v>#REF!</v>
      </c>
      <c r="S643" s="4" t="e">
        <f>T1.WELL("",E629,H629)</f>
        <v>#REF!</v>
      </c>
      <c r="T643" s="4" t="e">
        <f>T1.WELL("",E629,H629)</f>
        <v>#REF!</v>
      </c>
      <c r="U643" s="4" t="e">
        <f>T1.WELL("",E629,H629)</f>
        <v>#REF!</v>
      </c>
      <c r="V643" s="4" t="e">
        <f>T1.WELL("",E629,H629)</f>
        <v>#REF!</v>
      </c>
      <c r="W643" s="4" t="e">
        <f>T1.WELL("",E629,H629)</f>
        <v>#REF!</v>
      </c>
      <c r="X643" s="4" t="e">
        <f>T1.WELL("",E629,H629)</f>
        <v>#REF!</v>
      </c>
      <c r="Y643" s="4" t="e">
        <f>T1.WELL("",E629,H629)</f>
        <v>#REF!</v>
      </c>
      <c r="Z643" s="4" t="e">
        <f>T1.WELL("",E629,H629)</f>
        <v>#REF!</v>
      </c>
      <c r="AA643" s="4" t="e">
        <f>T1.WELL("",E629,H629)</f>
        <v>#REF!</v>
      </c>
      <c r="AB643" s="4" t="e">
        <f>T1.WELL("",E629,H629)</f>
        <v>#REF!</v>
      </c>
      <c r="AC643" s="4" t="e">
        <f>T1.WELL("",E629,H629)</f>
        <v>#REF!</v>
      </c>
      <c r="AD643" s="4" t="e">
        <f>T1.WELL("",E629,H629)</f>
        <v>#REF!</v>
      </c>
      <c r="AE643" s="4" t="e">
        <f>T1.WELL("",E629,H629)</f>
        <v>#REF!</v>
      </c>
      <c r="AF643" s="4" t="e">
        <f>T1.WELL("",E629,H629)</f>
        <v>#REF!</v>
      </c>
      <c r="AG643" s="4" t="e">
        <f>T1.WELL("",E629,H629)</f>
        <v>#REF!</v>
      </c>
      <c r="AH643" s="4" t="e">
        <f>T1.WELL("",E629,H629)</f>
        <v>#REF!</v>
      </c>
      <c r="AI643" s="4" t="e">
        <f>T1.WELL("",E629,H629)</f>
        <v>#REF!</v>
      </c>
      <c r="AJ643" s="4" t="e">
        <f>T1.WELL("",E629,H629)</f>
        <v>#REF!</v>
      </c>
      <c r="AK643" s="4" t="e">
        <f>T1.WELL("",E629,H629)</f>
        <v>#REF!</v>
      </c>
      <c r="AL643" s="4" t="e">
        <f>T1.WELL("",E629,H629)</f>
        <v>#REF!</v>
      </c>
      <c r="AM643" s="4" t="e">
        <f>T1.WELL("",E629,H629)</f>
        <v>#REF!</v>
      </c>
      <c r="AN643" s="4" t="e">
        <f>T1.WELL("",E629,H629)</f>
        <v>#REF!</v>
      </c>
      <c r="AO643" s="4" t="e">
        <f>T1.WELL("",E629,H629)</f>
        <v>#REF!</v>
      </c>
      <c r="AP643" s="4" t="e">
        <f>T1.WELL("",E629,H629)</f>
        <v>#REF!</v>
      </c>
      <c r="AQ643" s="4" t="e">
        <f>T1.WELL("",E629,H629)</f>
        <v>#REF!</v>
      </c>
      <c r="AR643" s="4" t="e">
        <f>T1.WELL("",E629,H629)</f>
        <v>#REF!</v>
      </c>
      <c r="AS643" s="4" t="e">
        <f>T1.WELL("",E629,H629)</f>
        <v>#REF!</v>
      </c>
      <c r="AT643" s="4" t="e">
        <f>T1.WELL("",E629,H629)</f>
        <v>#REF!</v>
      </c>
      <c r="AU643" s="4" t="e">
        <f>T1.WELL("",E629,H629)</f>
        <v>#REF!</v>
      </c>
      <c r="AV643" s="4" t="e">
        <f>T1.WELL("",E629,H629)</f>
        <v>#REF!</v>
      </c>
      <c r="AW643" s="4" t="e">
        <f>T1.WELL("",E629,H629)</f>
        <v>#REF!</v>
      </c>
      <c r="AX643" s="4" t="e">
        <f>T1.WELL("",E629,H629)</f>
        <v>#REF!</v>
      </c>
      <c r="AY643" s="49"/>
      <c r="AZ643" s="49"/>
      <c r="BA643" s="49"/>
    </row>
    <row r="644" spans="2:53" ht="11.25" hidden="1" customHeight="1">
      <c r="B644" s="36" t="s">
        <v>411</v>
      </c>
      <c r="C644" s="4" t="e">
        <f>T1.WELL("",E629,H629)</f>
        <v>#REF!</v>
      </c>
      <c r="D644" s="4" t="e">
        <f>T1.WELL("",E629,H629)</f>
        <v>#REF!</v>
      </c>
      <c r="E644" s="4" t="e">
        <f>T1.WELL("",E629,H629)</f>
        <v>#REF!</v>
      </c>
      <c r="F644" s="4" t="e">
        <f>T1.WELL("",E629,H629)</f>
        <v>#REF!</v>
      </c>
      <c r="G644" s="4" t="e">
        <f>T1.WELL("",E629,H629)</f>
        <v>#REF!</v>
      </c>
      <c r="H644" s="4" t="e">
        <f>T1.WELL("",E629,H629)</f>
        <v>#REF!</v>
      </c>
      <c r="I644" s="4" t="e">
        <f>T1.WELL("",E629,H629)</f>
        <v>#REF!</v>
      </c>
      <c r="J644" s="4" t="e">
        <f>T1.WELL("",E629,H629)</f>
        <v>#REF!</v>
      </c>
      <c r="K644" s="4" t="e">
        <f>T1.WELL("",E629,H629)</f>
        <v>#REF!</v>
      </c>
      <c r="L644" s="4" t="e">
        <f>T1.WELL("",E629,H629)</f>
        <v>#REF!</v>
      </c>
      <c r="M644" s="4" t="e">
        <f>T1.WELL("",E629,H629)</f>
        <v>#REF!</v>
      </c>
      <c r="N644" s="4" t="e">
        <f>T1.WELL("",E629,H629)</f>
        <v>#REF!</v>
      </c>
      <c r="O644" s="4" t="e">
        <f>T1.WELL("",E629,H629)</f>
        <v>#REF!</v>
      </c>
      <c r="P644" s="4" t="e">
        <f>T1.WELL("",E629,H629)</f>
        <v>#REF!</v>
      </c>
      <c r="Q644" s="4" t="e">
        <f>T1.WELL("",E629,H629)</f>
        <v>#REF!</v>
      </c>
      <c r="R644" s="4" t="e">
        <f>T1.WELL("",E629,H629)</f>
        <v>#REF!</v>
      </c>
      <c r="S644" s="4" t="e">
        <f>T1.WELL("",E629,H629)</f>
        <v>#REF!</v>
      </c>
      <c r="T644" s="4" t="e">
        <f>T1.WELL("",E629,H629)</f>
        <v>#REF!</v>
      </c>
      <c r="U644" s="4" t="e">
        <f>T1.WELL("",E629,H629)</f>
        <v>#REF!</v>
      </c>
      <c r="V644" s="4" t="e">
        <f>T1.WELL("",E629,H629)</f>
        <v>#REF!</v>
      </c>
      <c r="W644" s="4" t="e">
        <f>T1.WELL("",E629,H629)</f>
        <v>#REF!</v>
      </c>
      <c r="X644" s="4" t="e">
        <f>T1.WELL("",E629,H629)</f>
        <v>#REF!</v>
      </c>
      <c r="Y644" s="4" t="e">
        <f>T1.WELL("",E629,H629)</f>
        <v>#REF!</v>
      </c>
      <c r="Z644" s="4" t="e">
        <f>T1.WELL("",E629,H629)</f>
        <v>#REF!</v>
      </c>
      <c r="AA644" s="4" t="e">
        <f>T1.WELL("",E629,H629)</f>
        <v>#REF!</v>
      </c>
      <c r="AB644" s="4" t="e">
        <f>T1.WELL("",E629,H629)</f>
        <v>#REF!</v>
      </c>
      <c r="AC644" s="4" t="e">
        <f>T1.WELL("",E629,H629)</f>
        <v>#REF!</v>
      </c>
      <c r="AD644" s="4" t="e">
        <f>T1.WELL("",E629,H629)</f>
        <v>#REF!</v>
      </c>
      <c r="AE644" s="4" t="e">
        <f>T1.WELL("",E629,H629)</f>
        <v>#REF!</v>
      </c>
      <c r="AF644" s="4" t="e">
        <f>T1.WELL("",E629,H629)</f>
        <v>#REF!</v>
      </c>
      <c r="AG644" s="4" t="e">
        <f>T1.WELL("",E629,H629)</f>
        <v>#REF!</v>
      </c>
      <c r="AH644" s="4" t="e">
        <f>T1.WELL("",E629,H629)</f>
        <v>#REF!</v>
      </c>
      <c r="AI644" s="4" t="e">
        <f>T1.WELL("",E629,H629)</f>
        <v>#REF!</v>
      </c>
      <c r="AJ644" s="4" t="e">
        <f>T1.WELL("",E629,H629)</f>
        <v>#REF!</v>
      </c>
      <c r="AK644" s="4" t="e">
        <f>T1.WELL("",E629,H629)</f>
        <v>#REF!</v>
      </c>
      <c r="AL644" s="4" t="e">
        <f>T1.WELL("",E629,H629)</f>
        <v>#REF!</v>
      </c>
      <c r="AM644" s="4" t="e">
        <f>T1.WELL("",E629,H629)</f>
        <v>#REF!</v>
      </c>
      <c r="AN644" s="4" t="e">
        <f>T1.WELL("",E629,H629)</f>
        <v>#REF!</v>
      </c>
      <c r="AO644" s="4" t="e">
        <f>T1.WELL("",E629,H629)</f>
        <v>#REF!</v>
      </c>
      <c r="AP644" s="4" t="e">
        <f>T1.WELL("",E629,H629)</f>
        <v>#REF!</v>
      </c>
      <c r="AQ644" s="4" t="e">
        <f>T1.WELL("",E629,H629)</f>
        <v>#REF!</v>
      </c>
      <c r="AR644" s="4" t="e">
        <f>T1.WELL("",E629,H629)</f>
        <v>#REF!</v>
      </c>
      <c r="AS644" s="4" t="e">
        <f>T1.WELL("",E629,H629)</f>
        <v>#REF!</v>
      </c>
      <c r="AT644" s="4" t="e">
        <f>T1.WELL("",E629,H629)</f>
        <v>#REF!</v>
      </c>
      <c r="AU644" s="4" t="e">
        <f>T1.WELL("",E629,H629)</f>
        <v>#REF!</v>
      </c>
      <c r="AV644" s="4" t="e">
        <f>T1.WELL("",E629,H629)</f>
        <v>#REF!</v>
      </c>
      <c r="AW644" s="4" t="e">
        <f>T1.WELL("",E629,H629)</f>
        <v>#REF!</v>
      </c>
      <c r="AX644" s="4" t="e">
        <f>T1.WELL("",E629,H629)</f>
        <v>#REF!</v>
      </c>
      <c r="AY644" s="49"/>
      <c r="AZ644" s="49"/>
      <c r="BA644" s="49"/>
    </row>
    <row r="645" spans="2:53" ht="11.25" hidden="1" customHeight="1">
      <c r="B645" s="36" t="s">
        <v>412</v>
      </c>
      <c r="C645" s="4" t="e">
        <f>T1.WELL("",E629,H629)</f>
        <v>#REF!</v>
      </c>
      <c r="D645" s="4" t="e">
        <f>T1.WELL("",E629,H629)</f>
        <v>#REF!</v>
      </c>
      <c r="E645" s="4" t="e">
        <f>T1.WELL("",E629,H629)</f>
        <v>#REF!</v>
      </c>
      <c r="F645" s="4" t="e">
        <f>T1.WELL("",E629,H629)</f>
        <v>#REF!</v>
      </c>
      <c r="G645" s="4" t="e">
        <f>T1.WELL("",E629,H629)</f>
        <v>#REF!</v>
      </c>
      <c r="H645" s="4" t="e">
        <f>T1.WELL("",E629,H629)</f>
        <v>#REF!</v>
      </c>
      <c r="I645" s="4" t="e">
        <f>T1.WELL("",E629,H629)</f>
        <v>#REF!</v>
      </c>
      <c r="J645" s="4" t="e">
        <f>T1.WELL("",E629,H629)</f>
        <v>#REF!</v>
      </c>
      <c r="K645" s="4" t="e">
        <f>T1.WELL("",E629,H629)</f>
        <v>#REF!</v>
      </c>
      <c r="L645" s="4" t="e">
        <f>T1.WELL("",E629,H629)</f>
        <v>#REF!</v>
      </c>
      <c r="M645" s="4" t="e">
        <f>T1.WELL("",E629,H629)</f>
        <v>#REF!</v>
      </c>
      <c r="N645" s="4" t="e">
        <f>T1.WELL("",E629,H629)</f>
        <v>#REF!</v>
      </c>
      <c r="O645" s="4" t="e">
        <f>T1.WELL("",E629,H629)</f>
        <v>#REF!</v>
      </c>
      <c r="P645" s="4" t="e">
        <f>T1.WELL("",E629,H629)</f>
        <v>#REF!</v>
      </c>
      <c r="Q645" s="4" t="e">
        <f>T1.WELL("",E629,H629)</f>
        <v>#REF!</v>
      </c>
      <c r="R645" s="4" t="e">
        <f>T1.WELL("",E629,H629)</f>
        <v>#REF!</v>
      </c>
      <c r="S645" s="4" t="e">
        <f>T1.WELL("",E629,H629)</f>
        <v>#REF!</v>
      </c>
      <c r="T645" s="4" t="e">
        <f>T1.WELL("",E629,H629)</f>
        <v>#REF!</v>
      </c>
      <c r="U645" s="4" t="e">
        <f>T1.WELL("",E629,H629)</f>
        <v>#REF!</v>
      </c>
      <c r="V645" s="4" t="e">
        <f>T1.WELL("",E629,H629)</f>
        <v>#REF!</v>
      </c>
      <c r="W645" s="4" t="e">
        <f>T1.WELL("",E629,H629)</f>
        <v>#REF!</v>
      </c>
      <c r="X645" s="4" t="e">
        <f>T1.WELL("",E629,H629)</f>
        <v>#REF!</v>
      </c>
      <c r="Y645" s="4" t="e">
        <f>T1.WELL("",E629,H629)</f>
        <v>#REF!</v>
      </c>
      <c r="Z645" s="4" t="e">
        <f>T1.WELL("",E629,H629)</f>
        <v>#REF!</v>
      </c>
      <c r="AA645" s="4" t="e">
        <f>T1.WELL("",E629,H629)</f>
        <v>#REF!</v>
      </c>
      <c r="AB645" s="4" t="e">
        <f>T1.WELL("",E629,H629)</f>
        <v>#REF!</v>
      </c>
      <c r="AC645" s="4" t="e">
        <f>T1.WELL("",E629,H629)</f>
        <v>#REF!</v>
      </c>
      <c r="AD645" s="4" t="e">
        <f>T1.WELL("",E629,H629)</f>
        <v>#REF!</v>
      </c>
      <c r="AE645" s="4" t="e">
        <f>T1.WELL("",E629,H629)</f>
        <v>#REF!</v>
      </c>
      <c r="AF645" s="4" t="e">
        <f>T1.WELL("",E629,H629)</f>
        <v>#REF!</v>
      </c>
      <c r="AG645" s="4" t="e">
        <f>T1.WELL("",E629,H629)</f>
        <v>#REF!</v>
      </c>
      <c r="AH645" s="4" t="e">
        <f>T1.WELL("",E629,H629)</f>
        <v>#REF!</v>
      </c>
      <c r="AI645" s="4" t="e">
        <f>T1.WELL("",E629,H629)</f>
        <v>#REF!</v>
      </c>
      <c r="AJ645" s="4" t="e">
        <f>T1.WELL("",E629,H629)</f>
        <v>#REF!</v>
      </c>
      <c r="AK645" s="4" t="e">
        <f>T1.WELL("",E629,H629)</f>
        <v>#REF!</v>
      </c>
      <c r="AL645" s="4" t="e">
        <f>T1.WELL("",E629,H629)</f>
        <v>#REF!</v>
      </c>
      <c r="AM645" s="4" t="e">
        <f>T1.WELL("",E629,H629)</f>
        <v>#REF!</v>
      </c>
      <c r="AN645" s="4" t="e">
        <f>T1.WELL("",E629,H629)</f>
        <v>#REF!</v>
      </c>
      <c r="AO645" s="4" t="e">
        <f>T1.WELL("",E629,H629)</f>
        <v>#REF!</v>
      </c>
      <c r="AP645" s="4" t="e">
        <f>T1.WELL("",E629,H629)</f>
        <v>#REF!</v>
      </c>
      <c r="AQ645" s="4" t="e">
        <f>T1.WELL("",E629,H629)</f>
        <v>#REF!</v>
      </c>
      <c r="AR645" s="4" t="e">
        <f>T1.WELL("",E629,H629)</f>
        <v>#REF!</v>
      </c>
      <c r="AS645" s="4" t="e">
        <f>T1.WELL("",E629,H629)</f>
        <v>#REF!</v>
      </c>
      <c r="AT645" s="4" t="e">
        <f>T1.WELL("",E629,H629)</f>
        <v>#REF!</v>
      </c>
      <c r="AU645" s="4" t="e">
        <f>T1.WELL("",E629,H629)</f>
        <v>#REF!</v>
      </c>
      <c r="AV645" s="4" t="e">
        <f>T1.WELL("",E629,H629)</f>
        <v>#REF!</v>
      </c>
      <c r="AW645" s="4" t="e">
        <f>T1.WELL("",E629,H629)</f>
        <v>#REF!</v>
      </c>
      <c r="AX645" s="4" t="e">
        <f>T1.WELL("",E629,H629)</f>
        <v>#REF!</v>
      </c>
      <c r="AY645" s="49"/>
      <c r="AZ645" s="49"/>
      <c r="BA645" s="49"/>
    </row>
    <row r="646" spans="2:53" ht="11.25" hidden="1" customHeight="1">
      <c r="B646" s="36" t="s">
        <v>413</v>
      </c>
      <c r="C646" s="4" t="e">
        <f>T1.WELL("",E629,H629)</f>
        <v>#REF!</v>
      </c>
      <c r="D646" s="4" t="e">
        <f>T1.WELL("",E629,H629)</f>
        <v>#REF!</v>
      </c>
      <c r="E646" s="4" t="e">
        <f>T1.WELL("",E629,H629)</f>
        <v>#REF!</v>
      </c>
      <c r="F646" s="4" t="e">
        <f>T1.WELL("",E629,H629)</f>
        <v>#REF!</v>
      </c>
      <c r="G646" s="4" t="e">
        <f>T1.WELL("",E629,H629)</f>
        <v>#REF!</v>
      </c>
      <c r="H646" s="4" t="e">
        <f>T1.WELL("",E629,H629)</f>
        <v>#REF!</v>
      </c>
      <c r="I646" s="4" t="e">
        <f>T1.WELL("",E629,H629)</f>
        <v>#REF!</v>
      </c>
      <c r="J646" s="4" t="e">
        <f>T1.WELL("",E629,H629)</f>
        <v>#REF!</v>
      </c>
      <c r="K646" s="4" t="e">
        <f>T1.WELL("",E629,H629)</f>
        <v>#REF!</v>
      </c>
      <c r="L646" s="4" t="e">
        <f>T1.WELL("",E629,H629)</f>
        <v>#REF!</v>
      </c>
      <c r="M646" s="4" t="e">
        <f>T1.WELL("",E629,H629)</f>
        <v>#REF!</v>
      </c>
      <c r="N646" s="4" t="e">
        <f>T1.WELL("",E629,H629)</f>
        <v>#REF!</v>
      </c>
      <c r="O646" s="4" t="e">
        <f>T1.WELL("",E629,H629)</f>
        <v>#REF!</v>
      </c>
      <c r="P646" s="4" t="e">
        <f>T1.WELL("",E629,H629)</f>
        <v>#REF!</v>
      </c>
      <c r="Q646" s="4" t="e">
        <f>T1.WELL("",E629,H629)</f>
        <v>#REF!</v>
      </c>
      <c r="R646" s="4" t="e">
        <f>T1.WELL("",E629,H629)</f>
        <v>#REF!</v>
      </c>
      <c r="S646" s="4" t="e">
        <f>T1.WELL("",E629,H629)</f>
        <v>#REF!</v>
      </c>
      <c r="T646" s="4" t="e">
        <f>T1.WELL("",E629,H629)</f>
        <v>#REF!</v>
      </c>
      <c r="U646" s="4" t="e">
        <f>T1.WELL("",E629,H629)</f>
        <v>#REF!</v>
      </c>
      <c r="V646" s="4" t="e">
        <f>T1.WELL("",E629,H629)</f>
        <v>#REF!</v>
      </c>
      <c r="W646" s="4" t="e">
        <f>T1.WELL("",E629,H629)</f>
        <v>#REF!</v>
      </c>
      <c r="X646" s="4" t="e">
        <f>T1.WELL("",E629,H629)</f>
        <v>#REF!</v>
      </c>
      <c r="Y646" s="4" t="e">
        <f>T1.WELL("",E629,H629)</f>
        <v>#REF!</v>
      </c>
      <c r="Z646" s="4" t="e">
        <f>T1.WELL("",E629,H629)</f>
        <v>#REF!</v>
      </c>
      <c r="AA646" s="4" t="e">
        <f>T1.WELL("",E629,H629)</f>
        <v>#REF!</v>
      </c>
      <c r="AB646" s="4" t="e">
        <f>T1.WELL("",E629,H629)</f>
        <v>#REF!</v>
      </c>
      <c r="AC646" s="4" t="e">
        <f>T1.WELL("",E629,H629)</f>
        <v>#REF!</v>
      </c>
      <c r="AD646" s="4" t="e">
        <f>T1.WELL("",E629,H629)</f>
        <v>#REF!</v>
      </c>
      <c r="AE646" s="4" t="e">
        <f>T1.WELL("",E629,H629)</f>
        <v>#REF!</v>
      </c>
      <c r="AF646" s="4" t="e">
        <f>T1.WELL("",E629,H629)</f>
        <v>#REF!</v>
      </c>
      <c r="AG646" s="4" t="e">
        <f>T1.WELL("",E629,H629)</f>
        <v>#REF!</v>
      </c>
      <c r="AH646" s="4" t="e">
        <f>T1.WELL("",E629,H629)</f>
        <v>#REF!</v>
      </c>
      <c r="AI646" s="4" t="e">
        <f>T1.WELL("",E629,H629)</f>
        <v>#REF!</v>
      </c>
      <c r="AJ646" s="4" t="e">
        <f>T1.WELL("",E629,H629)</f>
        <v>#REF!</v>
      </c>
      <c r="AK646" s="4" t="e">
        <f>T1.WELL("",E629,H629)</f>
        <v>#REF!</v>
      </c>
      <c r="AL646" s="4" t="e">
        <f>T1.WELL("",E629,H629)</f>
        <v>#REF!</v>
      </c>
      <c r="AM646" s="4" t="e">
        <f>T1.WELL("",E629,H629)</f>
        <v>#REF!</v>
      </c>
      <c r="AN646" s="4" t="e">
        <f>T1.WELL("",E629,H629)</f>
        <v>#REF!</v>
      </c>
      <c r="AO646" s="4" t="e">
        <f>T1.WELL("",E629,H629)</f>
        <v>#REF!</v>
      </c>
      <c r="AP646" s="4" t="e">
        <f>T1.WELL("",E629,H629)</f>
        <v>#REF!</v>
      </c>
      <c r="AQ646" s="4" t="e">
        <f>T1.WELL("",E629,H629)</f>
        <v>#REF!</v>
      </c>
      <c r="AR646" s="4" t="e">
        <f>T1.WELL("",E629,H629)</f>
        <v>#REF!</v>
      </c>
      <c r="AS646" s="4" t="e">
        <f>T1.WELL("",E629,H629)</f>
        <v>#REF!</v>
      </c>
      <c r="AT646" s="4" t="e">
        <f>T1.WELL("",E629,H629)</f>
        <v>#REF!</v>
      </c>
      <c r="AU646" s="4" t="e">
        <f>T1.WELL("",E629,H629)</f>
        <v>#REF!</v>
      </c>
      <c r="AV646" s="4" t="e">
        <f>T1.WELL("",E629,H629)</f>
        <v>#REF!</v>
      </c>
      <c r="AW646" s="4" t="e">
        <f>T1.WELL("",E629,H629)</f>
        <v>#REF!</v>
      </c>
      <c r="AX646" s="4" t="e">
        <f>T1.WELL("",E629,H629)</f>
        <v>#REF!</v>
      </c>
      <c r="AY646" s="49"/>
      <c r="AZ646" s="49"/>
      <c r="BA646" s="49"/>
    </row>
    <row r="647" spans="2:53" ht="11.25" hidden="1" customHeight="1">
      <c r="B647" s="36" t="s">
        <v>414</v>
      </c>
      <c r="C647" s="4" t="e">
        <f>T1.WELL("",E629,H629)</f>
        <v>#REF!</v>
      </c>
      <c r="D647" s="4" t="e">
        <f>T1.WELL("",E629,H629)</f>
        <v>#REF!</v>
      </c>
      <c r="E647" s="4" t="e">
        <f>T1.WELL("",E629,H629)</f>
        <v>#REF!</v>
      </c>
      <c r="F647" s="4" t="e">
        <f>T1.WELL("",E629,H629)</f>
        <v>#REF!</v>
      </c>
      <c r="G647" s="4" t="e">
        <f>T1.WELL("",E629,H629)</f>
        <v>#REF!</v>
      </c>
      <c r="H647" s="4" t="e">
        <f>T1.WELL("",E629,H629)</f>
        <v>#REF!</v>
      </c>
      <c r="I647" s="4" t="e">
        <f>T1.WELL("",E629,H629)</f>
        <v>#REF!</v>
      </c>
      <c r="J647" s="4" t="e">
        <f>T1.WELL("",E629,H629)</f>
        <v>#REF!</v>
      </c>
      <c r="K647" s="4" t="e">
        <f>T1.WELL("",E629,H629)</f>
        <v>#REF!</v>
      </c>
      <c r="L647" s="4" t="e">
        <f>T1.WELL("",E629,H629)</f>
        <v>#REF!</v>
      </c>
      <c r="M647" s="4" t="e">
        <f>T1.WELL("",E629,H629)</f>
        <v>#REF!</v>
      </c>
      <c r="N647" s="4" t="e">
        <f>T1.WELL("",E629,H629)</f>
        <v>#REF!</v>
      </c>
      <c r="O647" s="4" t="e">
        <f>T1.WELL("",E629,H629)</f>
        <v>#REF!</v>
      </c>
      <c r="P647" s="4" t="e">
        <f>T1.WELL("",E629,H629)</f>
        <v>#REF!</v>
      </c>
      <c r="Q647" s="4" t="e">
        <f>T1.WELL("",E629,H629)</f>
        <v>#REF!</v>
      </c>
      <c r="R647" s="4" t="e">
        <f>T1.WELL("",E629,H629)</f>
        <v>#REF!</v>
      </c>
      <c r="S647" s="4" t="e">
        <f>T1.WELL("",E629,H629)</f>
        <v>#REF!</v>
      </c>
      <c r="T647" s="4" t="e">
        <f>T1.WELL("",E629,H629)</f>
        <v>#REF!</v>
      </c>
      <c r="U647" s="4" t="e">
        <f>T1.WELL("",E629,H629)</f>
        <v>#REF!</v>
      </c>
      <c r="V647" s="4" t="e">
        <f>T1.WELL("",E629,H629)</f>
        <v>#REF!</v>
      </c>
      <c r="W647" s="4" t="e">
        <f>T1.WELL("",E629,H629)</f>
        <v>#REF!</v>
      </c>
      <c r="X647" s="4" t="e">
        <f>T1.WELL("",E629,H629)</f>
        <v>#REF!</v>
      </c>
      <c r="Y647" s="4" t="e">
        <f>T1.WELL("",E629,H629)</f>
        <v>#REF!</v>
      </c>
      <c r="Z647" s="4" t="e">
        <f>T1.WELL("",E629,H629)</f>
        <v>#REF!</v>
      </c>
      <c r="AA647" s="4" t="e">
        <f>T1.WELL("",E629,H629)</f>
        <v>#REF!</v>
      </c>
      <c r="AB647" s="4" t="e">
        <f>T1.WELL("",E629,H629)</f>
        <v>#REF!</v>
      </c>
      <c r="AC647" s="4" t="e">
        <f>T1.WELL("",E629,H629)</f>
        <v>#REF!</v>
      </c>
      <c r="AD647" s="4" t="e">
        <f>T1.WELL("",E629,H629)</f>
        <v>#REF!</v>
      </c>
      <c r="AE647" s="4" t="e">
        <f>T1.WELL("",E629,H629)</f>
        <v>#REF!</v>
      </c>
      <c r="AF647" s="4" t="e">
        <f>T1.WELL("",E629,H629)</f>
        <v>#REF!</v>
      </c>
      <c r="AG647" s="4" t="e">
        <f>T1.WELL("",E629,H629)</f>
        <v>#REF!</v>
      </c>
      <c r="AH647" s="4" t="e">
        <f>T1.WELL("",E629,H629)</f>
        <v>#REF!</v>
      </c>
      <c r="AI647" s="4" t="e">
        <f>T1.WELL("",E629,H629)</f>
        <v>#REF!</v>
      </c>
      <c r="AJ647" s="4" t="e">
        <f>T1.WELL("",E629,H629)</f>
        <v>#REF!</v>
      </c>
      <c r="AK647" s="4" t="e">
        <f>T1.WELL("",E629,H629)</f>
        <v>#REF!</v>
      </c>
      <c r="AL647" s="4" t="e">
        <f>T1.WELL("",E629,H629)</f>
        <v>#REF!</v>
      </c>
      <c r="AM647" s="4" t="e">
        <f>T1.WELL("",E629,H629)</f>
        <v>#REF!</v>
      </c>
      <c r="AN647" s="4" t="e">
        <f>T1.WELL("",E629,H629)</f>
        <v>#REF!</v>
      </c>
      <c r="AO647" s="4" t="e">
        <f>T1.WELL("",E629,H629)</f>
        <v>#REF!</v>
      </c>
      <c r="AP647" s="4" t="e">
        <f>T1.WELL("",E629,H629)</f>
        <v>#REF!</v>
      </c>
      <c r="AQ647" s="4" t="e">
        <f>T1.WELL("",E629,H629)</f>
        <v>#REF!</v>
      </c>
      <c r="AR647" s="4" t="e">
        <f>T1.WELL("",E629,H629)</f>
        <v>#REF!</v>
      </c>
      <c r="AS647" s="4" t="e">
        <f>T1.WELL("",E629,H629)</f>
        <v>#REF!</v>
      </c>
      <c r="AT647" s="4" t="e">
        <f>T1.WELL("",E629,H629)</f>
        <v>#REF!</v>
      </c>
      <c r="AU647" s="4" t="e">
        <f>T1.WELL("",E629,H629)</f>
        <v>#REF!</v>
      </c>
      <c r="AV647" s="4" t="e">
        <f>T1.WELL("",E629,H629)</f>
        <v>#REF!</v>
      </c>
      <c r="AW647" s="4" t="e">
        <f>T1.WELL("",E629,H629)</f>
        <v>#REF!</v>
      </c>
      <c r="AX647" s="4" t="e">
        <f>T1.WELL("",E629,H629)</f>
        <v>#REF!</v>
      </c>
      <c r="AY647" s="49"/>
      <c r="AZ647" s="49"/>
      <c r="BA647" s="49"/>
    </row>
    <row r="648" spans="2:53" ht="11.25" hidden="1" customHeight="1">
      <c r="B648" s="36" t="s">
        <v>1214</v>
      </c>
      <c r="C648" s="4" t="e">
        <f>T1.WELL("",E629,H629)</f>
        <v>#REF!</v>
      </c>
      <c r="D648" s="4" t="e">
        <f>T1.WELL("",E629,H629)</f>
        <v>#REF!</v>
      </c>
      <c r="E648" s="4" t="e">
        <f>T1.WELL("",E629,H629)</f>
        <v>#REF!</v>
      </c>
      <c r="F648" s="4" t="e">
        <f>T1.WELL("",E629,H629)</f>
        <v>#REF!</v>
      </c>
      <c r="G648" s="4" t="e">
        <f>T1.WELL("",E629,H629)</f>
        <v>#REF!</v>
      </c>
      <c r="H648" s="4" t="e">
        <f>T1.WELL("",E629,H629)</f>
        <v>#REF!</v>
      </c>
      <c r="I648" s="4" t="e">
        <f>T1.WELL("",E629,H629)</f>
        <v>#REF!</v>
      </c>
      <c r="J648" s="4" t="e">
        <f>T1.WELL("",E629,H629)</f>
        <v>#REF!</v>
      </c>
      <c r="K648" s="4" t="e">
        <f>T1.WELL("",E629,H629)</f>
        <v>#REF!</v>
      </c>
      <c r="L648" s="4" t="e">
        <f>T1.WELL("",E629,H629)</f>
        <v>#REF!</v>
      </c>
      <c r="M648" s="4" t="e">
        <f>T1.WELL("",E629,H629)</f>
        <v>#REF!</v>
      </c>
      <c r="N648" s="4" t="e">
        <f>T1.WELL("",E629,H629)</f>
        <v>#REF!</v>
      </c>
      <c r="O648" s="4" t="e">
        <f>T1.WELL("",E629,H629)</f>
        <v>#REF!</v>
      </c>
      <c r="P648" s="4" t="e">
        <f>T1.WELL("",E629,H629)</f>
        <v>#REF!</v>
      </c>
      <c r="Q648" s="4" t="e">
        <f>T1.WELL("",E629,H629)</f>
        <v>#REF!</v>
      </c>
      <c r="R648" s="4" t="e">
        <f>T1.WELL("",E629,H629)</f>
        <v>#REF!</v>
      </c>
      <c r="S648" s="4" t="e">
        <f>T1.WELL("",E629,H629)</f>
        <v>#REF!</v>
      </c>
      <c r="T648" s="4" t="e">
        <f>T1.WELL("",E629,H629)</f>
        <v>#REF!</v>
      </c>
      <c r="U648" s="4" t="e">
        <f>T1.WELL("",E629,H629)</f>
        <v>#REF!</v>
      </c>
      <c r="V648" s="4" t="e">
        <f>T1.WELL("",E629,H629)</f>
        <v>#REF!</v>
      </c>
      <c r="W648" s="4" t="e">
        <f>T1.WELL("",E629,H629)</f>
        <v>#REF!</v>
      </c>
      <c r="X648" s="4" t="e">
        <f>T1.WELL("",E629,H629)</f>
        <v>#REF!</v>
      </c>
      <c r="Y648" s="4" t="e">
        <f>T1.WELL("",E629,H629)</f>
        <v>#REF!</v>
      </c>
      <c r="Z648" s="4" t="e">
        <f>T1.WELL("",E629,H629)</f>
        <v>#REF!</v>
      </c>
      <c r="AA648" s="4" t="e">
        <f>T1.WELL("",E629,H629)</f>
        <v>#REF!</v>
      </c>
      <c r="AB648" s="4" t="e">
        <f>T1.WELL("",E629,H629)</f>
        <v>#REF!</v>
      </c>
      <c r="AC648" s="4" t="e">
        <f>T1.WELL("",E629,H629)</f>
        <v>#REF!</v>
      </c>
      <c r="AD648" s="4" t="e">
        <f>T1.WELL("",E629,H629)</f>
        <v>#REF!</v>
      </c>
      <c r="AE648" s="4" t="e">
        <f>T1.WELL("",E629,H629)</f>
        <v>#REF!</v>
      </c>
      <c r="AF648" s="4" t="e">
        <f>T1.WELL("",E629,H629)</f>
        <v>#REF!</v>
      </c>
      <c r="AG648" s="4" t="e">
        <f>T1.WELL("",E629,H629)</f>
        <v>#REF!</v>
      </c>
      <c r="AH648" s="4" t="e">
        <f>T1.WELL("",E629,H629)</f>
        <v>#REF!</v>
      </c>
      <c r="AI648" s="4" t="e">
        <f>T1.WELL("",E629,H629)</f>
        <v>#REF!</v>
      </c>
      <c r="AJ648" s="4" t="e">
        <f>T1.WELL("",E629,H629)</f>
        <v>#REF!</v>
      </c>
      <c r="AK648" s="4" t="e">
        <f>T1.WELL("",E629,H629)</f>
        <v>#REF!</v>
      </c>
      <c r="AL648" s="4" t="e">
        <f>T1.WELL("",E629,H629)</f>
        <v>#REF!</v>
      </c>
      <c r="AM648" s="4" t="e">
        <f>T1.WELL("",E629,H629)</f>
        <v>#REF!</v>
      </c>
      <c r="AN648" s="4" t="e">
        <f>T1.WELL("",E629,H629)</f>
        <v>#REF!</v>
      </c>
      <c r="AO648" s="4" t="e">
        <f>T1.WELL("",E629,H629)</f>
        <v>#REF!</v>
      </c>
      <c r="AP648" s="4" t="e">
        <f>T1.WELL("",E629,H629)</f>
        <v>#REF!</v>
      </c>
      <c r="AQ648" s="4" t="e">
        <f>T1.WELL("",E629,H629)</f>
        <v>#REF!</v>
      </c>
      <c r="AR648" s="4" t="e">
        <f>T1.WELL("",E629,H629)</f>
        <v>#REF!</v>
      </c>
      <c r="AS648" s="4" t="e">
        <f>T1.WELL("",E629,H629)</f>
        <v>#REF!</v>
      </c>
      <c r="AT648" s="4" t="e">
        <f>T1.WELL("",E629,H629)</f>
        <v>#REF!</v>
      </c>
      <c r="AU648" s="4" t="e">
        <f>T1.WELL("",E629,H629)</f>
        <v>#REF!</v>
      </c>
      <c r="AV648" s="4" t="e">
        <f>T1.WELL("",E629,H629)</f>
        <v>#REF!</v>
      </c>
      <c r="AW648" s="4" t="e">
        <f>T1.WELL("",E629,H629)</f>
        <v>#REF!</v>
      </c>
      <c r="AX648" s="4" t="e">
        <f>T1.WELL("",E629,H629)</f>
        <v>#REF!</v>
      </c>
      <c r="AY648" s="49"/>
      <c r="AZ648" s="49"/>
      <c r="BA648" s="49"/>
    </row>
    <row r="649" spans="2:53" ht="11.25" hidden="1" customHeight="1">
      <c r="B649" s="36" t="s">
        <v>1263</v>
      </c>
      <c r="C649" s="4" t="e">
        <f>T1.WELL("",E629,H629)</f>
        <v>#REF!</v>
      </c>
      <c r="D649" s="4" t="e">
        <f>T1.WELL("",E629,H629)</f>
        <v>#REF!</v>
      </c>
      <c r="E649" s="4" t="e">
        <f>T1.WELL("",E629,H629)</f>
        <v>#REF!</v>
      </c>
      <c r="F649" s="4" t="e">
        <f>T1.WELL("",E629,H629)</f>
        <v>#REF!</v>
      </c>
      <c r="G649" s="4" t="e">
        <f>T1.WELL("",E629,H629)</f>
        <v>#REF!</v>
      </c>
      <c r="H649" s="4" t="e">
        <f>T1.WELL("",E629,H629)</f>
        <v>#REF!</v>
      </c>
      <c r="I649" s="4" t="e">
        <f>T1.WELL("",E629,H629)</f>
        <v>#REF!</v>
      </c>
      <c r="J649" s="4" t="e">
        <f>T1.WELL("",E629,H629)</f>
        <v>#REF!</v>
      </c>
      <c r="K649" s="4" t="e">
        <f>T1.WELL("",E629,H629)</f>
        <v>#REF!</v>
      </c>
      <c r="L649" s="4" t="e">
        <f>T1.WELL("",E629,H629)</f>
        <v>#REF!</v>
      </c>
      <c r="M649" s="4" t="e">
        <f>T1.WELL("",E629,H629)</f>
        <v>#REF!</v>
      </c>
      <c r="N649" s="4" t="e">
        <f>T1.WELL("",E629,H629)</f>
        <v>#REF!</v>
      </c>
      <c r="O649" s="4" t="e">
        <f>T1.WELL("",E629,H629)</f>
        <v>#REF!</v>
      </c>
      <c r="P649" s="4" t="e">
        <f>T1.WELL("",E629,H629)</f>
        <v>#REF!</v>
      </c>
      <c r="Q649" s="4" t="e">
        <f>T1.WELL("",E629,H629)</f>
        <v>#REF!</v>
      </c>
      <c r="R649" s="4" t="e">
        <f>T1.WELL("",E629,H629)</f>
        <v>#REF!</v>
      </c>
      <c r="S649" s="4" t="e">
        <f>T1.WELL("",E629,H629)</f>
        <v>#REF!</v>
      </c>
      <c r="T649" s="4" t="e">
        <f>T1.WELL("",E629,H629)</f>
        <v>#REF!</v>
      </c>
      <c r="U649" s="4" t="e">
        <f>T1.WELL("",E629,H629)</f>
        <v>#REF!</v>
      </c>
      <c r="V649" s="4" t="e">
        <f>T1.WELL("",E629,H629)</f>
        <v>#REF!</v>
      </c>
      <c r="W649" s="4" t="e">
        <f>T1.WELL("",E629,H629)</f>
        <v>#REF!</v>
      </c>
      <c r="X649" s="4" t="e">
        <f>T1.WELL("",E629,H629)</f>
        <v>#REF!</v>
      </c>
      <c r="Y649" s="4" t="e">
        <f>T1.WELL("",E629,H629)</f>
        <v>#REF!</v>
      </c>
      <c r="Z649" s="4" t="e">
        <f>T1.WELL("",E629,H629)</f>
        <v>#REF!</v>
      </c>
      <c r="AA649" s="4" t="e">
        <f>T1.WELL("",E629,H629)</f>
        <v>#REF!</v>
      </c>
      <c r="AB649" s="4" t="e">
        <f>T1.WELL("",E629,H629)</f>
        <v>#REF!</v>
      </c>
      <c r="AC649" s="4" t="e">
        <f>T1.WELL("",E629,H629)</f>
        <v>#REF!</v>
      </c>
      <c r="AD649" s="4" t="e">
        <f>T1.WELL("",E629,H629)</f>
        <v>#REF!</v>
      </c>
      <c r="AE649" s="4" t="e">
        <f>T1.WELL("",E629,H629)</f>
        <v>#REF!</v>
      </c>
      <c r="AF649" s="4" t="e">
        <f>T1.WELL("",E629,H629)</f>
        <v>#REF!</v>
      </c>
      <c r="AG649" s="4" t="e">
        <f>T1.WELL("",E629,H629)</f>
        <v>#REF!</v>
      </c>
      <c r="AH649" s="4" t="e">
        <f>T1.WELL("",E629,H629)</f>
        <v>#REF!</v>
      </c>
      <c r="AI649" s="4" t="e">
        <f>T1.WELL("",E629,H629)</f>
        <v>#REF!</v>
      </c>
      <c r="AJ649" s="4" t="e">
        <f>T1.WELL("",E629,H629)</f>
        <v>#REF!</v>
      </c>
      <c r="AK649" s="4" t="e">
        <f>T1.WELL("",E629,H629)</f>
        <v>#REF!</v>
      </c>
      <c r="AL649" s="4" t="e">
        <f>T1.WELL("",E629,H629)</f>
        <v>#REF!</v>
      </c>
      <c r="AM649" s="4" t="e">
        <f>T1.WELL("",E629,H629)</f>
        <v>#REF!</v>
      </c>
      <c r="AN649" s="4" t="e">
        <f>T1.WELL("",E629,H629)</f>
        <v>#REF!</v>
      </c>
      <c r="AO649" s="4" t="e">
        <f>T1.WELL("",E629,H629)</f>
        <v>#REF!</v>
      </c>
      <c r="AP649" s="4" t="e">
        <f>T1.WELL("",E629,H629)</f>
        <v>#REF!</v>
      </c>
      <c r="AQ649" s="4" t="e">
        <f>T1.WELL("",E629,H629)</f>
        <v>#REF!</v>
      </c>
      <c r="AR649" s="4" t="e">
        <f>T1.WELL("",E629,H629)</f>
        <v>#REF!</v>
      </c>
      <c r="AS649" s="4" t="e">
        <f>T1.WELL("",E629,H629)</f>
        <v>#REF!</v>
      </c>
      <c r="AT649" s="4" t="e">
        <f>T1.WELL("",E629,H629)</f>
        <v>#REF!</v>
      </c>
      <c r="AU649" s="4" t="e">
        <f>T1.WELL("",E629,H629)</f>
        <v>#REF!</v>
      </c>
      <c r="AV649" s="4" t="e">
        <f>T1.WELL("",E629,H629)</f>
        <v>#REF!</v>
      </c>
      <c r="AW649" s="4" t="e">
        <f>T1.WELL("",E629,H629)</f>
        <v>#REF!</v>
      </c>
      <c r="AX649" s="4" t="e">
        <f>T1.WELL("",E629,H629)</f>
        <v>#REF!</v>
      </c>
      <c r="AY649" s="49"/>
      <c r="AZ649" s="49"/>
      <c r="BA649" s="49"/>
    </row>
    <row r="650" spans="2:53" ht="11.25" hidden="1" customHeight="1">
      <c r="B650" s="36" t="s">
        <v>1312</v>
      </c>
      <c r="C650" s="4" t="e">
        <f>T1.WELL("",E629,H629)</f>
        <v>#REF!</v>
      </c>
      <c r="D650" s="4" t="e">
        <f>T1.WELL("",E629,H629)</f>
        <v>#REF!</v>
      </c>
      <c r="E650" s="4" t="e">
        <f>T1.WELL("",E629,H629)</f>
        <v>#REF!</v>
      </c>
      <c r="F650" s="4" t="e">
        <f>T1.WELL("",E629,H629)</f>
        <v>#REF!</v>
      </c>
      <c r="G650" s="4" t="e">
        <f>T1.WELL("",E629,H629)</f>
        <v>#REF!</v>
      </c>
      <c r="H650" s="4" t="e">
        <f>T1.WELL("",E629,H629)</f>
        <v>#REF!</v>
      </c>
      <c r="I650" s="4" t="e">
        <f>T1.WELL("",E629,H629)</f>
        <v>#REF!</v>
      </c>
      <c r="J650" s="4" t="e">
        <f>T1.WELL("",E629,H629)</f>
        <v>#REF!</v>
      </c>
      <c r="K650" s="4" t="e">
        <f>T1.WELL("",E629,H629)</f>
        <v>#REF!</v>
      </c>
      <c r="L650" s="4" t="e">
        <f>T1.WELL("",E629,H629)</f>
        <v>#REF!</v>
      </c>
      <c r="M650" s="4" t="e">
        <f>T1.WELL("",E629,H629)</f>
        <v>#REF!</v>
      </c>
      <c r="N650" s="4" t="e">
        <f>T1.WELL("",E629,H629)</f>
        <v>#REF!</v>
      </c>
      <c r="O650" s="4" t="e">
        <f>T1.WELL("",E629,H629)</f>
        <v>#REF!</v>
      </c>
      <c r="P650" s="4" t="e">
        <f>T1.WELL("",E629,H629)</f>
        <v>#REF!</v>
      </c>
      <c r="Q650" s="4" t="e">
        <f>T1.WELL("",E629,H629)</f>
        <v>#REF!</v>
      </c>
      <c r="R650" s="4" t="e">
        <f>T1.WELL("",E629,H629)</f>
        <v>#REF!</v>
      </c>
      <c r="S650" s="4" t="e">
        <f>T1.WELL("",E629,H629)</f>
        <v>#REF!</v>
      </c>
      <c r="T650" s="4" t="e">
        <f>T1.WELL("",E629,H629)</f>
        <v>#REF!</v>
      </c>
      <c r="U650" s="4" t="e">
        <f>T1.WELL("",E629,H629)</f>
        <v>#REF!</v>
      </c>
      <c r="V650" s="4" t="e">
        <f>T1.WELL("",E629,H629)</f>
        <v>#REF!</v>
      </c>
      <c r="W650" s="4" t="e">
        <f>T1.WELL("",E629,H629)</f>
        <v>#REF!</v>
      </c>
      <c r="X650" s="4" t="e">
        <f>T1.WELL("",E629,H629)</f>
        <v>#REF!</v>
      </c>
      <c r="Y650" s="4" t="e">
        <f>T1.WELL("",E629,H629)</f>
        <v>#REF!</v>
      </c>
      <c r="Z650" s="4" t="e">
        <f>T1.WELL("",E629,H629)</f>
        <v>#REF!</v>
      </c>
      <c r="AA650" s="4" t="e">
        <f>T1.WELL("",E629,H629)</f>
        <v>#REF!</v>
      </c>
      <c r="AB650" s="4" t="e">
        <f>T1.WELL("",E629,H629)</f>
        <v>#REF!</v>
      </c>
      <c r="AC650" s="4" t="e">
        <f>T1.WELL("",E629,H629)</f>
        <v>#REF!</v>
      </c>
      <c r="AD650" s="4" t="e">
        <f>T1.WELL("",E629,H629)</f>
        <v>#REF!</v>
      </c>
      <c r="AE650" s="4" t="e">
        <f>T1.WELL("",E629,H629)</f>
        <v>#REF!</v>
      </c>
      <c r="AF650" s="4" t="e">
        <f>T1.WELL("",E629,H629)</f>
        <v>#REF!</v>
      </c>
      <c r="AG650" s="4" t="e">
        <f>T1.WELL("",E629,H629)</f>
        <v>#REF!</v>
      </c>
      <c r="AH650" s="4" t="e">
        <f>T1.WELL("",E629,H629)</f>
        <v>#REF!</v>
      </c>
      <c r="AI650" s="4" t="e">
        <f>T1.WELL("",E629,H629)</f>
        <v>#REF!</v>
      </c>
      <c r="AJ650" s="4" t="e">
        <f>T1.WELL("",E629,H629)</f>
        <v>#REF!</v>
      </c>
      <c r="AK650" s="4" t="e">
        <f>T1.WELL("",E629,H629)</f>
        <v>#REF!</v>
      </c>
      <c r="AL650" s="4" t="e">
        <f>T1.WELL("",E629,H629)</f>
        <v>#REF!</v>
      </c>
      <c r="AM650" s="4" t="e">
        <f>T1.WELL("",E629,H629)</f>
        <v>#REF!</v>
      </c>
      <c r="AN650" s="4" t="e">
        <f>T1.WELL("",E629,H629)</f>
        <v>#REF!</v>
      </c>
      <c r="AO650" s="4" t="e">
        <f>T1.WELL("",E629,H629)</f>
        <v>#REF!</v>
      </c>
      <c r="AP650" s="4" t="e">
        <f>T1.WELL("",E629,H629)</f>
        <v>#REF!</v>
      </c>
      <c r="AQ650" s="4" t="e">
        <f>T1.WELL("",E629,H629)</f>
        <v>#REF!</v>
      </c>
      <c r="AR650" s="4" t="e">
        <f>T1.WELL("",E629,H629)</f>
        <v>#REF!</v>
      </c>
      <c r="AS650" s="4" t="e">
        <f>T1.WELL("",E629,H629)</f>
        <v>#REF!</v>
      </c>
      <c r="AT650" s="4" t="e">
        <f>T1.WELL("",E629,H629)</f>
        <v>#REF!</v>
      </c>
      <c r="AU650" s="4" t="e">
        <f>T1.WELL("",E629,H629)</f>
        <v>#REF!</v>
      </c>
      <c r="AV650" s="4" t="e">
        <f>T1.WELL("",E629,H629)</f>
        <v>#REF!</v>
      </c>
      <c r="AW650" s="4" t="e">
        <f>T1.WELL("",E629,H629)</f>
        <v>#REF!</v>
      </c>
      <c r="AX650" s="4" t="e">
        <f>T1.WELL("",E629,H629)</f>
        <v>#REF!</v>
      </c>
      <c r="AY650" s="49"/>
      <c r="AZ650" s="49"/>
      <c r="BA650" s="49"/>
    </row>
    <row r="651" spans="2:53" ht="11.25" hidden="1" customHeight="1">
      <c r="B651" s="36" t="s">
        <v>1361</v>
      </c>
      <c r="C651" s="4" t="e">
        <f>T1.WELL("",E629,H629)</f>
        <v>#REF!</v>
      </c>
      <c r="D651" s="4" t="e">
        <f>T1.WELL("",E629,H629)</f>
        <v>#REF!</v>
      </c>
      <c r="E651" s="4" t="e">
        <f>T1.WELL("",E629,H629)</f>
        <v>#REF!</v>
      </c>
      <c r="F651" s="4" t="e">
        <f>T1.WELL("",E629,H629)</f>
        <v>#REF!</v>
      </c>
      <c r="G651" s="4" t="e">
        <f>T1.WELL("",E629,H629)</f>
        <v>#REF!</v>
      </c>
      <c r="H651" s="4" t="e">
        <f>T1.WELL("",E629,H629)</f>
        <v>#REF!</v>
      </c>
      <c r="I651" s="4" t="e">
        <f>T1.WELL("",E629,H629)</f>
        <v>#REF!</v>
      </c>
      <c r="J651" s="4" t="e">
        <f>T1.WELL("",E629,H629)</f>
        <v>#REF!</v>
      </c>
      <c r="K651" s="4" t="e">
        <f>T1.WELL("",E629,H629)</f>
        <v>#REF!</v>
      </c>
      <c r="L651" s="4" t="e">
        <f>T1.WELL("",E629,H629)</f>
        <v>#REF!</v>
      </c>
      <c r="M651" s="4" t="e">
        <f>T1.WELL("",E629,H629)</f>
        <v>#REF!</v>
      </c>
      <c r="N651" s="4" t="e">
        <f>T1.WELL("",E629,H629)</f>
        <v>#REF!</v>
      </c>
      <c r="O651" s="4" t="e">
        <f>T1.WELL("",E629,H629)</f>
        <v>#REF!</v>
      </c>
      <c r="P651" s="4" t="e">
        <f>T1.WELL("",E629,H629)</f>
        <v>#REF!</v>
      </c>
      <c r="Q651" s="4" t="e">
        <f>T1.WELL("",E629,H629)</f>
        <v>#REF!</v>
      </c>
      <c r="R651" s="4" t="e">
        <f>T1.WELL("",E629,H629)</f>
        <v>#REF!</v>
      </c>
      <c r="S651" s="4" t="e">
        <f>T1.WELL("",E629,H629)</f>
        <v>#REF!</v>
      </c>
      <c r="T651" s="4" t="e">
        <f>T1.WELL("",E629,H629)</f>
        <v>#REF!</v>
      </c>
      <c r="U651" s="4" t="e">
        <f>T1.WELL("",E629,H629)</f>
        <v>#REF!</v>
      </c>
      <c r="V651" s="4" t="e">
        <f>T1.WELL("",E629,H629)</f>
        <v>#REF!</v>
      </c>
      <c r="W651" s="4" t="e">
        <f>T1.WELL("",E629,H629)</f>
        <v>#REF!</v>
      </c>
      <c r="X651" s="4" t="e">
        <f>T1.WELL("",E629,H629)</f>
        <v>#REF!</v>
      </c>
      <c r="Y651" s="4" t="e">
        <f>T1.WELL("",E629,H629)</f>
        <v>#REF!</v>
      </c>
      <c r="Z651" s="4" t="e">
        <f>T1.WELL("",E629,H629)</f>
        <v>#REF!</v>
      </c>
      <c r="AA651" s="4" t="e">
        <f>T1.WELL("",E629,H629)</f>
        <v>#REF!</v>
      </c>
      <c r="AB651" s="4" t="e">
        <f>T1.WELL("",E629,H629)</f>
        <v>#REF!</v>
      </c>
      <c r="AC651" s="4" t="e">
        <f>T1.WELL("",E629,H629)</f>
        <v>#REF!</v>
      </c>
      <c r="AD651" s="4" t="e">
        <f>T1.WELL("",E629,H629)</f>
        <v>#REF!</v>
      </c>
      <c r="AE651" s="4" t="e">
        <f>T1.WELL("",E629,H629)</f>
        <v>#REF!</v>
      </c>
      <c r="AF651" s="4" t="e">
        <f>T1.WELL("",E629,H629)</f>
        <v>#REF!</v>
      </c>
      <c r="AG651" s="4" t="e">
        <f>T1.WELL("",E629,H629)</f>
        <v>#REF!</v>
      </c>
      <c r="AH651" s="4" t="e">
        <f>T1.WELL("",E629,H629)</f>
        <v>#REF!</v>
      </c>
      <c r="AI651" s="4" t="e">
        <f>T1.WELL("",E629,H629)</f>
        <v>#REF!</v>
      </c>
      <c r="AJ651" s="4" t="e">
        <f>T1.WELL("",E629,H629)</f>
        <v>#REF!</v>
      </c>
      <c r="AK651" s="4" t="e">
        <f>T1.WELL("",E629,H629)</f>
        <v>#REF!</v>
      </c>
      <c r="AL651" s="4" t="e">
        <f>T1.WELL("",E629,H629)</f>
        <v>#REF!</v>
      </c>
      <c r="AM651" s="4" t="e">
        <f>T1.WELL("",E629,H629)</f>
        <v>#REF!</v>
      </c>
      <c r="AN651" s="4" t="e">
        <f>T1.WELL("",E629,H629)</f>
        <v>#REF!</v>
      </c>
      <c r="AO651" s="4" t="e">
        <f>T1.WELL("",E629,H629)</f>
        <v>#REF!</v>
      </c>
      <c r="AP651" s="4" t="e">
        <f>T1.WELL("",E629,H629)</f>
        <v>#REF!</v>
      </c>
      <c r="AQ651" s="4" t="e">
        <f>T1.WELL("",E629,H629)</f>
        <v>#REF!</v>
      </c>
      <c r="AR651" s="4" t="e">
        <f>T1.WELL("",E629,H629)</f>
        <v>#REF!</v>
      </c>
      <c r="AS651" s="4" t="e">
        <f>T1.WELL("",E629,H629)</f>
        <v>#REF!</v>
      </c>
      <c r="AT651" s="4" t="e">
        <f>T1.WELL("",E629,H629)</f>
        <v>#REF!</v>
      </c>
      <c r="AU651" s="4" t="e">
        <f>T1.WELL("",E629,H629)</f>
        <v>#REF!</v>
      </c>
      <c r="AV651" s="4" t="e">
        <f>T1.WELL("",E629,H629)</f>
        <v>#REF!</v>
      </c>
      <c r="AW651" s="4" t="e">
        <f>T1.WELL("",E629,H629)</f>
        <v>#REF!</v>
      </c>
      <c r="AX651" s="4" t="e">
        <f>T1.WELL("",E629,H629)</f>
        <v>#REF!</v>
      </c>
      <c r="AY651" s="49"/>
      <c r="AZ651" s="49"/>
      <c r="BA651" s="49"/>
    </row>
    <row r="652" spans="2:53" ht="11.25" hidden="1" customHeight="1">
      <c r="B652" s="36" t="s">
        <v>1410</v>
      </c>
      <c r="C652" s="4" t="e">
        <f>T1.WELL("",E629,H629)</f>
        <v>#REF!</v>
      </c>
      <c r="D652" s="4" t="e">
        <f>T1.WELL("",E629,H629)</f>
        <v>#REF!</v>
      </c>
      <c r="E652" s="4" t="e">
        <f>T1.WELL("",E629,H629)</f>
        <v>#REF!</v>
      </c>
      <c r="F652" s="4" t="e">
        <f>T1.WELL("",E629,H629)</f>
        <v>#REF!</v>
      </c>
      <c r="G652" s="4" t="e">
        <f>T1.WELL("",E629,H629)</f>
        <v>#REF!</v>
      </c>
      <c r="H652" s="4" t="e">
        <f>T1.WELL("",E629,H629)</f>
        <v>#REF!</v>
      </c>
      <c r="I652" s="4" t="e">
        <f>T1.WELL("",E629,H629)</f>
        <v>#REF!</v>
      </c>
      <c r="J652" s="4" t="e">
        <f>T1.WELL("",E629,H629)</f>
        <v>#REF!</v>
      </c>
      <c r="K652" s="4" t="e">
        <f>T1.WELL("",E629,H629)</f>
        <v>#REF!</v>
      </c>
      <c r="L652" s="4" t="e">
        <f>T1.WELL("",E629,H629)</f>
        <v>#REF!</v>
      </c>
      <c r="M652" s="4" t="e">
        <f>T1.WELL("",E629,H629)</f>
        <v>#REF!</v>
      </c>
      <c r="N652" s="4" t="e">
        <f>T1.WELL("",E629,H629)</f>
        <v>#REF!</v>
      </c>
      <c r="O652" s="4" t="e">
        <f>T1.WELL("",E629,H629)</f>
        <v>#REF!</v>
      </c>
      <c r="P652" s="4" t="e">
        <f>T1.WELL("",E629,H629)</f>
        <v>#REF!</v>
      </c>
      <c r="Q652" s="4" t="e">
        <f>T1.WELL("",E629,H629)</f>
        <v>#REF!</v>
      </c>
      <c r="R652" s="4" t="e">
        <f>T1.WELL("",E629,H629)</f>
        <v>#REF!</v>
      </c>
      <c r="S652" s="4" t="e">
        <f>T1.WELL("",E629,H629)</f>
        <v>#REF!</v>
      </c>
      <c r="T652" s="4" t="e">
        <f>T1.WELL("",E629,H629)</f>
        <v>#REF!</v>
      </c>
      <c r="U652" s="4" t="e">
        <f>T1.WELL("",E629,H629)</f>
        <v>#REF!</v>
      </c>
      <c r="V652" s="4" t="e">
        <f>T1.WELL("",E629,H629)</f>
        <v>#REF!</v>
      </c>
      <c r="W652" s="4" t="e">
        <f>T1.WELL("",E629,H629)</f>
        <v>#REF!</v>
      </c>
      <c r="X652" s="4" t="e">
        <f>T1.WELL("",E629,H629)</f>
        <v>#REF!</v>
      </c>
      <c r="Y652" s="4" t="e">
        <f>T1.WELL("",E629,H629)</f>
        <v>#REF!</v>
      </c>
      <c r="Z652" s="4" t="e">
        <f>T1.WELL("",E629,H629)</f>
        <v>#REF!</v>
      </c>
      <c r="AA652" s="4" t="e">
        <f>T1.WELL("",E629,H629)</f>
        <v>#REF!</v>
      </c>
      <c r="AB652" s="4" t="e">
        <f>T1.WELL("",E629,H629)</f>
        <v>#REF!</v>
      </c>
      <c r="AC652" s="4" t="e">
        <f>T1.WELL("",E629,H629)</f>
        <v>#REF!</v>
      </c>
      <c r="AD652" s="4" t="e">
        <f>T1.WELL("",E629,H629)</f>
        <v>#REF!</v>
      </c>
      <c r="AE652" s="4" t="e">
        <f>T1.WELL("",E629,H629)</f>
        <v>#REF!</v>
      </c>
      <c r="AF652" s="4" t="e">
        <f>T1.WELL("",E629,H629)</f>
        <v>#REF!</v>
      </c>
      <c r="AG652" s="4" t="e">
        <f>T1.WELL("",E629,H629)</f>
        <v>#REF!</v>
      </c>
      <c r="AH652" s="4" t="e">
        <f>T1.WELL("",E629,H629)</f>
        <v>#REF!</v>
      </c>
      <c r="AI652" s="4" t="e">
        <f>T1.WELL("",E629,H629)</f>
        <v>#REF!</v>
      </c>
      <c r="AJ652" s="4" t="e">
        <f>T1.WELL("",E629,H629)</f>
        <v>#REF!</v>
      </c>
      <c r="AK652" s="4" t="e">
        <f>T1.WELL("",E629,H629)</f>
        <v>#REF!</v>
      </c>
      <c r="AL652" s="4" t="e">
        <f>T1.WELL("",E629,H629)</f>
        <v>#REF!</v>
      </c>
      <c r="AM652" s="4" t="e">
        <f>T1.WELL("",E629,H629)</f>
        <v>#REF!</v>
      </c>
      <c r="AN652" s="4" t="e">
        <f>T1.WELL("",E629,H629)</f>
        <v>#REF!</v>
      </c>
      <c r="AO652" s="4" t="e">
        <f>T1.WELL("",E629,H629)</f>
        <v>#REF!</v>
      </c>
      <c r="AP652" s="4" t="e">
        <f>T1.WELL("",E629,H629)</f>
        <v>#REF!</v>
      </c>
      <c r="AQ652" s="4" t="e">
        <f>T1.WELL("",E629,H629)</f>
        <v>#REF!</v>
      </c>
      <c r="AR652" s="4" t="e">
        <f>T1.WELL("",E629,H629)</f>
        <v>#REF!</v>
      </c>
      <c r="AS652" s="4" t="e">
        <f>T1.WELL("",E629,H629)</f>
        <v>#REF!</v>
      </c>
      <c r="AT652" s="4" t="e">
        <f>T1.WELL("",E629,H629)</f>
        <v>#REF!</v>
      </c>
      <c r="AU652" s="4" t="e">
        <f>T1.WELL("",E629,H629)</f>
        <v>#REF!</v>
      </c>
      <c r="AV652" s="4" t="e">
        <f>T1.WELL("",E629,H629)</f>
        <v>#REF!</v>
      </c>
      <c r="AW652" s="4" t="e">
        <f>T1.WELL("",E629,H629)</f>
        <v>#REF!</v>
      </c>
      <c r="AX652" s="4" t="e">
        <f>T1.WELL("",E629,H629)</f>
        <v>#REF!</v>
      </c>
      <c r="AY652" s="49"/>
      <c r="AZ652" s="49"/>
      <c r="BA652" s="49"/>
    </row>
    <row r="653" spans="2:53" ht="11.25" hidden="1" customHeight="1">
      <c r="B653" s="36" t="s">
        <v>1459</v>
      </c>
      <c r="C653" s="4" t="e">
        <f>T1.WELL("",E629,H629)</f>
        <v>#REF!</v>
      </c>
      <c r="D653" s="4" t="e">
        <f>T1.WELL("",E629,H629)</f>
        <v>#REF!</v>
      </c>
      <c r="E653" s="4" t="e">
        <f>T1.WELL("",E629,H629)</f>
        <v>#REF!</v>
      </c>
      <c r="F653" s="4" t="e">
        <f>T1.WELL("",E629,H629)</f>
        <v>#REF!</v>
      </c>
      <c r="G653" s="4" t="e">
        <f>T1.WELL("",E629,H629)</f>
        <v>#REF!</v>
      </c>
      <c r="H653" s="4" t="e">
        <f>T1.WELL("",E629,H629)</f>
        <v>#REF!</v>
      </c>
      <c r="I653" s="4" t="e">
        <f>T1.WELL("",E629,H629)</f>
        <v>#REF!</v>
      </c>
      <c r="J653" s="4" t="e">
        <f>T1.WELL("",E629,H629)</f>
        <v>#REF!</v>
      </c>
      <c r="K653" s="4" t="e">
        <f>T1.WELL("",E629,H629)</f>
        <v>#REF!</v>
      </c>
      <c r="L653" s="4" t="e">
        <f>T1.WELL("",E629,H629)</f>
        <v>#REF!</v>
      </c>
      <c r="M653" s="4" t="e">
        <f>T1.WELL("",E629,H629)</f>
        <v>#REF!</v>
      </c>
      <c r="N653" s="4" t="e">
        <f>T1.WELL("",E629,H629)</f>
        <v>#REF!</v>
      </c>
      <c r="O653" s="4" t="e">
        <f>T1.WELL("",E629,H629)</f>
        <v>#REF!</v>
      </c>
      <c r="P653" s="4" t="e">
        <f>T1.WELL("",E629,H629)</f>
        <v>#REF!</v>
      </c>
      <c r="Q653" s="4" t="e">
        <f>T1.WELL("",E629,H629)</f>
        <v>#REF!</v>
      </c>
      <c r="R653" s="4" t="e">
        <f>T1.WELL("",E629,H629)</f>
        <v>#REF!</v>
      </c>
      <c r="S653" s="4" t="e">
        <f>T1.WELL("",E629,H629)</f>
        <v>#REF!</v>
      </c>
      <c r="T653" s="4" t="e">
        <f>T1.WELL("",E629,H629)</f>
        <v>#REF!</v>
      </c>
      <c r="U653" s="4" t="e">
        <f>T1.WELL("",E629,H629)</f>
        <v>#REF!</v>
      </c>
      <c r="V653" s="4" t="e">
        <f>T1.WELL("",E629,H629)</f>
        <v>#REF!</v>
      </c>
      <c r="W653" s="4" t="e">
        <f>T1.WELL("",E629,H629)</f>
        <v>#REF!</v>
      </c>
      <c r="X653" s="4" t="e">
        <f>T1.WELL("",E629,H629)</f>
        <v>#REF!</v>
      </c>
      <c r="Y653" s="4" t="e">
        <f>T1.WELL("",E629,H629)</f>
        <v>#REF!</v>
      </c>
      <c r="Z653" s="4" t="e">
        <f>T1.WELL("",E629,H629)</f>
        <v>#REF!</v>
      </c>
      <c r="AA653" s="4" t="e">
        <f>T1.WELL("",E629,H629)</f>
        <v>#REF!</v>
      </c>
      <c r="AB653" s="4" t="e">
        <f>T1.WELL("",E629,H629)</f>
        <v>#REF!</v>
      </c>
      <c r="AC653" s="4" t="e">
        <f>T1.WELL("",E629,H629)</f>
        <v>#REF!</v>
      </c>
      <c r="AD653" s="4" t="e">
        <f>T1.WELL("",E629,H629)</f>
        <v>#REF!</v>
      </c>
      <c r="AE653" s="4" t="e">
        <f>T1.WELL("",E629,H629)</f>
        <v>#REF!</v>
      </c>
      <c r="AF653" s="4" t="e">
        <f>T1.WELL("",E629,H629)</f>
        <v>#REF!</v>
      </c>
      <c r="AG653" s="4" t="e">
        <f>T1.WELL("",E629,H629)</f>
        <v>#REF!</v>
      </c>
      <c r="AH653" s="4" t="e">
        <f>T1.WELL("",E629,H629)</f>
        <v>#REF!</v>
      </c>
      <c r="AI653" s="4" t="e">
        <f>T1.WELL("",E629,H629)</f>
        <v>#REF!</v>
      </c>
      <c r="AJ653" s="4" t="e">
        <f>T1.WELL("",E629,H629)</f>
        <v>#REF!</v>
      </c>
      <c r="AK653" s="4" t="e">
        <f>T1.WELL("",E629,H629)</f>
        <v>#REF!</v>
      </c>
      <c r="AL653" s="4" t="e">
        <f>T1.WELL("",E629,H629)</f>
        <v>#REF!</v>
      </c>
      <c r="AM653" s="4" t="e">
        <f>T1.WELL("",E629,H629)</f>
        <v>#REF!</v>
      </c>
      <c r="AN653" s="4" t="e">
        <f>T1.WELL("",E629,H629)</f>
        <v>#REF!</v>
      </c>
      <c r="AO653" s="4" t="e">
        <f>T1.WELL("",E629,H629)</f>
        <v>#REF!</v>
      </c>
      <c r="AP653" s="4" t="e">
        <f>T1.WELL("",E629,H629)</f>
        <v>#REF!</v>
      </c>
      <c r="AQ653" s="4" t="e">
        <f>T1.WELL("",E629,H629)</f>
        <v>#REF!</v>
      </c>
      <c r="AR653" s="4" t="e">
        <f>T1.WELL("",E629,H629)</f>
        <v>#REF!</v>
      </c>
      <c r="AS653" s="4" t="e">
        <f>T1.WELL("",E629,H629)</f>
        <v>#REF!</v>
      </c>
      <c r="AT653" s="4" t="e">
        <f>T1.WELL("",E629,H629)</f>
        <v>#REF!</v>
      </c>
      <c r="AU653" s="4" t="e">
        <f>T1.WELL("",E629,H629)</f>
        <v>#REF!</v>
      </c>
      <c r="AV653" s="4" t="e">
        <f>T1.WELL("",E629,H629)</f>
        <v>#REF!</v>
      </c>
      <c r="AW653" s="4" t="e">
        <f>T1.WELL("",E629,H629)</f>
        <v>#REF!</v>
      </c>
      <c r="AX653" s="4" t="e">
        <f>T1.WELL("",E629,H629)</f>
        <v>#REF!</v>
      </c>
      <c r="AY653" s="49"/>
      <c r="AZ653" s="49"/>
      <c r="BA653" s="49"/>
    </row>
    <row r="654" spans="2:53" ht="11.25" hidden="1" customHeight="1">
      <c r="B654" s="36" t="s">
        <v>1508</v>
      </c>
      <c r="C654" s="4" t="e">
        <f>T1.WELL("",E629,H629)</f>
        <v>#REF!</v>
      </c>
      <c r="D654" s="4" t="e">
        <f>T1.WELL("",E629,H629)</f>
        <v>#REF!</v>
      </c>
      <c r="E654" s="4" t="e">
        <f>T1.WELL("",E629,H629)</f>
        <v>#REF!</v>
      </c>
      <c r="F654" s="4" t="e">
        <f>T1.WELL("",E629,H629)</f>
        <v>#REF!</v>
      </c>
      <c r="G654" s="4" t="e">
        <f>T1.WELL("",E629,H629)</f>
        <v>#REF!</v>
      </c>
      <c r="H654" s="4" t="e">
        <f>T1.WELL("",E629,H629)</f>
        <v>#REF!</v>
      </c>
      <c r="I654" s="4" t="e">
        <f>T1.WELL("",E629,H629)</f>
        <v>#REF!</v>
      </c>
      <c r="J654" s="4" t="e">
        <f>T1.WELL("",E629,H629)</f>
        <v>#REF!</v>
      </c>
      <c r="K654" s="4" t="e">
        <f>T1.WELL("",E629,H629)</f>
        <v>#REF!</v>
      </c>
      <c r="L654" s="4" t="e">
        <f>T1.WELL("",E629,H629)</f>
        <v>#REF!</v>
      </c>
      <c r="M654" s="4" t="e">
        <f>T1.WELL("",E629,H629)</f>
        <v>#REF!</v>
      </c>
      <c r="N654" s="4" t="e">
        <f>T1.WELL("",E629,H629)</f>
        <v>#REF!</v>
      </c>
      <c r="O654" s="4" t="e">
        <f>T1.WELL("",E629,H629)</f>
        <v>#REF!</v>
      </c>
      <c r="P654" s="4" t="e">
        <f>T1.WELL("",E629,H629)</f>
        <v>#REF!</v>
      </c>
      <c r="Q654" s="4" t="e">
        <f>T1.WELL("",E629,H629)</f>
        <v>#REF!</v>
      </c>
      <c r="R654" s="4" t="e">
        <f>T1.WELL("",E629,H629)</f>
        <v>#REF!</v>
      </c>
      <c r="S654" s="4" t="e">
        <f>T1.WELL("",E629,H629)</f>
        <v>#REF!</v>
      </c>
      <c r="T654" s="4" t="e">
        <f>T1.WELL("",E629,H629)</f>
        <v>#REF!</v>
      </c>
      <c r="U654" s="4" t="e">
        <f>T1.WELL("",E629,H629)</f>
        <v>#REF!</v>
      </c>
      <c r="V654" s="4" t="e">
        <f>T1.WELL("",E629,H629)</f>
        <v>#REF!</v>
      </c>
      <c r="W654" s="4" t="e">
        <f>T1.WELL("",E629,H629)</f>
        <v>#REF!</v>
      </c>
      <c r="X654" s="4" t="e">
        <f>T1.WELL("",E629,H629)</f>
        <v>#REF!</v>
      </c>
      <c r="Y654" s="4" t="e">
        <f>T1.WELL("",E629,H629)</f>
        <v>#REF!</v>
      </c>
      <c r="Z654" s="4" t="e">
        <f>T1.WELL("",E629,H629)</f>
        <v>#REF!</v>
      </c>
      <c r="AA654" s="4" t="e">
        <f>T1.WELL("",E629,H629)</f>
        <v>#REF!</v>
      </c>
      <c r="AB654" s="4" t="e">
        <f>T1.WELL("",E629,H629)</f>
        <v>#REF!</v>
      </c>
      <c r="AC654" s="4" t="e">
        <f>T1.WELL("",E629,H629)</f>
        <v>#REF!</v>
      </c>
      <c r="AD654" s="4" t="e">
        <f>T1.WELL("",E629,H629)</f>
        <v>#REF!</v>
      </c>
      <c r="AE654" s="4" t="e">
        <f>T1.WELL("",E629,H629)</f>
        <v>#REF!</v>
      </c>
      <c r="AF654" s="4" t="e">
        <f>T1.WELL("",E629,H629)</f>
        <v>#REF!</v>
      </c>
      <c r="AG654" s="4" t="e">
        <f>T1.WELL("",E629,H629)</f>
        <v>#REF!</v>
      </c>
      <c r="AH654" s="4" t="e">
        <f>T1.WELL("",E629,H629)</f>
        <v>#REF!</v>
      </c>
      <c r="AI654" s="4" t="e">
        <f>T1.WELL("",E629,H629)</f>
        <v>#REF!</v>
      </c>
      <c r="AJ654" s="4" t="e">
        <f>T1.WELL("",E629,H629)</f>
        <v>#REF!</v>
      </c>
      <c r="AK654" s="4" t="e">
        <f>T1.WELL("",E629,H629)</f>
        <v>#REF!</v>
      </c>
      <c r="AL654" s="4" t="e">
        <f>T1.WELL("",E629,H629)</f>
        <v>#REF!</v>
      </c>
      <c r="AM654" s="4" t="e">
        <f>T1.WELL("",E629,H629)</f>
        <v>#REF!</v>
      </c>
      <c r="AN654" s="4" t="e">
        <f>T1.WELL("",E629,H629)</f>
        <v>#REF!</v>
      </c>
      <c r="AO654" s="4" t="e">
        <f>T1.WELL("",E629,H629)</f>
        <v>#REF!</v>
      </c>
      <c r="AP654" s="4" t="e">
        <f>T1.WELL("",E629,H629)</f>
        <v>#REF!</v>
      </c>
      <c r="AQ654" s="4" t="e">
        <f>T1.WELL("",E629,H629)</f>
        <v>#REF!</v>
      </c>
      <c r="AR654" s="4" t="e">
        <f>T1.WELL("",E629,H629)</f>
        <v>#REF!</v>
      </c>
      <c r="AS654" s="4" t="e">
        <f>T1.WELL("",E629,H629)</f>
        <v>#REF!</v>
      </c>
      <c r="AT654" s="4" t="e">
        <f>T1.WELL("",E629,H629)</f>
        <v>#REF!</v>
      </c>
      <c r="AU654" s="4" t="e">
        <f>T1.WELL("",E629,H629)</f>
        <v>#REF!</v>
      </c>
      <c r="AV654" s="4" t="e">
        <f>T1.WELL("",E629,H629)</f>
        <v>#REF!</v>
      </c>
      <c r="AW654" s="4" t="e">
        <f>T1.WELL("",E629,H629)</f>
        <v>#REF!</v>
      </c>
      <c r="AX654" s="4" t="e">
        <f>T1.WELL("",E629,H629)</f>
        <v>#REF!</v>
      </c>
      <c r="AY654" s="49"/>
      <c r="AZ654" s="49"/>
      <c r="BA654" s="49"/>
    </row>
    <row r="655" spans="2:53" ht="11.25" hidden="1" customHeight="1">
      <c r="B655" s="36" t="s">
        <v>1557</v>
      </c>
      <c r="C655" s="4" t="e">
        <f>T1.WELL("",E629,H629)</f>
        <v>#REF!</v>
      </c>
      <c r="D655" s="4" t="e">
        <f>T1.WELL("",E629,H629)</f>
        <v>#REF!</v>
      </c>
      <c r="E655" s="4" t="e">
        <f>T1.WELL("",E629,H629)</f>
        <v>#REF!</v>
      </c>
      <c r="F655" s="4" t="e">
        <f>T1.WELL("",E629,H629)</f>
        <v>#REF!</v>
      </c>
      <c r="G655" s="4" t="e">
        <f>T1.WELL("",E629,H629)</f>
        <v>#REF!</v>
      </c>
      <c r="H655" s="4" t="e">
        <f>T1.WELL("",E629,H629)</f>
        <v>#REF!</v>
      </c>
      <c r="I655" s="4" t="e">
        <f>T1.WELL("",E629,H629)</f>
        <v>#REF!</v>
      </c>
      <c r="J655" s="4" t="e">
        <f>T1.WELL("",E629,H629)</f>
        <v>#REF!</v>
      </c>
      <c r="K655" s="4" t="e">
        <f>T1.WELL("",E629,H629)</f>
        <v>#REF!</v>
      </c>
      <c r="L655" s="4" t="e">
        <f>T1.WELL("",E629,H629)</f>
        <v>#REF!</v>
      </c>
      <c r="M655" s="4" t="e">
        <f>T1.WELL("",E629,H629)</f>
        <v>#REF!</v>
      </c>
      <c r="N655" s="4" t="e">
        <f>T1.WELL("",E629,H629)</f>
        <v>#REF!</v>
      </c>
      <c r="O655" s="4" t="e">
        <f>T1.WELL("",E629,H629)</f>
        <v>#REF!</v>
      </c>
      <c r="P655" s="4" t="e">
        <f>T1.WELL("",E629,H629)</f>
        <v>#REF!</v>
      </c>
      <c r="Q655" s="4" t="e">
        <f>T1.WELL("",E629,H629)</f>
        <v>#REF!</v>
      </c>
      <c r="R655" s="4" t="e">
        <f>T1.WELL("",E629,H629)</f>
        <v>#REF!</v>
      </c>
      <c r="S655" s="4" t="e">
        <f>T1.WELL("",E629,H629)</f>
        <v>#REF!</v>
      </c>
      <c r="T655" s="4" t="e">
        <f>T1.WELL("",E629,H629)</f>
        <v>#REF!</v>
      </c>
      <c r="U655" s="4" t="e">
        <f>T1.WELL("",E629,H629)</f>
        <v>#REF!</v>
      </c>
      <c r="V655" s="4" t="e">
        <f>T1.WELL("",E629,H629)</f>
        <v>#REF!</v>
      </c>
      <c r="W655" s="4" t="e">
        <f>T1.WELL("",E629,H629)</f>
        <v>#REF!</v>
      </c>
      <c r="X655" s="4" t="e">
        <f>T1.WELL("",E629,H629)</f>
        <v>#REF!</v>
      </c>
      <c r="Y655" s="4" t="e">
        <f>T1.WELL("",E629,H629)</f>
        <v>#REF!</v>
      </c>
      <c r="Z655" s="4" t="e">
        <f>T1.WELL("",E629,H629)</f>
        <v>#REF!</v>
      </c>
      <c r="AA655" s="4" t="e">
        <f>T1.WELL("",E629,H629)</f>
        <v>#REF!</v>
      </c>
      <c r="AB655" s="4" t="e">
        <f>T1.WELL("",E629,H629)</f>
        <v>#REF!</v>
      </c>
      <c r="AC655" s="4" t="e">
        <f>T1.WELL("",E629,H629)</f>
        <v>#REF!</v>
      </c>
      <c r="AD655" s="4" t="e">
        <f>T1.WELL("",E629,H629)</f>
        <v>#REF!</v>
      </c>
      <c r="AE655" s="4" t="e">
        <f>T1.WELL("",E629,H629)</f>
        <v>#REF!</v>
      </c>
      <c r="AF655" s="4" t="e">
        <f>T1.WELL("",E629,H629)</f>
        <v>#REF!</v>
      </c>
      <c r="AG655" s="4" t="e">
        <f>T1.WELL("",E629,H629)</f>
        <v>#REF!</v>
      </c>
      <c r="AH655" s="4" t="e">
        <f>T1.WELL("",E629,H629)</f>
        <v>#REF!</v>
      </c>
      <c r="AI655" s="4" t="e">
        <f>T1.WELL("",E629,H629)</f>
        <v>#REF!</v>
      </c>
      <c r="AJ655" s="4" t="e">
        <f>T1.WELL("",E629,H629)</f>
        <v>#REF!</v>
      </c>
      <c r="AK655" s="4" t="e">
        <f>T1.WELL("",E629,H629)</f>
        <v>#REF!</v>
      </c>
      <c r="AL655" s="4" t="e">
        <f>T1.WELL("",E629,H629)</f>
        <v>#REF!</v>
      </c>
      <c r="AM655" s="4" t="e">
        <f>T1.WELL("",E629,H629)</f>
        <v>#REF!</v>
      </c>
      <c r="AN655" s="4" t="e">
        <f>T1.WELL("",E629,H629)</f>
        <v>#REF!</v>
      </c>
      <c r="AO655" s="4" t="e">
        <f>T1.WELL("",E629,H629)</f>
        <v>#REF!</v>
      </c>
      <c r="AP655" s="4" t="e">
        <f>T1.WELL("",E629,H629)</f>
        <v>#REF!</v>
      </c>
      <c r="AQ655" s="4" t="e">
        <f>T1.WELL("",E629,H629)</f>
        <v>#REF!</v>
      </c>
      <c r="AR655" s="4" t="e">
        <f>T1.WELL("",E629,H629)</f>
        <v>#REF!</v>
      </c>
      <c r="AS655" s="4" t="e">
        <f>T1.WELL("",E629,H629)</f>
        <v>#REF!</v>
      </c>
      <c r="AT655" s="4" t="e">
        <f>T1.WELL("",E629,H629)</f>
        <v>#REF!</v>
      </c>
      <c r="AU655" s="4" t="e">
        <f>T1.WELL("",E629,H629)</f>
        <v>#REF!</v>
      </c>
      <c r="AV655" s="4" t="e">
        <f>T1.WELL("",E629,H629)</f>
        <v>#REF!</v>
      </c>
      <c r="AW655" s="4" t="e">
        <f>T1.WELL("",E629,H629)</f>
        <v>#REF!</v>
      </c>
      <c r="AX655" s="4" t="e">
        <f>T1.WELL("",E629,H629)</f>
        <v>#REF!</v>
      </c>
      <c r="AY655" s="49"/>
      <c r="AZ655" s="49"/>
      <c r="BA655" s="49"/>
    </row>
    <row r="656" spans="2:53" ht="11.25" hidden="1" customHeight="1">
      <c r="B656" s="36" t="s">
        <v>1606</v>
      </c>
      <c r="C656" s="4" t="e">
        <f>T1.WELL("",E629,H629)</f>
        <v>#REF!</v>
      </c>
      <c r="D656" s="4" t="e">
        <f>T1.WELL("",E629,H629)</f>
        <v>#REF!</v>
      </c>
      <c r="E656" s="4" t="e">
        <f>T1.WELL("",E629,H629)</f>
        <v>#REF!</v>
      </c>
      <c r="F656" s="4" t="e">
        <f>T1.WELL("",E629,H629)</f>
        <v>#REF!</v>
      </c>
      <c r="G656" s="4" t="e">
        <f>T1.WELL("",E629,H629)</f>
        <v>#REF!</v>
      </c>
      <c r="H656" s="4" t="e">
        <f>T1.WELL("",E629,H629)</f>
        <v>#REF!</v>
      </c>
      <c r="I656" s="4" t="e">
        <f>T1.WELL("",E629,H629)</f>
        <v>#REF!</v>
      </c>
      <c r="J656" s="4" t="e">
        <f>T1.WELL("",E629,H629)</f>
        <v>#REF!</v>
      </c>
      <c r="K656" s="4" t="e">
        <f>T1.WELL("",E629,H629)</f>
        <v>#REF!</v>
      </c>
      <c r="L656" s="4" t="e">
        <f>T1.WELL("",E629,H629)</f>
        <v>#REF!</v>
      </c>
      <c r="M656" s="4" t="e">
        <f>T1.WELL("",E629,H629)</f>
        <v>#REF!</v>
      </c>
      <c r="N656" s="4" t="e">
        <f>T1.WELL("",E629,H629)</f>
        <v>#REF!</v>
      </c>
      <c r="O656" s="4" t="e">
        <f>T1.WELL("",E629,H629)</f>
        <v>#REF!</v>
      </c>
      <c r="P656" s="4" t="e">
        <f>T1.WELL("",E629,H629)</f>
        <v>#REF!</v>
      </c>
      <c r="Q656" s="4" t="e">
        <f>T1.WELL("",E629,H629)</f>
        <v>#REF!</v>
      </c>
      <c r="R656" s="4" t="e">
        <f>T1.WELL("",E629,H629)</f>
        <v>#REF!</v>
      </c>
      <c r="S656" s="4" t="e">
        <f>T1.WELL("",E629,H629)</f>
        <v>#REF!</v>
      </c>
      <c r="T656" s="4" t="e">
        <f>T1.WELL("",E629,H629)</f>
        <v>#REF!</v>
      </c>
      <c r="U656" s="4" t="e">
        <f>T1.WELL("",E629,H629)</f>
        <v>#REF!</v>
      </c>
      <c r="V656" s="4" t="e">
        <f>T1.WELL("",E629,H629)</f>
        <v>#REF!</v>
      </c>
      <c r="W656" s="4" t="e">
        <f>T1.WELL("",E629,H629)</f>
        <v>#REF!</v>
      </c>
      <c r="X656" s="4" t="e">
        <f>T1.WELL("",E629,H629)</f>
        <v>#REF!</v>
      </c>
      <c r="Y656" s="4" t="e">
        <f>T1.WELL("",E629,H629)</f>
        <v>#REF!</v>
      </c>
      <c r="Z656" s="4" t="e">
        <f>T1.WELL("",E629,H629)</f>
        <v>#REF!</v>
      </c>
      <c r="AA656" s="4" t="e">
        <f>T1.WELL("",E629,H629)</f>
        <v>#REF!</v>
      </c>
      <c r="AB656" s="4" t="e">
        <f>T1.WELL("",E629,H629)</f>
        <v>#REF!</v>
      </c>
      <c r="AC656" s="4" t="e">
        <f>T1.WELL("",E629,H629)</f>
        <v>#REF!</v>
      </c>
      <c r="AD656" s="4" t="e">
        <f>T1.WELL("",E629,H629)</f>
        <v>#REF!</v>
      </c>
      <c r="AE656" s="4" t="e">
        <f>T1.WELL("",E629,H629)</f>
        <v>#REF!</v>
      </c>
      <c r="AF656" s="4" t="e">
        <f>T1.WELL("",E629,H629)</f>
        <v>#REF!</v>
      </c>
      <c r="AG656" s="4" t="e">
        <f>T1.WELL("",E629,H629)</f>
        <v>#REF!</v>
      </c>
      <c r="AH656" s="4" t="e">
        <f>T1.WELL("",E629,H629)</f>
        <v>#REF!</v>
      </c>
      <c r="AI656" s="4" t="e">
        <f>T1.WELL("",E629,H629)</f>
        <v>#REF!</v>
      </c>
      <c r="AJ656" s="4" t="e">
        <f>T1.WELL("",E629,H629)</f>
        <v>#REF!</v>
      </c>
      <c r="AK656" s="4" t="e">
        <f>T1.WELL("",E629,H629)</f>
        <v>#REF!</v>
      </c>
      <c r="AL656" s="4" t="e">
        <f>T1.WELL("",E629,H629)</f>
        <v>#REF!</v>
      </c>
      <c r="AM656" s="4" t="e">
        <f>T1.WELL("",E629,H629)</f>
        <v>#REF!</v>
      </c>
      <c r="AN656" s="4" t="e">
        <f>T1.WELL("",E629,H629)</f>
        <v>#REF!</v>
      </c>
      <c r="AO656" s="4" t="e">
        <f>T1.WELL("",E629,H629)</f>
        <v>#REF!</v>
      </c>
      <c r="AP656" s="4" t="e">
        <f>T1.WELL("",E629,H629)</f>
        <v>#REF!</v>
      </c>
      <c r="AQ656" s="4" t="e">
        <f>T1.WELL("",E629,H629)</f>
        <v>#REF!</v>
      </c>
      <c r="AR656" s="4" t="e">
        <f>T1.WELL("",E629,H629)</f>
        <v>#REF!</v>
      </c>
      <c r="AS656" s="4" t="e">
        <f>T1.WELL("",E629,H629)</f>
        <v>#REF!</v>
      </c>
      <c r="AT656" s="4" t="e">
        <f>T1.WELL("",E629,H629)</f>
        <v>#REF!</v>
      </c>
      <c r="AU656" s="4" t="e">
        <f>T1.WELL("",E629,H629)</f>
        <v>#REF!</v>
      </c>
      <c r="AV656" s="4" t="e">
        <f>T1.WELL("",E629,H629)</f>
        <v>#REF!</v>
      </c>
      <c r="AW656" s="4" t="e">
        <f>T1.WELL("",E629,H629)</f>
        <v>#REF!</v>
      </c>
      <c r="AX656" s="4" t="e">
        <f>T1.WELL("",E629,H629)</f>
        <v>#REF!</v>
      </c>
      <c r="AY656" s="49"/>
      <c r="AZ656" s="49"/>
      <c r="BA656" s="49"/>
    </row>
    <row r="657" spans="1:53" ht="11.25" hidden="1" customHeight="1">
      <c r="B657" s="36" t="s">
        <v>1655</v>
      </c>
      <c r="C657" s="4" t="e">
        <f>T1.WELL("",E629,H629)</f>
        <v>#REF!</v>
      </c>
      <c r="D657" s="4" t="e">
        <f>T1.WELL("",E629,H629)</f>
        <v>#REF!</v>
      </c>
      <c r="E657" s="4" t="e">
        <f>T1.WELL("",E629,H629)</f>
        <v>#REF!</v>
      </c>
      <c r="F657" s="4" t="e">
        <f>T1.WELL("",E629,H629)</f>
        <v>#REF!</v>
      </c>
      <c r="G657" s="4" t="e">
        <f>T1.WELL("",E629,H629)</f>
        <v>#REF!</v>
      </c>
      <c r="H657" s="4" t="e">
        <f>T1.WELL("",E629,H629)</f>
        <v>#REF!</v>
      </c>
      <c r="I657" s="4" t="e">
        <f>T1.WELL("",E629,H629)</f>
        <v>#REF!</v>
      </c>
      <c r="J657" s="4" t="e">
        <f>T1.WELL("",E629,H629)</f>
        <v>#REF!</v>
      </c>
      <c r="K657" s="4" t="e">
        <f>T1.WELL("",E629,H629)</f>
        <v>#REF!</v>
      </c>
      <c r="L657" s="4" t="e">
        <f>T1.WELL("",E629,H629)</f>
        <v>#REF!</v>
      </c>
      <c r="M657" s="4" t="e">
        <f>T1.WELL("",E629,H629)</f>
        <v>#REF!</v>
      </c>
      <c r="N657" s="4" t="e">
        <f>T1.WELL("",E629,H629)</f>
        <v>#REF!</v>
      </c>
      <c r="O657" s="4" t="e">
        <f>T1.WELL("",E629,H629)</f>
        <v>#REF!</v>
      </c>
      <c r="P657" s="4" t="e">
        <f>T1.WELL("",E629,H629)</f>
        <v>#REF!</v>
      </c>
      <c r="Q657" s="4" t="e">
        <f>T1.WELL("",E629,H629)</f>
        <v>#REF!</v>
      </c>
      <c r="R657" s="4" t="e">
        <f>T1.WELL("",E629,H629)</f>
        <v>#REF!</v>
      </c>
      <c r="S657" s="4" t="e">
        <f>T1.WELL("",E629,H629)</f>
        <v>#REF!</v>
      </c>
      <c r="T657" s="4" t="e">
        <f>T1.WELL("",E629,H629)</f>
        <v>#REF!</v>
      </c>
      <c r="U657" s="4" t="e">
        <f>T1.WELL("",E629,H629)</f>
        <v>#REF!</v>
      </c>
      <c r="V657" s="4" t="e">
        <f>T1.WELL("",E629,H629)</f>
        <v>#REF!</v>
      </c>
      <c r="W657" s="4" t="e">
        <f>T1.WELL("",E629,H629)</f>
        <v>#REF!</v>
      </c>
      <c r="X657" s="4" t="e">
        <f>T1.WELL("",E629,H629)</f>
        <v>#REF!</v>
      </c>
      <c r="Y657" s="4" t="e">
        <f>T1.WELL("",E629,H629)</f>
        <v>#REF!</v>
      </c>
      <c r="Z657" s="4" t="e">
        <f>T1.WELL("",E629,H629)</f>
        <v>#REF!</v>
      </c>
      <c r="AA657" s="4" t="e">
        <f>T1.WELL("",E629,H629)</f>
        <v>#REF!</v>
      </c>
      <c r="AB657" s="4" t="e">
        <f>T1.WELL("",E629,H629)</f>
        <v>#REF!</v>
      </c>
      <c r="AC657" s="4" t="e">
        <f>T1.WELL("",E629,H629)</f>
        <v>#REF!</v>
      </c>
      <c r="AD657" s="4" t="e">
        <f>T1.WELL("",E629,H629)</f>
        <v>#REF!</v>
      </c>
      <c r="AE657" s="4" t="e">
        <f>T1.WELL("",E629,H629)</f>
        <v>#REF!</v>
      </c>
      <c r="AF657" s="4" t="e">
        <f>T1.WELL("",E629,H629)</f>
        <v>#REF!</v>
      </c>
      <c r="AG657" s="4" t="e">
        <f>T1.WELL("",E629,H629)</f>
        <v>#REF!</v>
      </c>
      <c r="AH657" s="4" t="e">
        <f>T1.WELL("",E629,H629)</f>
        <v>#REF!</v>
      </c>
      <c r="AI657" s="4" t="e">
        <f>T1.WELL("",E629,H629)</f>
        <v>#REF!</v>
      </c>
      <c r="AJ657" s="4" t="e">
        <f>T1.WELL("",E629,H629)</f>
        <v>#REF!</v>
      </c>
      <c r="AK657" s="4" t="e">
        <f>T1.WELL("",E629,H629)</f>
        <v>#REF!</v>
      </c>
      <c r="AL657" s="4" t="e">
        <f>T1.WELL("",E629,H629)</f>
        <v>#REF!</v>
      </c>
      <c r="AM657" s="4" t="e">
        <f>T1.WELL("",E629,H629)</f>
        <v>#REF!</v>
      </c>
      <c r="AN657" s="4" t="e">
        <f>T1.WELL("",E629,H629)</f>
        <v>#REF!</v>
      </c>
      <c r="AO657" s="4" t="e">
        <f>T1.WELL("",E629,H629)</f>
        <v>#REF!</v>
      </c>
      <c r="AP657" s="4" t="e">
        <f>T1.WELL("",E629,H629)</f>
        <v>#REF!</v>
      </c>
      <c r="AQ657" s="4" t="e">
        <f>T1.WELL("",E629,H629)</f>
        <v>#REF!</v>
      </c>
      <c r="AR657" s="4" t="e">
        <f>T1.WELL("",E629,H629)</f>
        <v>#REF!</v>
      </c>
      <c r="AS657" s="4" t="e">
        <f>T1.WELL("",E629,H629)</f>
        <v>#REF!</v>
      </c>
      <c r="AT657" s="4" t="e">
        <f>T1.WELL("",E629,H629)</f>
        <v>#REF!</v>
      </c>
      <c r="AU657" s="4" t="e">
        <f>T1.WELL("",E629,H629)</f>
        <v>#REF!</v>
      </c>
      <c r="AV657" s="4" t="e">
        <f>T1.WELL("",E629,H629)</f>
        <v>#REF!</v>
      </c>
      <c r="AW657" s="4" t="e">
        <f>T1.WELL("",E629,H629)</f>
        <v>#REF!</v>
      </c>
      <c r="AX657" s="4" t="e">
        <f>T1.WELL("",E629,H629)</f>
        <v>#REF!</v>
      </c>
      <c r="AY657" s="49"/>
      <c r="AZ657" s="49"/>
      <c r="BA657" s="49"/>
    </row>
    <row r="658" spans="1:53" ht="11.25" hidden="1" customHeight="1">
      <c r="B658" s="36" t="s">
        <v>1704</v>
      </c>
      <c r="C658" s="4" t="e">
        <f>T1.WELL("",E629,H629)</f>
        <v>#REF!</v>
      </c>
      <c r="D658" s="4" t="e">
        <f>T1.WELL("",E629,H629)</f>
        <v>#REF!</v>
      </c>
      <c r="E658" s="4" t="e">
        <f>T1.WELL("",E629,H629)</f>
        <v>#REF!</v>
      </c>
      <c r="F658" s="4" t="e">
        <f>T1.WELL("",E629,H629)</f>
        <v>#REF!</v>
      </c>
      <c r="G658" s="4" t="e">
        <f>T1.WELL("",E629,H629)</f>
        <v>#REF!</v>
      </c>
      <c r="H658" s="4" t="e">
        <f>T1.WELL("",E629,H629)</f>
        <v>#REF!</v>
      </c>
      <c r="I658" s="4" t="e">
        <f>T1.WELL("",E629,H629)</f>
        <v>#REF!</v>
      </c>
      <c r="J658" s="4" t="e">
        <f>T1.WELL("",E629,H629)</f>
        <v>#REF!</v>
      </c>
      <c r="K658" s="4" t="e">
        <f>T1.WELL("",E629,H629)</f>
        <v>#REF!</v>
      </c>
      <c r="L658" s="4" t="e">
        <f>T1.WELL("",E629,H629)</f>
        <v>#REF!</v>
      </c>
      <c r="M658" s="4" t="e">
        <f>T1.WELL("",E629,H629)</f>
        <v>#REF!</v>
      </c>
      <c r="N658" s="4" t="e">
        <f>T1.WELL("",E629,H629)</f>
        <v>#REF!</v>
      </c>
      <c r="O658" s="4" t="e">
        <f>T1.WELL("",E629,H629)</f>
        <v>#REF!</v>
      </c>
      <c r="P658" s="4" t="e">
        <f>T1.WELL("",E629,H629)</f>
        <v>#REF!</v>
      </c>
      <c r="Q658" s="4" t="e">
        <f>T1.WELL("",E629,H629)</f>
        <v>#REF!</v>
      </c>
      <c r="R658" s="4" t="e">
        <f>T1.WELL("",E629,H629)</f>
        <v>#REF!</v>
      </c>
      <c r="S658" s="4" t="e">
        <f>T1.WELL("",E629,H629)</f>
        <v>#REF!</v>
      </c>
      <c r="T658" s="4" t="e">
        <f>T1.WELL("",E629,H629)</f>
        <v>#REF!</v>
      </c>
      <c r="U658" s="4" t="e">
        <f>T1.WELL("",E629,H629)</f>
        <v>#REF!</v>
      </c>
      <c r="V658" s="4" t="e">
        <f>T1.WELL("",E629,H629)</f>
        <v>#REF!</v>
      </c>
      <c r="W658" s="4" t="e">
        <f>T1.WELL("",E629,H629)</f>
        <v>#REF!</v>
      </c>
      <c r="X658" s="4" t="e">
        <f>T1.WELL("",E629,H629)</f>
        <v>#REF!</v>
      </c>
      <c r="Y658" s="4" t="e">
        <f>T1.WELL("",E629,H629)</f>
        <v>#REF!</v>
      </c>
      <c r="Z658" s="4" t="e">
        <f>T1.WELL("",E629,H629)</f>
        <v>#REF!</v>
      </c>
      <c r="AA658" s="4" t="e">
        <f>T1.WELL("",E629,H629)</f>
        <v>#REF!</v>
      </c>
      <c r="AB658" s="4" t="e">
        <f>T1.WELL("",E629,H629)</f>
        <v>#REF!</v>
      </c>
      <c r="AC658" s="4" t="e">
        <f>T1.WELL("",E629,H629)</f>
        <v>#REF!</v>
      </c>
      <c r="AD658" s="4" t="e">
        <f>T1.WELL("",E629,H629)</f>
        <v>#REF!</v>
      </c>
      <c r="AE658" s="4" t="e">
        <f>T1.WELL("",E629,H629)</f>
        <v>#REF!</v>
      </c>
      <c r="AF658" s="4" t="e">
        <f>T1.WELL("",E629,H629)</f>
        <v>#REF!</v>
      </c>
      <c r="AG658" s="4" t="e">
        <f>T1.WELL("",E629,H629)</f>
        <v>#REF!</v>
      </c>
      <c r="AH658" s="4" t="e">
        <f>T1.WELL("",E629,H629)</f>
        <v>#REF!</v>
      </c>
      <c r="AI658" s="4" t="e">
        <f>T1.WELL("",E629,H629)</f>
        <v>#REF!</v>
      </c>
      <c r="AJ658" s="4" t="e">
        <f>T1.WELL("",E629,H629)</f>
        <v>#REF!</v>
      </c>
      <c r="AK658" s="4" t="e">
        <f>T1.WELL("",E629,H629)</f>
        <v>#REF!</v>
      </c>
      <c r="AL658" s="4" t="e">
        <f>T1.WELL("",E629,H629)</f>
        <v>#REF!</v>
      </c>
      <c r="AM658" s="4" t="e">
        <f>T1.WELL("",E629,H629)</f>
        <v>#REF!</v>
      </c>
      <c r="AN658" s="4" t="e">
        <f>T1.WELL("",E629,H629)</f>
        <v>#REF!</v>
      </c>
      <c r="AO658" s="4" t="e">
        <f>T1.WELL("",E629,H629)</f>
        <v>#REF!</v>
      </c>
      <c r="AP658" s="4" t="e">
        <f>T1.WELL("",E629,H629)</f>
        <v>#REF!</v>
      </c>
      <c r="AQ658" s="4" t="e">
        <f>T1.WELL("",E629,H629)</f>
        <v>#REF!</v>
      </c>
      <c r="AR658" s="4" t="e">
        <f>T1.WELL("",E629,H629)</f>
        <v>#REF!</v>
      </c>
      <c r="AS658" s="4" t="e">
        <f>T1.WELL("",E629,H629)</f>
        <v>#REF!</v>
      </c>
      <c r="AT658" s="4" t="e">
        <f>T1.WELL("",E629,H629)</f>
        <v>#REF!</v>
      </c>
      <c r="AU658" s="4" t="e">
        <f>T1.WELL("",E629,H629)</f>
        <v>#REF!</v>
      </c>
      <c r="AV658" s="4" t="e">
        <f>T1.WELL("",E629,H629)</f>
        <v>#REF!</v>
      </c>
      <c r="AW658" s="4" t="e">
        <f>T1.WELL("",E629,H629)</f>
        <v>#REF!</v>
      </c>
      <c r="AX658" s="4" t="e">
        <f>T1.WELL("",E629,H629)</f>
        <v>#REF!</v>
      </c>
      <c r="AY658" s="49"/>
      <c r="AZ658" s="49"/>
      <c r="BA658" s="49"/>
    </row>
    <row r="659" spans="1:53" ht="11.25" hidden="1" customHeight="1">
      <c r="B659" s="36" t="s">
        <v>1753</v>
      </c>
      <c r="C659" s="4" t="e">
        <f>T1.WELL("",E629,H629)</f>
        <v>#REF!</v>
      </c>
      <c r="D659" s="4" t="e">
        <f>T1.WELL("",E629,H629)</f>
        <v>#REF!</v>
      </c>
      <c r="E659" s="4" t="e">
        <f>T1.WELL("",E629,H629)</f>
        <v>#REF!</v>
      </c>
      <c r="F659" s="4" t="e">
        <f>T1.WELL("",E629,H629)</f>
        <v>#REF!</v>
      </c>
      <c r="G659" s="4" t="e">
        <f>T1.WELL("",E629,H629)</f>
        <v>#REF!</v>
      </c>
      <c r="H659" s="4" t="e">
        <f>T1.WELL("",E629,H629)</f>
        <v>#REF!</v>
      </c>
      <c r="I659" s="4" t="e">
        <f>T1.WELL("",E629,H629)</f>
        <v>#REF!</v>
      </c>
      <c r="J659" s="4" t="e">
        <f>T1.WELL("",E629,H629)</f>
        <v>#REF!</v>
      </c>
      <c r="K659" s="4" t="e">
        <f>T1.WELL("",E629,H629)</f>
        <v>#REF!</v>
      </c>
      <c r="L659" s="4" t="e">
        <f>T1.WELL("",E629,H629)</f>
        <v>#REF!</v>
      </c>
      <c r="M659" s="4" t="e">
        <f>T1.WELL("",E629,H629)</f>
        <v>#REF!</v>
      </c>
      <c r="N659" s="4" t="e">
        <f>T1.WELL("",E629,H629)</f>
        <v>#REF!</v>
      </c>
      <c r="O659" s="4" t="e">
        <f>T1.WELL("",E629,H629)</f>
        <v>#REF!</v>
      </c>
      <c r="P659" s="4" t="e">
        <f>T1.WELL("",E629,H629)</f>
        <v>#REF!</v>
      </c>
      <c r="Q659" s="4" t="e">
        <f>T1.WELL("",E629,H629)</f>
        <v>#REF!</v>
      </c>
      <c r="R659" s="4" t="e">
        <f>T1.WELL("",E629,H629)</f>
        <v>#REF!</v>
      </c>
      <c r="S659" s="4" t="e">
        <f>T1.WELL("",E629,H629)</f>
        <v>#REF!</v>
      </c>
      <c r="T659" s="4" t="e">
        <f>T1.WELL("",E629,H629)</f>
        <v>#REF!</v>
      </c>
      <c r="U659" s="4" t="e">
        <f>T1.WELL("",E629,H629)</f>
        <v>#REF!</v>
      </c>
      <c r="V659" s="4" t="e">
        <f>T1.WELL("",E629,H629)</f>
        <v>#REF!</v>
      </c>
      <c r="W659" s="4" t="e">
        <f>T1.WELL("",E629,H629)</f>
        <v>#REF!</v>
      </c>
      <c r="X659" s="4" t="e">
        <f>T1.WELL("",E629,H629)</f>
        <v>#REF!</v>
      </c>
      <c r="Y659" s="4" t="e">
        <f>T1.WELL("",E629,H629)</f>
        <v>#REF!</v>
      </c>
      <c r="Z659" s="4" t="e">
        <f>T1.WELL("",E629,H629)</f>
        <v>#REF!</v>
      </c>
      <c r="AA659" s="4" t="e">
        <f>T1.WELL("",E629,H629)</f>
        <v>#REF!</v>
      </c>
      <c r="AB659" s="4" t="e">
        <f>T1.WELL("",E629,H629)</f>
        <v>#REF!</v>
      </c>
      <c r="AC659" s="4" t="e">
        <f>T1.WELL("",E629,H629)</f>
        <v>#REF!</v>
      </c>
      <c r="AD659" s="4" t="e">
        <f>T1.WELL("",E629,H629)</f>
        <v>#REF!</v>
      </c>
      <c r="AE659" s="4" t="e">
        <f>T1.WELL("",E629,H629)</f>
        <v>#REF!</v>
      </c>
      <c r="AF659" s="4" t="e">
        <f>T1.WELL("",E629,H629)</f>
        <v>#REF!</v>
      </c>
      <c r="AG659" s="4" t="e">
        <f>T1.WELL("",E629,H629)</f>
        <v>#REF!</v>
      </c>
      <c r="AH659" s="4" t="e">
        <f>T1.WELL("",E629,H629)</f>
        <v>#REF!</v>
      </c>
      <c r="AI659" s="4" t="e">
        <f>T1.WELL("",E629,H629)</f>
        <v>#REF!</v>
      </c>
      <c r="AJ659" s="4" t="e">
        <f>T1.WELL("",E629,H629)</f>
        <v>#REF!</v>
      </c>
      <c r="AK659" s="4" t="e">
        <f>T1.WELL("",E629,H629)</f>
        <v>#REF!</v>
      </c>
      <c r="AL659" s="4" t="e">
        <f>T1.WELL("",E629,H629)</f>
        <v>#REF!</v>
      </c>
      <c r="AM659" s="4" t="e">
        <f>T1.WELL("",E629,H629)</f>
        <v>#REF!</v>
      </c>
      <c r="AN659" s="4" t="e">
        <f>T1.WELL("",E629,H629)</f>
        <v>#REF!</v>
      </c>
      <c r="AO659" s="4" t="e">
        <f>T1.WELL("",E629,H629)</f>
        <v>#REF!</v>
      </c>
      <c r="AP659" s="4" t="e">
        <f>T1.WELL("",E629,H629)</f>
        <v>#REF!</v>
      </c>
      <c r="AQ659" s="4" t="e">
        <f>T1.WELL("",E629,H629)</f>
        <v>#REF!</v>
      </c>
      <c r="AR659" s="4" t="e">
        <f>T1.WELL("",E629,H629)</f>
        <v>#REF!</v>
      </c>
      <c r="AS659" s="4" t="e">
        <f>T1.WELL("",E629,H629)</f>
        <v>#REF!</v>
      </c>
      <c r="AT659" s="4" t="e">
        <f>T1.WELL("",E629,H629)</f>
        <v>#REF!</v>
      </c>
      <c r="AU659" s="4" t="e">
        <f>T1.WELL("",E629,H629)</f>
        <v>#REF!</v>
      </c>
      <c r="AV659" s="4" t="e">
        <f>T1.WELL("",E629,H629)</f>
        <v>#REF!</v>
      </c>
      <c r="AW659" s="4" t="e">
        <f>T1.WELL("",E629,H629)</f>
        <v>#REF!</v>
      </c>
      <c r="AX659" s="4" t="e">
        <f>T1.WELL("",E629,H629)</f>
        <v>#REF!</v>
      </c>
      <c r="AY659" s="49"/>
      <c r="AZ659" s="49"/>
      <c r="BA659" s="49"/>
    </row>
    <row r="660" spans="1:53" ht="11.25" hidden="1" customHeight="1">
      <c r="B660" s="36" t="s">
        <v>1802</v>
      </c>
      <c r="C660" s="4" t="e">
        <f>T1.WELL("",E629,H629)</f>
        <v>#REF!</v>
      </c>
      <c r="D660" s="4" t="e">
        <f>T1.WELL("",E629,H629)</f>
        <v>#REF!</v>
      </c>
      <c r="E660" s="4" t="e">
        <f>T1.WELL("",E629,H629)</f>
        <v>#REF!</v>
      </c>
      <c r="F660" s="4" t="e">
        <f>T1.WELL("",E629,H629)</f>
        <v>#REF!</v>
      </c>
      <c r="G660" s="4" t="e">
        <f>T1.WELL("",E629,H629)</f>
        <v>#REF!</v>
      </c>
      <c r="H660" s="4" t="e">
        <f>T1.WELL("",E629,H629)</f>
        <v>#REF!</v>
      </c>
      <c r="I660" s="4" t="e">
        <f>T1.WELL("",E629,H629)</f>
        <v>#REF!</v>
      </c>
      <c r="J660" s="4" t="e">
        <f>T1.WELL("",E629,H629)</f>
        <v>#REF!</v>
      </c>
      <c r="K660" s="4" t="e">
        <f>T1.WELL("",E629,H629)</f>
        <v>#REF!</v>
      </c>
      <c r="L660" s="4" t="e">
        <f>T1.WELL("",E629,H629)</f>
        <v>#REF!</v>
      </c>
      <c r="M660" s="4" t="e">
        <f>T1.WELL("",E629,H629)</f>
        <v>#REF!</v>
      </c>
      <c r="N660" s="4" t="e">
        <f>T1.WELL("",E629,H629)</f>
        <v>#REF!</v>
      </c>
      <c r="O660" s="4" t="e">
        <f>T1.WELL("",E629,H629)</f>
        <v>#REF!</v>
      </c>
      <c r="P660" s="4" t="e">
        <f>T1.WELL("",E629,H629)</f>
        <v>#REF!</v>
      </c>
      <c r="Q660" s="4" t="e">
        <f>T1.WELL("",E629,H629)</f>
        <v>#REF!</v>
      </c>
      <c r="R660" s="4" t="e">
        <f>T1.WELL("",E629,H629)</f>
        <v>#REF!</v>
      </c>
      <c r="S660" s="4" t="e">
        <f>T1.WELL("",E629,H629)</f>
        <v>#REF!</v>
      </c>
      <c r="T660" s="4" t="e">
        <f>T1.WELL("",E629,H629)</f>
        <v>#REF!</v>
      </c>
      <c r="U660" s="4" t="e">
        <f>T1.WELL("",E629,H629)</f>
        <v>#REF!</v>
      </c>
      <c r="V660" s="4" t="e">
        <f>T1.WELL("",E629,H629)</f>
        <v>#REF!</v>
      </c>
      <c r="W660" s="4" t="e">
        <f>T1.WELL("",E629,H629)</f>
        <v>#REF!</v>
      </c>
      <c r="X660" s="4" t="e">
        <f>T1.WELL("",E629,H629)</f>
        <v>#REF!</v>
      </c>
      <c r="Y660" s="4" t="e">
        <f>T1.WELL("",E629,H629)</f>
        <v>#REF!</v>
      </c>
      <c r="Z660" s="4" t="e">
        <f>T1.WELL("",E629,H629)</f>
        <v>#REF!</v>
      </c>
      <c r="AA660" s="4" t="e">
        <f>T1.WELL("",E629,H629)</f>
        <v>#REF!</v>
      </c>
      <c r="AB660" s="4" t="e">
        <f>T1.WELL("",E629,H629)</f>
        <v>#REF!</v>
      </c>
      <c r="AC660" s="4" t="e">
        <f>T1.WELL("",E629,H629)</f>
        <v>#REF!</v>
      </c>
      <c r="AD660" s="4" t="e">
        <f>T1.WELL("",E629,H629)</f>
        <v>#REF!</v>
      </c>
      <c r="AE660" s="4" t="e">
        <f>T1.WELL("",E629,H629)</f>
        <v>#REF!</v>
      </c>
      <c r="AF660" s="4" t="e">
        <f>T1.WELL("",E629,H629)</f>
        <v>#REF!</v>
      </c>
      <c r="AG660" s="4" t="e">
        <f>T1.WELL("",E629,H629)</f>
        <v>#REF!</v>
      </c>
      <c r="AH660" s="4" t="e">
        <f>T1.WELL("",E629,H629)</f>
        <v>#REF!</v>
      </c>
      <c r="AI660" s="4" t="e">
        <f>T1.WELL("",E629,H629)</f>
        <v>#REF!</v>
      </c>
      <c r="AJ660" s="4" t="e">
        <f>T1.WELL("",E629,H629)</f>
        <v>#REF!</v>
      </c>
      <c r="AK660" s="4" t="e">
        <f>T1.WELL("",E629,H629)</f>
        <v>#REF!</v>
      </c>
      <c r="AL660" s="4" t="e">
        <f>T1.WELL("",E629,H629)</f>
        <v>#REF!</v>
      </c>
      <c r="AM660" s="4" t="e">
        <f>T1.WELL("",E629,H629)</f>
        <v>#REF!</v>
      </c>
      <c r="AN660" s="4" t="e">
        <f>T1.WELL("",E629,H629)</f>
        <v>#REF!</v>
      </c>
      <c r="AO660" s="4" t="e">
        <f>T1.WELL("",E629,H629)</f>
        <v>#REF!</v>
      </c>
      <c r="AP660" s="4" t="e">
        <f>T1.WELL("",E629,H629)</f>
        <v>#REF!</v>
      </c>
      <c r="AQ660" s="4" t="e">
        <f>T1.WELL("",E629,H629)</f>
        <v>#REF!</v>
      </c>
      <c r="AR660" s="4" t="e">
        <f>T1.WELL("",E629,H629)</f>
        <v>#REF!</v>
      </c>
      <c r="AS660" s="4" t="e">
        <f>T1.WELL("",E629,H629)</f>
        <v>#REF!</v>
      </c>
      <c r="AT660" s="4" t="e">
        <f>T1.WELL("",E629,H629)</f>
        <v>#REF!</v>
      </c>
      <c r="AU660" s="4" t="e">
        <f>T1.WELL("",E629,H629)</f>
        <v>#REF!</v>
      </c>
      <c r="AV660" s="4" t="e">
        <f>T1.WELL("",E629,H629)</f>
        <v>#REF!</v>
      </c>
      <c r="AW660" s="4" t="e">
        <f>T1.WELL("",E629,H629)</f>
        <v>#REF!</v>
      </c>
      <c r="AX660" s="4" t="e">
        <f>T1.WELL("",E629,H629)</f>
        <v>#REF!</v>
      </c>
      <c r="AY660" s="49"/>
      <c r="AZ660" s="49"/>
      <c r="BA660" s="49"/>
    </row>
    <row r="661" spans="1:53" ht="11.25" hidden="1" customHeight="1">
      <c r="B661" s="36" t="s">
        <v>1851</v>
      </c>
      <c r="C661" s="4" t="e">
        <f>T1.WELL("",E629,H629)</f>
        <v>#REF!</v>
      </c>
      <c r="D661" s="4" t="e">
        <f>T1.WELL("",E629,H629)</f>
        <v>#REF!</v>
      </c>
      <c r="E661" s="4" t="e">
        <f>T1.WELL("",E629,H629)</f>
        <v>#REF!</v>
      </c>
      <c r="F661" s="4" t="e">
        <f>T1.WELL("",E629,H629)</f>
        <v>#REF!</v>
      </c>
      <c r="G661" s="4" t="e">
        <f>T1.WELL("",E629,H629)</f>
        <v>#REF!</v>
      </c>
      <c r="H661" s="4" t="e">
        <f>T1.WELL("",E629,H629)</f>
        <v>#REF!</v>
      </c>
      <c r="I661" s="4" t="e">
        <f>T1.WELL("",E629,H629)</f>
        <v>#REF!</v>
      </c>
      <c r="J661" s="4" t="e">
        <f>T1.WELL("",E629,H629)</f>
        <v>#REF!</v>
      </c>
      <c r="K661" s="4" t="e">
        <f>T1.WELL("",E629,H629)</f>
        <v>#REF!</v>
      </c>
      <c r="L661" s="4" t="e">
        <f>T1.WELL("",E629,H629)</f>
        <v>#REF!</v>
      </c>
      <c r="M661" s="4" t="e">
        <f>T1.WELL("",E629,H629)</f>
        <v>#REF!</v>
      </c>
      <c r="N661" s="4" t="e">
        <f>T1.WELL("",E629,H629)</f>
        <v>#REF!</v>
      </c>
      <c r="O661" s="4" t="e">
        <f>T1.WELL("",E629,H629)</f>
        <v>#REF!</v>
      </c>
      <c r="P661" s="4" t="e">
        <f>T1.WELL("",E629,H629)</f>
        <v>#REF!</v>
      </c>
      <c r="Q661" s="4" t="e">
        <f>T1.WELL("",E629,H629)</f>
        <v>#REF!</v>
      </c>
      <c r="R661" s="4" t="e">
        <f>T1.WELL("",E629,H629)</f>
        <v>#REF!</v>
      </c>
      <c r="S661" s="4" t="e">
        <f>T1.WELL("",E629,H629)</f>
        <v>#REF!</v>
      </c>
      <c r="T661" s="4" t="e">
        <f>T1.WELL("",E629,H629)</f>
        <v>#REF!</v>
      </c>
      <c r="U661" s="4" t="e">
        <f>T1.WELL("",E629,H629)</f>
        <v>#REF!</v>
      </c>
      <c r="V661" s="4" t="e">
        <f>T1.WELL("",E629,H629)</f>
        <v>#REF!</v>
      </c>
      <c r="W661" s="4" t="e">
        <f>T1.WELL("",E629,H629)</f>
        <v>#REF!</v>
      </c>
      <c r="X661" s="4" t="e">
        <f>T1.WELL("",E629,H629)</f>
        <v>#REF!</v>
      </c>
      <c r="Y661" s="4" t="e">
        <f>T1.WELL("",E629,H629)</f>
        <v>#REF!</v>
      </c>
      <c r="Z661" s="4" t="e">
        <f>T1.WELL("",E629,H629)</f>
        <v>#REF!</v>
      </c>
      <c r="AA661" s="4" t="e">
        <f>T1.WELL("",E629,H629)</f>
        <v>#REF!</v>
      </c>
      <c r="AB661" s="4" t="e">
        <f>T1.WELL("",E629,H629)</f>
        <v>#REF!</v>
      </c>
      <c r="AC661" s="4" t="e">
        <f>T1.WELL("",E629,H629)</f>
        <v>#REF!</v>
      </c>
      <c r="AD661" s="4" t="e">
        <f>T1.WELL("",E629,H629)</f>
        <v>#REF!</v>
      </c>
      <c r="AE661" s="4" t="e">
        <f>T1.WELL("",E629,H629)</f>
        <v>#REF!</v>
      </c>
      <c r="AF661" s="4" t="e">
        <f>T1.WELL("",E629,H629)</f>
        <v>#REF!</v>
      </c>
      <c r="AG661" s="4" t="e">
        <f>T1.WELL("",E629,H629)</f>
        <v>#REF!</v>
      </c>
      <c r="AH661" s="4" t="e">
        <f>T1.WELL("",E629,H629)</f>
        <v>#REF!</v>
      </c>
      <c r="AI661" s="4" t="e">
        <f>T1.WELL("",E629,H629)</f>
        <v>#REF!</v>
      </c>
      <c r="AJ661" s="4" t="e">
        <f>T1.WELL("",E629,H629)</f>
        <v>#REF!</v>
      </c>
      <c r="AK661" s="4" t="e">
        <f>T1.WELL("",E629,H629)</f>
        <v>#REF!</v>
      </c>
      <c r="AL661" s="4" t="e">
        <f>T1.WELL("",E629,H629)</f>
        <v>#REF!</v>
      </c>
      <c r="AM661" s="4" t="e">
        <f>T1.WELL("",E629,H629)</f>
        <v>#REF!</v>
      </c>
      <c r="AN661" s="4" t="e">
        <f>T1.WELL("",E629,H629)</f>
        <v>#REF!</v>
      </c>
      <c r="AO661" s="4" t="e">
        <f>T1.WELL("",E629,H629)</f>
        <v>#REF!</v>
      </c>
      <c r="AP661" s="4" t="e">
        <f>T1.WELL("",E629,H629)</f>
        <v>#REF!</v>
      </c>
      <c r="AQ661" s="4" t="e">
        <f>T1.WELL("",E629,H629)</f>
        <v>#REF!</v>
      </c>
      <c r="AR661" s="4" t="e">
        <f>T1.WELL("",E629,H629)</f>
        <v>#REF!</v>
      </c>
      <c r="AS661" s="4" t="e">
        <f>T1.WELL("",E629,H629)</f>
        <v>#REF!</v>
      </c>
      <c r="AT661" s="4" t="e">
        <f>T1.WELL("",E629,H629)</f>
        <v>#REF!</v>
      </c>
      <c r="AU661" s="4" t="e">
        <f>T1.WELL("",E629,H629)</f>
        <v>#REF!</v>
      </c>
      <c r="AV661" s="4" t="e">
        <f>T1.WELL("",E629,H629)</f>
        <v>#REF!</v>
      </c>
      <c r="AW661" s="4" t="e">
        <f>T1.WELL("",E629,H629)</f>
        <v>#REF!</v>
      </c>
      <c r="AX661" s="4" t="e">
        <f>T1.WELL("",E629,H629)</f>
        <v>#REF!</v>
      </c>
      <c r="AY661" s="49"/>
      <c r="AZ661" s="49"/>
      <c r="BA661" s="49"/>
    </row>
    <row r="662" spans="1:53" ht="11.25" hidden="1" customHeight="1">
      <c r="B662" s="36" t="s">
        <v>1900</v>
      </c>
      <c r="C662" s="4" t="e">
        <f>T1.WELL("",E629,H629)</f>
        <v>#REF!</v>
      </c>
      <c r="D662" s="4" t="e">
        <f>T1.WELL("",E629,H629)</f>
        <v>#REF!</v>
      </c>
      <c r="E662" s="4" t="e">
        <f>T1.WELL("",E629,H629)</f>
        <v>#REF!</v>
      </c>
      <c r="F662" s="4" t="e">
        <f>T1.WELL("",E629,H629)</f>
        <v>#REF!</v>
      </c>
      <c r="G662" s="4" t="e">
        <f>T1.WELL("",E629,H629)</f>
        <v>#REF!</v>
      </c>
      <c r="H662" s="4" t="e">
        <f>T1.WELL("",E629,H629)</f>
        <v>#REF!</v>
      </c>
      <c r="I662" s="4" t="e">
        <f>T1.WELL("",E629,H629)</f>
        <v>#REF!</v>
      </c>
      <c r="J662" s="4" t="e">
        <f>T1.WELL("",E629,H629)</f>
        <v>#REF!</v>
      </c>
      <c r="K662" s="4" t="e">
        <f>T1.WELL("",E629,H629)</f>
        <v>#REF!</v>
      </c>
      <c r="L662" s="4" t="e">
        <f>T1.WELL("",E629,H629)</f>
        <v>#REF!</v>
      </c>
      <c r="M662" s="4" t="e">
        <f>T1.WELL("",E629,H629)</f>
        <v>#REF!</v>
      </c>
      <c r="N662" s="4" t="e">
        <f>T1.WELL("",E629,H629)</f>
        <v>#REF!</v>
      </c>
      <c r="O662" s="4" t="e">
        <f>T1.WELL("",E629,H629)</f>
        <v>#REF!</v>
      </c>
      <c r="P662" s="4" t="e">
        <f>T1.WELL("",E629,H629)</f>
        <v>#REF!</v>
      </c>
      <c r="Q662" s="4" t="e">
        <f>T1.WELL("",E629,H629)</f>
        <v>#REF!</v>
      </c>
      <c r="R662" s="4" t="e">
        <f>T1.WELL("",E629,H629)</f>
        <v>#REF!</v>
      </c>
      <c r="S662" s="4" t="e">
        <f>T1.WELL("",E629,H629)</f>
        <v>#REF!</v>
      </c>
      <c r="T662" s="4" t="e">
        <f>T1.WELL("",E629,H629)</f>
        <v>#REF!</v>
      </c>
      <c r="U662" s="4" t="e">
        <f>T1.WELL("",E629,H629)</f>
        <v>#REF!</v>
      </c>
      <c r="V662" s="4" t="e">
        <f>T1.WELL("",E629,H629)</f>
        <v>#REF!</v>
      </c>
      <c r="W662" s="4" t="e">
        <f>T1.WELL("",E629,H629)</f>
        <v>#REF!</v>
      </c>
      <c r="X662" s="4" t="e">
        <f>T1.WELL("",E629,H629)</f>
        <v>#REF!</v>
      </c>
      <c r="Y662" s="4" t="e">
        <f>T1.WELL("",E629,H629)</f>
        <v>#REF!</v>
      </c>
      <c r="Z662" s="4" t="e">
        <f>T1.WELL("",E629,H629)</f>
        <v>#REF!</v>
      </c>
      <c r="AA662" s="4" t="e">
        <f>T1.WELL("",E629,H629)</f>
        <v>#REF!</v>
      </c>
      <c r="AB662" s="4" t="e">
        <f>T1.WELL("",E629,H629)</f>
        <v>#REF!</v>
      </c>
      <c r="AC662" s="4" t="e">
        <f>T1.WELL("",E629,H629)</f>
        <v>#REF!</v>
      </c>
      <c r="AD662" s="4" t="e">
        <f>T1.WELL("",E629,H629)</f>
        <v>#REF!</v>
      </c>
      <c r="AE662" s="4" t="e">
        <f>T1.WELL("",E629,H629)</f>
        <v>#REF!</v>
      </c>
      <c r="AF662" s="4" t="e">
        <f>T1.WELL("",E629,H629)</f>
        <v>#REF!</v>
      </c>
      <c r="AG662" s="4" t="e">
        <f>T1.WELL("",E629,H629)</f>
        <v>#REF!</v>
      </c>
      <c r="AH662" s="4" t="e">
        <f>T1.WELL("",E629,H629)</f>
        <v>#REF!</v>
      </c>
      <c r="AI662" s="4" t="e">
        <f>T1.WELL("",E629,H629)</f>
        <v>#REF!</v>
      </c>
      <c r="AJ662" s="4" t="e">
        <f>T1.WELL("",E629,H629)</f>
        <v>#REF!</v>
      </c>
      <c r="AK662" s="4" t="e">
        <f>T1.WELL("",E629,H629)</f>
        <v>#REF!</v>
      </c>
      <c r="AL662" s="4" t="e">
        <f>T1.WELL("",E629,H629)</f>
        <v>#REF!</v>
      </c>
      <c r="AM662" s="4" t="e">
        <f>T1.WELL("",E629,H629)</f>
        <v>#REF!</v>
      </c>
      <c r="AN662" s="4" t="e">
        <f>T1.WELL("",E629,H629)</f>
        <v>#REF!</v>
      </c>
      <c r="AO662" s="4" t="e">
        <f>T1.WELL("",E629,H629)</f>
        <v>#REF!</v>
      </c>
      <c r="AP662" s="4" t="e">
        <f>T1.WELL("",E629,H629)</f>
        <v>#REF!</v>
      </c>
      <c r="AQ662" s="4" t="e">
        <f>T1.WELL("",E629,H629)</f>
        <v>#REF!</v>
      </c>
      <c r="AR662" s="4" t="e">
        <f>T1.WELL("",E629,H629)</f>
        <v>#REF!</v>
      </c>
      <c r="AS662" s="4" t="e">
        <f>T1.WELL("",E629,H629)</f>
        <v>#REF!</v>
      </c>
      <c r="AT662" s="4" t="e">
        <f>T1.WELL("",E629,H629)</f>
        <v>#REF!</v>
      </c>
      <c r="AU662" s="4" t="e">
        <f>T1.WELL("",E629,H629)</f>
        <v>#REF!</v>
      </c>
      <c r="AV662" s="4" t="e">
        <f>T1.WELL("",E629,H629)</f>
        <v>#REF!</v>
      </c>
      <c r="AW662" s="4" t="e">
        <f>T1.WELL("",E629,H629)</f>
        <v>#REF!</v>
      </c>
      <c r="AX662" s="4" t="e">
        <f>T1.WELL("",E629,H629)</f>
        <v>#REF!</v>
      </c>
      <c r="AY662" s="49"/>
      <c r="AZ662" s="49"/>
      <c r="BA662" s="49"/>
    </row>
    <row r="663" spans="1:53" ht="11.25" hidden="1" customHeight="1">
      <c r="B663" s="36" t="s">
        <v>1949</v>
      </c>
      <c r="C663" s="4" t="e">
        <f>T1.WELL("",E629,H629)</f>
        <v>#REF!</v>
      </c>
      <c r="D663" s="4" t="e">
        <f>T1.WELL("",E629,H629)</f>
        <v>#REF!</v>
      </c>
      <c r="E663" s="4" t="e">
        <f>T1.WELL("",E629,H629)</f>
        <v>#REF!</v>
      </c>
      <c r="F663" s="4" t="e">
        <f>T1.WELL("",E629,H629)</f>
        <v>#REF!</v>
      </c>
      <c r="G663" s="4" t="e">
        <f>T1.WELL("",E629,H629)</f>
        <v>#REF!</v>
      </c>
      <c r="H663" s="4" t="e">
        <f>T1.WELL("",E629,H629)</f>
        <v>#REF!</v>
      </c>
      <c r="I663" s="4" t="e">
        <f>T1.WELL("",E629,H629)</f>
        <v>#REF!</v>
      </c>
      <c r="J663" s="4" t="e">
        <f>T1.WELL("",E629,H629)</f>
        <v>#REF!</v>
      </c>
      <c r="K663" s="4" t="e">
        <f>T1.WELL("",E629,H629)</f>
        <v>#REF!</v>
      </c>
      <c r="L663" s="4" t="e">
        <f>T1.WELL("",E629,H629)</f>
        <v>#REF!</v>
      </c>
      <c r="M663" s="4" t="e">
        <f>T1.WELL("",E629,H629)</f>
        <v>#REF!</v>
      </c>
      <c r="N663" s="4" t="e">
        <f>T1.WELL("",E629,H629)</f>
        <v>#REF!</v>
      </c>
      <c r="O663" s="4" t="e">
        <f>T1.WELL("",E629,H629)</f>
        <v>#REF!</v>
      </c>
      <c r="P663" s="4" t="e">
        <f>T1.WELL("",E629,H629)</f>
        <v>#REF!</v>
      </c>
      <c r="Q663" s="4" t="e">
        <f>T1.WELL("",E629,H629)</f>
        <v>#REF!</v>
      </c>
      <c r="R663" s="4" t="e">
        <f>T1.WELL("",E629,H629)</f>
        <v>#REF!</v>
      </c>
      <c r="S663" s="4" t="e">
        <f>T1.WELL("",E629,H629)</f>
        <v>#REF!</v>
      </c>
      <c r="T663" s="4" t="e">
        <f>T1.WELL("",E629,H629)</f>
        <v>#REF!</v>
      </c>
      <c r="U663" s="4" t="e">
        <f>T1.WELL("",E629,H629)</f>
        <v>#REF!</v>
      </c>
      <c r="V663" s="4" t="e">
        <f>T1.WELL("",E629,H629)</f>
        <v>#REF!</v>
      </c>
      <c r="W663" s="4" t="e">
        <f>T1.WELL("",E629,H629)</f>
        <v>#REF!</v>
      </c>
      <c r="X663" s="4" t="e">
        <f>T1.WELL("",E629,H629)</f>
        <v>#REF!</v>
      </c>
      <c r="Y663" s="4" t="e">
        <f>T1.WELL("",E629,H629)</f>
        <v>#REF!</v>
      </c>
      <c r="Z663" s="4" t="e">
        <f>T1.WELL("",E629,H629)</f>
        <v>#REF!</v>
      </c>
      <c r="AA663" s="4" t="e">
        <f>T1.WELL("",E629,H629)</f>
        <v>#REF!</v>
      </c>
      <c r="AB663" s="4" t="e">
        <f>T1.WELL("",E629,H629)</f>
        <v>#REF!</v>
      </c>
      <c r="AC663" s="4" t="e">
        <f>T1.WELL("",E629,H629)</f>
        <v>#REF!</v>
      </c>
      <c r="AD663" s="4" t="e">
        <f>T1.WELL("",E629,H629)</f>
        <v>#REF!</v>
      </c>
      <c r="AE663" s="4" t="e">
        <f>T1.WELL("",E629,H629)</f>
        <v>#REF!</v>
      </c>
      <c r="AF663" s="4" t="e">
        <f>T1.WELL("",E629,H629)</f>
        <v>#REF!</v>
      </c>
      <c r="AG663" s="4" t="e">
        <f>T1.WELL("",E629,H629)</f>
        <v>#REF!</v>
      </c>
      <c r="AH663" s="4" t="e">
        <f>T1.WELL("",E629,H629)</f>
        <v>#REF!</v>
      </c>
      <c r="AI663" s="4" t="e">
        <f>T1.WELL("",E629,H629)</f>
        <v>#REF!</v>
      </c>
      <c r="AJ663" s="4" t="e">
        <f>T1.WELL("",E629,H629)</f>
        <v>#REF!</v>
      </c>
      <c r="AK663" s="4" t="e">
        <f>T1.WELL("",E629,H629)</f>
        <v>#REF!</v>
      </c>
      <c r="AL663" s="4" t="e">
        <f>T1.WELL("",E629,H629)</f>
        <v>#REF!</v>
      </c>
      <c r="AM663" s="4" t="e">
        <f>T1.WELL("",E629,H629)</f>
        <v>#REF!</v>
      </c>
      <c r="AN663" s="4" t="e">
        <f>T1.WELL("",E629,H629)</f>
        <v>#REF!</v>
      </c>
      <c r="AO663" s="4" t="e">
        <f>T1.WELL("",E629,H629)</f>
        <v>#REF!</v>
      </c>
      <c r="AP663" s="4" t="e">
        <f>T1.WELL("",E629,H629)</f>
        <v>#REF!</v>
      </c>
      <c r="AQ663" s="4" t="e">
        <f>T1.WELL("",E629,H629)</f>
        <v>#REF!</v>
      </c>
      <c r="AR663" s="4" t="e">
        <f>T1.WELL("",E629,H629)</f>
        <v>#REF!</v>
      </c>
      <c r="AS663" s="4" t="e">
        <f>T1.WELL("",E629,H629)</f>
        <v>#REF!</v>
      </c>
      <c r="AT663" s="4" t="e">
        <f>T1.WELL("",E629,H629)</f>
        <v>#REF!</v>
      </c>
      <c r="AU663" s="4" t="e">
        <f>T1.WELL("",E629,H629)</f>
        <v>#REF!</v>
      </c>
      <c r="AV663" s="4" t="e">
        <f>T1.WELL("",E629,H629)</f>
        <v>#REF!</v>
      </c>
      <c r="AW663" s="4" t="e">
        <f>T1.WELL("",E629,H629)</f>
        <v>#REF!</v>
      </c>
      <c r="AX663" s="4" t="e">
        <f>T1.WELL("",E629,H629)</f>
        <v>#REF!</v>
      </c>
      <c r="AY663" s="49"/>
      <c r="AZ663" s="49"/>
      <c r="BA663" s="49"/>
    </row>
    <row r="664" spans="1:53" ht="11.25" hidden="1" customHeight="1">
      <c r="B664" s="36"/>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49"/>
      <c r="AZ664" s="49"/>
      <c r="BA664" s="49"/>
    </row>
    <row r="665" spans="1:53" ht="11.25" hidden="1" customHeight="1">
      <c r="B665" s="36"/>
      <c r="C665" s="33" t="s">
        <v>798</v>
      </c>
      <c r="D665" s="3" t="e">
        <f>T1.role("CPD*","CPD_RESULT","avr")</f>
        <v>#REF!</v>
      </c>
      <c r="E665" s="3"/>
      <c r="F665" s="33" t="s">
        <v>2030</v>
      </c>
      <c r="G665" s="3" t="e">
        <f>T1.role("CPD*","CPD_RESULT","sd")</f>
        <v>#REF!</v>
      </c>
      <c r="H665" s="3"/>
      <c r="I665" s="33" t="s">
        <v>2031</v>
      </c>
      <c r="J665" s="3" t="e">
        <f>D665+2*G665</f>
        <v>#REF!</v>
      </c>
      <c r="K665" s="3"/>
      <c r="L665" s="33" t="s">
        <v>2032</v>
      </c>
      <c r="M665" s="3" t="e">
        <f>D665+3*G665</f>
        <v>#REF!</v>
      </c>
      <c r="N665" s="3"/>
      <c r="O665" s="33" t="s">
        <v>2033</v>
      </c>
      <c r="P665" s="3" t="e">
        <f>D665+4*G665</f>
        <v>#REF!</v>
      </c>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49"/>
      <c r="AZ665" s="49"/>
      <c r="BA665" s="49"/>
    </row>
    <row r="666" spans="1:53" ht="11.25" customHeight="1">
      <c r="AY666" s="49"/>
      <c r="AZ666" s="49"/>
      <c r="BA666" s="49"/>
    </row>
    <row r="667" spans="1:53" s="70" customFormat="1" ht="11.25" customHeight="1">
      <c r="A667" s="70" t="s">
        <v>2036</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66" customFormat="1" ht="11.25" customHeight="1">
      <c r="A693" s="66" t="s">
        <v>3034</v>
      </c>
      <c r="D693" s="67" t="s">
        <v>2063</v>
      </c>
      <c r="E693" s="68" t="s">
        <v>812</v>
      </c>
      <c r="G693" s="67" t="s">
        <v>816</v>
      </c>
      <c r="H693" s="66" t="s">
        <v>822</v>
      </c>
      <c r="I693" s="67"/>
      <c r="J693" s="67" t="s">
        <v>807</v>
      </c>
      <c r="K693" s="68" t="e">
        <f>T1.role("CPD*",E693,"+2sd")</f>
        <v>#REF!</v>
      </c>
      <c r="L693" s="69"/>
    </row>
    <row r="694" spans="1:27" s="35" customFormat="1" ht="11.25" hidden="1" customHeight="1">
      <c r="A694" s="27"/>
    </row>
    <row r="695" spans="1:27" ht="11.25" hidden="1" customHeight="1">
      <c r="B695" s="1"/>
      <c r="C695" s="1">
        <v>1</v>
      </c>
      <c r="D695" s="1">
        <v>2</v>
      </c>
      <c r="E695" s="1">
        <v>3</v>
      </c>
      <c r="F695" s="1">
        <v>4</v>
      </c>
      <c r="G695" s="1">
        <v>5</v>
      </c>
      <c r="H695" s="1">
        <v>6</v>
      </c>
      <c r="I695" s="49"/>
      <c r="J695" s="49"/>
      <c r="K695" s="49"/>
      <c r="L695" s="49"/>
      <c r="M695" s="49"/>
      <c r="N695" s="49"/>
      <c r="O695" s="49"/>
      <c r="P695" s="49"/>
      <c r="Q695" s="49"/>
      <c r="R695" s="49"/>
      <c r="S695" s="49"/>
      <c r="T695" s="49"/>
      <c r="U695" s="49"/>
    </row>
    <row r="696" spans="1:27" ht="11.25" hidden="1" customHeight="1">
      <c r="B696" s="1" t="s">
        <v>415</v>
      </c>
      <c r="C696" s="4" t="str">
        <f>T1.WELL("",E693,H693,K693)</f>
        <v/>
      </c>
      <c r="D696" s="4" t="str">
        <f>T1.WELL("",E693,H693,K693)</f>
        <v/>
      </c>
      <c r="E696" s="4" t="str">
        <f>T1.WELL("",E693,H693,K693)</f>
        <v/>
      </c>
      <c r="F696" s="4" t="str">
        <f>T1.WELL("",E693,H693,K693)</f>
        <v/>
      </c>
      <c r="G696" s="4" t="str">
        <f>T1.WELL("",E693,H693,K693)</f>
        <v/>
      </c>
      <c r="H696" s="4" t="str">
        <f>T1.WELL("",E693,H693,K693)</f>
        <v/>
      </c>
      <c r="I696" s="49"/>
      <c r="J696" s="49"/>
      <c r="K696" s="49"/>
      <c r="L696" s="49"/>
      <c r="M696" s="49"/>
      <c r="N696" s="49"/>
      <c r="O696" s="49"/>
      <c r="P696" s="49"/>
      <c r="Q696" s="49"/>
      <c r="R696" s="49"/>
      <c r="S696" s="49"/>
      <c r="T696" s="49"/>
      <c r="U696" s="49"/>
    </row>
    <row r="697" spans="1:27" ht="11.25" hidden="1" customHeight="1">
      <c r="B697" s="1" t="s">
        <v>416</v>
      </c>
      <c r="C697" s="4" t="str">
        <f>T1.WELL("",E693,H693,K693)</f>
        <v/>
      </c>
      <c r="D697" s="4" t="str">
        <f>T1.WELL("",E693,H693,K693)</f>
        <v/>
      </c>
      <c r="E697" s="4" t="str">
        <f>T1.WELL("",E693,H693,K693)</f>
        <v/>
      </c>
      <c r="F697" s="4" t="str">
        <f>T1.WELL("",E693,H693,K693)</f>
        <v/>
      </c>
      <c r="G697" s="4" t="str">
        <f>T1.WELL("",E693,H693,K693)</f>
        <v/>
      </c>
      <c r="H697" s="4" t="str">
        <f>T1.WELL("",E693,H693,K693)</f>
        <v/>
      </c>
      <c r="I697" s="49"/>
      <c r="J697" s="49"/>
      <c r="K697" s="49"/>
      <c r="L697" s="49"/>
      <c r="M697" s="49"/>
      <c r="N697" s="49"/>
      <c r="O697" s="49"/>
      <c r="P697" s="49"/>
      <c r="Q697" s="49"/>
      <c r="R697" s="49"/>
      <c r="S697" s="49"/>
      <c r="T697" s="49"/>
      <c r="U697" s="49"/>
    </row>
    <row r="698" spans="1:27" ht="11.25" hidden="1" customHeight="1">
      <c r="B698" s="1" t="s">
        <v>417</v>
      </c>
      <c r="C698" s="4" t="str">
        <f>T1.WELL("",E693,H693,K693)</f>
        <v/>
      </c>
      <c r="D698" s="4" t="str">
        <f>T1.WELL("",E693,H693,K693)</f>
        <v/>
      </c>
      <c r="E698" s="4" t="str">
        <f>T1.WELL("",E693,H693,K693)</f>
        <v/>
      </c>
      <c r="F698" s="4" t="str">
        <f>T1.WELL("",E693,H693,K693)</f>
        <v/>
      </c>
      <c r="G698" s="4" t="str">
        <f>T1.WELL("",E693,H693,K693)</f>
        <v/>
      </c>
      <c r="H698" s="4" t="str">
        <f>T1.WELL("",E693,H693,K693)</f>
        <v/>
      </c>
      <c r="I698" s="49"/>
      <c r="J698" s="49"/>
      <c r="K698" s="49"/>
      <c r="L698" s="49"/>
      <c r="M698" s="49"/>
      <c r="N698" s="49"/>
      <c r="O698" s="49"/>
      <c r="P698" s="49"/>
      <c r="Q698" s="49"/>
      <c r="R698" s="49"/>
      <c r="S698" s="49"/>
      <c r="T698" s="49"/>
      <c r="U698" s="49"/>
    </row>
    <row r="699" spans="1:27" ht="11.25" hidden="1" customHeight="1">
      <c r="B699" s="1" t="s">
        <v>418</v>
      </c>
      <c r="C699" s="4" t="str">
        <f>T1.WELL("",E693,H693,K693)</f>
        <v/>
      </c>
      <c r="D699" s="4" t="str">
        <f>T1.WELL("",E693,H693,K693)</f>
        <v/>
      </c>
      <c r="E699" s="4" t="str">
        <f>T1.WELL("",E693,H693,K693)</f>
        <v/>
      </c>
      <c r="F699" s="4" t="str">
        <f>T1.WELL("",E693,H693,K693)</f>
        <v/>
      </c>
      <c r="G699" s="4" t="str">
        <f>T1.WELL("",E693,H693,K693)</f>
        <v/>
      </c>
      <c r="H699" s="4" t="str">
        <f>T1.WELL("",E693,H693,K693)</f>
        <v/>
      </c>
      <c r="I699" s="49"/>
      <c r="J699" s="49"/>
      <c r="K699" s="49"/>
      <c r="L699" s="49"/>
      <c r="M699" s="49"/>
      <c r="N699" s="49"/>
      <c r="O699" s="49"/>
      <c r="P699" s="49"/>
      <c r="Q699" s="49"/>
      <c r="R699" s="49"/>
      <c r="S699" s="49"/>
      <c r="T699" s="49"/>
      <c r="U699" s="49"/>
    </row>
    <row r="700" spans="1:27" ht="11.25" customHeight="1">
      <c r="D700" s="31"/>
      <c r="E700" s="3"/>
      <c r="F700" s="8"/>
      <c r="G700" s="31"/>
    </row>
    <row r="701" spans="1:27" s="66" customFormat="1" ht="11.25" customHeight="1">
      <c r="A701" s="66" t="s">
        <v>2026</v>
      </c>
      <c r="D701" s="67" t="s">
        <v>2063</v>
      </c>
      <c r="E701" s="68" t="s">
        <v>812</v>
      </c>
      <c r="G701" s="67" t="s">
        <v>816</v>
      </c>
      <c r="H701" s="66" t="s">
        <v>822</v>
      </c>
      <c r="I701" s="67"/>
      <c r="J701" s="67" t="s">
        <v>807</v>
      </c>
      <c r="K701" s="68" t="e">
        <f>T1.role("CPD*",E701,"+2sd")</f>
        <v>#REF!</v>
      </c>
      <c r="L701" s="69"/>
    </row>
    <row r="702" spans="1:27" s="35" customFormat="1" ht="11.25" hidden="1" customHeight="1">
      <c r="A702" s="27"/>
    </row>
    <row r="703" spans="1:27" ht="11.25" hidden="1" customHeight="1">
      <c r="B703" s="1"/>
      <c r="C703" s="1">
        <v>1</v>
      </c>
      <c r="D703" s="1">
        <v>2</v>
      </c>
      <c r="E703" s="1">
        <v>3</v>
      </c>
      <c r="F703" s="1">
        <v>4</v>
      </c>
      <c r="G703" s="1">
        <v>5</v>
      </c>
      <c r="H703" s="1">
        <v>6</v>
      </c>
      <c r="I703" s="1">
        <v>7</v>
      </c>
      <c r="J703" s="1">
        <v>8</v>
      </c>
      <c r="K703" s="1">
        <v>9</v>
      </c>
      <c r="L703" s="1">
        <v>10</v>
      </c>
      <c r="M703" s="1">
        <v>11</v>
      </c>
      <c r="N703" s="1">
        <v>12</v>
      </c>
      <c r="O703" s="49"/>
      <c r="P703" s="49"/>
      <c r="Q703" s="49"/>
      <c r="R703" s="49"/>
      <c r="S703" s="49"/>
      <c r="T703" s="49"/>
      <c r="U703" s="49"/>
      <c r="V703" s="49"/>
      <c r="W703" s="49"/>
      <c r="X703" s="49"/>
      <c r="Y703" s="49"/>
      <c r="Z703" s="49"/>
      <c r="AA703" s="49"/>
    </row>
    <row r="704" spans="1:27" ht="11.25" hidden="1" customHeight="1">
      <c r="B704" s="1" t="s">
        <v>415</v>
      </c>
      <c r="C704" s="4" t="str">
        <f>T1.WELL("",E701,H701,K701)</f>
        <v/>
      </c>
      <c r="D704" s="4" t="str">
        <f>T1.WELL("",E701,H701,K701)</f>
        <v/>
      </c>
      <c r="E704" s="4" t="str">
        <f>T1.WELL("",E701,H701,K701)</f>
        <v/>
      </c>
      <c r="F704" s="4" t="str">
        <f>T1.WELL("",E701,H701,K701)</f>
        <v/>
      </c>
      <c r="G704" s="4" t="str">
        <f>T1.WELL("",E701,H701,K701)</f>
        <v/>
      </c>
      <c r="H704" s="4" t="str">
        <f>T1.WELL("",E701,H701,K701)</f>
        <v/>
      </c>
      <c r="I704" s="4" t="str">
        <f>T1.WELL("",E701,H701,K701)</f>
        <v/>
      </c>
      <c r="J704" s="4" t="str">
        <f>T1.WELL("",E701,H701,K701)</f>
        <v/>
      </c>
      <c r="K704" s="4" t="str">
        <f>T1.WELL("",E701,H701,K701)</f>
        <v/>
      </c>
      <c r="L704" s="4" t="str">
        <f>T1.WELL("",E701,H701,K701)</f>
        <v/>
      </c>
      <c r="M704" s="4" t="str">
        <f>T1.WELL("",E701,H701,K701)</f>
        <v/>
      </c>
      <c r="N704" s="4" t="str">
        <f>T1.WELL("",E701,H701,K701)</f>
        <v/>
      </c>
      <c r="O704" s="49"/>
      <c r="P704" s="49"/>
      <c r="Q704" s="49"/>
      <c r="R704" s="49"/>
      <c r="S704" s="49"/>
      <c r="T704" s="49"/>
      <c r="U704" s="49"/>
      <c r="V704" s="49"/>
      <c r="W704" s="49"/>
      <c r="X704" s="49"/>
      <c r="Y704" s="49"/>
      <c r="Z704" s="49"/>
      <c r="AA704" s="49"/>
    </row>
    <row r="705" spans="1:27" ht="11.25" hidden="1" customHeight="1">
      <c r="B705" s="1" t="s">
        <v>416</v>
      </c>
      <c r="C705" s="4" t="str">
        <f>T1.WELL("",E701,H701,K701)</f>
        <v/>
      </c>
      <c r="D705" s="4" t="str">
        <f>T1.WELL("",E701,H701,K701)</f>
        <v/>
      </c>
      <c r="E705" s="4" t="str">
        <f>T1.WELL("",E701,H701,K701)</f>
        <v/>
      </c>
      <c r="F705" s="4" t="str">
        <f>T1.WELL("",E701,H701,K701)</f>
        <v/>
      </c>
      <c r="G705" s="4" t="str">
        <f>T1.WELL("",E701,H701,K701)</f>
        <v/>
      </c>
      <c r="H705" s="4" t="str">
        <f>T1.WELL("",E701,H701,K701)</f>
        <v/>
      </c>
      <c r="I705" s="4" t="str">
        <f>T1.WELL("",E701,H701,K701)</f>
        <v/>
      </c>
      <c r="J705" s="4" t="str">
        <f>T1.WELL("",E701,H701,K701)</f>
        <v/>
      </c>
      <c r="K705" s="4" t="str">
        <f>T1.WELL("",E701,H701,K701)</f>
        <v/>
      </c>
      <c r="L705" s="4" t="str">
        <f>T1.WELL("",E701,H701,K701)</f>
        <v/>
      </c>
      <c r="M705" s="4" t="str">
        <f>T1.WELL("",E701,H701,K701)</f>
        <v/>
      </c>
      <c r="N705" s="4" t="str">
        <f>T1.WELL("",E701,H701,K701)</f>
        <v/>
      </c>
      <c r="O705" s="49"/>
      <c r="P705" s="49"/>
      <c r="Q705" s="49"/>
      <c r="R705" s="49"/>
      <c r="S705" s="49"/>
      <c r="T705" s="49"/>
      <c r="U705" s="49"/>
      <c r="V705" s="49"/>
      <c r="W705" s="49"/>
      <c r="X705" s="49"/>
      <c r="Y705" s="49"/>
      <c r="Z705" s="49"/>
      <c r="AA705" s="49"/>
    </row>
    <row r="706" spans="1:27" ht="11.25" hidden="1" customHeight="1">
      <c r="B706" s="1" t="s">
        <v>417</v>
      </c>
      <c r="C706" s="4" t="str">
        <f>T1.WELL("",E701,H701,K701)</f>
        <v/>
      </c>
      <c r="D706" s="4" t="str">
        <f>T1.WELL("",E701,H701,K701)</f>
        <v/>
      </c>
      <c r="E706" s="4" t="str">
        <f>T1.WELL("",E701,H701,K701)</f>
        <v/>
      </c>
      <c r="F706" s="4" t="str">
        <f>T1.WELL("",E701,H701,K701)</f>
        <v/>
      </c>
      <c r="G706" s="4" t="str">
        <f>T1.WELL("",E701,H701,K701)</f>
        <v/>
      </c>
      <c r="H706" s="4" t="str">
        <f>T1.WELL("",E701,H701,K701)</f>
        <v/>
      </c>
      <c r="I706" s="4" t="str">
        <f>T1.WELL("",E701,H701,K701)</f>
        <v/>
      </c>
      <c r="J706" s="4" t="str">
        <f>T1.WELL("",E701,H701,K701)</f>
        <v/>
      </c>
      <c r="K706" s="4" t="str">
        <f>T1.WELL("",E701,H701,K701)</f>
        <v/>
      </c>
      <c r="L706" s="4" t="str">
        <f>T1.WELL("",E701,H701,K701)</f>
        <v/>
      </c>
      <c r="M706" s="4" t="str">
        <f>T1.WELL("",E701,H701,K701)</f>
        <v/>
      </c>
      <c r="N706" s="4" t="str">
        <f>T1.WELL("",E701,H701,K701)</f>
        <v/>
      </c>
      <c r="O706" s="49"/>
      <c r="P706" s="49"/>
      <c r="Q706" s="49"/>
      <c r="R706" s="49"/>
      <c r="S706" s="49"/>
      <c r="T706" s="49"/>
      <c r="U706" s="49"/>
      <c r="V706" s="49"/>
      <c r="W706" s="49"/>
      <c r="X706" s="49"/>
      <c r="Y706" s="49"/>
      <c r="Z706" s="49"/>
      <c r="AA706" s="49"/>
    </row>
    <row r="707" spans="1:27" ht="11.25" hidden="1" customHeight="1">
      <c r="B707" s="1" t="s">
        <v>418</v>
      </c>
      <c r="C707" s="4" t="str">
        <f>T1.WELL("",E701,H701,K701)</f>
        <v/>
      </c>
      <c r="D707" s="4" t="str">
        <f>T1.WELL("",E701,H701,K701)</f>
        <v/>
      </c>
      <c r="E707" s="4" t="str">
        <f>T1.WELL("",E701,H701,K701)</f>
        <v/>
      </c>
      <c r="F707" s="4" t="str">
        <f>T1.WELL("",E701,H701,K701)</f>
        <v/>
      </c>
      <c r="G707" s="4" t="str">
        <f>T1.WELL("",E701,H701,K701)</f>
        <v/>
      </c>
      <c r="H707" s="4" t="str">
        <f>T1.WELL("",E701,H701,K701)</f>
        <v/>
      </c>
      <c r="I707" s="4" t="str">
        <f>T1.WELL("",E701,H701,K701)</f>
        <v/>
      </c>
      <c r="J707" s="4" t="str">
        <f>T1.WELL("",E701,H701,K701)</f>
        <v/>
      </c>
      <c r="K707" s="4" t="str">
        <f>T1.WELL("",E701,H701,K701)</f>
        <v/>
      </c>
      <c r="L707" s="4" t="str">
        <f>T1.WELL("",E701,H701,K701)</f>
        <v/>
      </c>
      <c r="M707" s="4" t="str">
        <f>T1.WELL("",E701,H701,K701)</f>
        <v/>
      </c>
      <c r="N707" s="4" t="str">
        <f>T1.WELL("",E701,H701,K701)</f>
        <v/>
      </c>
      <c r="O707" s="49"/>
      <c r="P707" s="49"/>
      <c r="Q707" s="49"/>
      <c r="R707" s="49"/>
      <c r="S707" s="49"/>
      <c r="T707" s="49"/>
      <c r="U707" s="49"/>
      <c r="V707" s="49"/>
      <c r="W707" s="49"/>
      <c r="X707" s="49"/>
      <c r="Y707" s="49"/>
      <c r="Z707" s="49"/>
      <c r="AA707" s="49"/>
    </row>
    <row r="708" spans="1:27" ht="11.25" hidden="1" customHeight="1">
      <c r="B708" s="1" t="s">
        <v>419</v>
      </c>
      <c r="C708" s="4" t="str">
        <f>T1.WELL("",E701,H701,K701)</f>
        <v/>
      </c>
      <c r="D708" s="4" t="str">
        <f>T1.WELL("",E701,H701,K701)</f>
        <v/>
      </c>
      <c r="E708" s="4" t="str">
        <f>T1.WELL("",E701,H701,K701)</f>
        <v/>
      </c>
      <c r="F708" s="4" t="str">
        <f>T1.WELL("",E701,H701,K701)</f>
        <v/>
      </c>
      <c r="G708" s="4" t="str">
        <f>T1.WELL("",E701,H701,K701)</f>
        <v/>
      </c>
      <c r="H708" s="4" t="str">
        <f>T1.WELL("",E701,H701,K701)</f>
        <v/>
      </c>
      <c r="I708" s="4" t="str">
        <f>T1.WELL("",E701,H701,K701)</f>
        <v/>
      </c>
      <c r="J708" s="4" t="str">
        <f>T1.WELL("",E701,H701,K701)</f>
        <v/>
      </c>
      <c r="K708" s="4" t="str">
        <f>T1.WELL("",E701,H701,K701)</f>
        <v/>
      </c>
      <c r="L708" s="4" t="str">
        <f>T1.WELL("",E701,H701,K701)</f>
        <v/>
      </c>
      <c r="M708" s="4" t="str">
        <f>T1.WELL("",E701,H701,K701)</f>
        <v/>
      </c>
      <c r="N708" s="4" t="str">
        <f>T1.WELL("",E701,H701,K701)</f>
        <v/>
      </c>
      <c r="O708" s="49"/>
      <c r="P708" s="49"/>
      <c r="Q708" s="49"/>
      <c r="R708" s="49"/>
      <c r="S708" s="49"/>
      <c r="T708" s="49"/>
      <c r="U708" s="49"/>
      <c r="V708" s="49"/>
      <c r="W708" s="49"/>
      <c r="X708" s="49"/>
      <c r="Y708" s="49"/>
      <c r="Z708" s="49"/>
      <c r="AA708" s="49"/>
    </row>
    <row r="709" spans="1:27" ht="11.25" hidden="1" customHeight="1">
      <c r="B709" s="1" t="s">
        <v>420</v>
      </c>
      <c r="C709" s="4" t="str">
        <f>T1.WELL("",E701,H701,K701)</f>
        <v/>
      </c>
      <c r="D709" s="4" t="str">
        <f>T1.WELL("",E701,H701,K701)</f>
        <v/>
      </c>
      <c r="E709" s="4" t="str">
        <f>T1.WELL("",E701,H701,K701)</f>
        <v/>
      </c>
      <c r="F709" s="4" t="str">
        <f>T1.WELL("",E701,H701,K701)</f>
        <v/>
      </c>
      <c r="G709" s="4" t="str">
        <f>T1.WELL("",E701,H701,K701)</f>
        <v/>
      </c>
      <c r="H709" s="4" t="str">
        <f>T1.WELL("",E701,H701,K701)</f>
        <v/>
      </c>
      <c r="I709" s="4" t="str">
        <f>T1.WELL("",E701,H701,K701)</f>
        <v/>
      </c>
      <c r="J709" s="4" t="str">
        <f>T1.WELL("",E701,H701,K701)</f>
        <v/>
      </c>
      <c r="K709" s="4" t="str">
        <f>T1.WELL("",E701,H701,K701)</f>
        <v/>
      </c>
      <c r="L709" s="4" t="str">
        <f>T1.WELL("",E701,H701,K701)</f>
        <v/>
      </c>
      <c r="M709" s="4" t="str">
        <f>T1.WELL("",E701,H701,K701)</f>
        <v/>
      </c>
      <c r="N709" s="4" t="str">
        <f>T1.WELL("",E701,H701,K701)</f>
        <v/>
      </c>
      <c r="O709" s="49"/>
      <c r="P709" s="49"/>
      <c r="Q709" s="49"/>
      <c r="R709" s="49"/>
      <c r="S709" s="49"/>
      <c r="T709" s="49"/>
      <c r="U709" s="49"/>
      <c r="V709" s="49"/>
      <c r="W709" s="49"/>
      <c r="X709" s="49"/>
      <c r="Y709" s="49"/>
      <c r="Z709" s="49"/>
      <c r="AA709" s="49"/>
    </row>
    <row r="710" spans="1:27" ht="11.25" hidden="1" customHeight="1">
      <c r="B710" s="1" t="s">
        <v>421</v>
      </c>
      <c r="C710" s="4" t="str">
        <f>T1.WELL("",E701,H701,K701)</f>
        <v/>
      </c>
      <c r="D710" s="4" t="str">
        <f>T1.WELL("",E701,H701,K701)</f>
        <v/>
      </c>
      <c r="E710" s="4" t="str">
        <f>T1.WELL("",E701,H701,K701)</f>
        <v/>
      </c>
      <c r="F710" s="4" t="str">
        <f>T1.WELL("",E701,H701,K701)</f>
        <v/>
      </c>
      <c r="G710" s="4" t="str">
        <f>T1.WELL("",E701,H701,K701)</f>
        <v/>
      </c>
      <c r="H710" s="4" t="str">
        <f>T1.WELL("",E701,H701,K701)</f>
        <v/>
      </c>
      <c r="I710" s="4" t="str">
        <f>T1.WELL("",E701,H701,K701)</f>
        <v/>
      </c>
      <c r="J710" s="4" t="str">
        <f>T1.WELL("",E701,H701,K701)</f>
        <v/>
      </c>
      <c r="K710" s="4" t="str">
        <f>T1.WELL("",E701,H701,K701)</f>
        <v/>
      </c>
      <c r="L710" s="4" t="str">
        <f>T1.WELL("",E701,H701,K701)</f>
        <v/>
      </c>
      <c r="M710" s="4" t="str">
        <f>T1.WELL("",E701,H701,K701)</f>
        <v/>
      </c>
      <c r="N710" s="4" t="str">
        <f>T1.WELL("",E701,H701,K701)</f>
        <v/>
      </c>
      <c r="O710" s="49"/>
      <c r="P710" s="49"/>
      <c r="Q710" s="49"/>
      <c r="R710" s="49"/>
      <c r="S710" s="49"/>
      <c r="T710" s="49"/>
      <c r="U710" s="49"/>
      <c r="V710" s="49"/>
      <c r="W710" s="49"/>
      <c r="X710" s="49"/>
      <c r="Y710" s="49"/>
      <c r="Z710" s="49"/>
      <c r="AA710" s="49"/>
    </row>
    <row r="711" spans="1:27" ht="11.25" hidden="1" customHeight="1">
      <c r="B711" s="1" t="s">
        <v>422</v>
      </c>
      <c r="C711" s="4" t="str">
        <f>T1.WELL("",E701,H701,K701)</f>
        <v/>
      </c>
      <c r="D711" s="4" t="str">
        <f>T1.WELL("",E701,H701,K701)</f>
        <v/>
      </c>
      <c r="E711" s="4" t="str">
        <f>T1.WELL("",E701,H701,K701)</f>
        <v/>
      </c>
      <c r="F711" s="4" t="str">
        <f>T1.WELL("",E701,H701,K701)</f>
        <v/>
      </c>
      <c r="G711" s="4" t="str">
        <f>T1.WELL("",E701,H701,K701)</f>
        <v/>
      </c>
      <c r="H711" s="4" t="str">
        <f>T1.WELL("",E701,H701,K701)</f>
        <v/>
      </c>
      <c r="I711" s="4" t="str">
        <f>T1.WELL("",E701,H701,K701)</f>
        <v/>
      </c>
      <c r="J711" s="4" t="str">
        <f>T1.WELL("",E701,H701,K701)</f>
        <v/>
      </c>
      <c r="K711" s="4" t="str">
        <f>T1.WELL("",E701,H701,K701)</f>
        <v/>
      </c>
      <c r="L711" s="4" t="str">
        <f>T1.WELL("",E701,H701,K701)</f>
        <v/>
      </c>
      <c r="M711" s="4" t="str">
        <f>T1.WELL("",E701,H701,K701)</f>
        <v/>
      </c>
      <c r="N711" s="4" t="str">
        <f>T1.WELL("",E701,H701,K701)</f>
        <v/>
      </c>
      <c r="O711" s="49"/>
      <c r="P711" s="49"/>
      <c r="Q711" s="49"/>
      <c r="R711" s="49"/>
      <c r="S711" s="49"/>
      <c r="T711" s="49"/>
      <c r="U711" s="49"/>
      <c r="V711" s="49"/>
      <c r="W711" s="49"/>
      <c r="X711" s="49"/>
      <c r="Y711" s="49"/>
      <c r="Z711" s="49"/>
      <c r="AA711" s="49"/>
    </row>
    <row r="712" spans="1:27" ht="11.25" customHeight="1">
      <c r="D712" s="31"/>
      <c r="E712" s="3"/>
      <c r="F712" s="8"/>
      <c r="G712" s="31"/>
    </row>
    <row r="713" spans="1:27" s="66" customFormat="1" ht="11.25" customHeight="1">
      <c r="A713" s="66" t="s">
        <v>2029</v>
      </c>
      <c r="D713" s="67" t="s">
        <v>2063</v>
      </c>
      <c r="E713" s="68" t="s">
        <v>812</v>
      </c>
      <c r="G713" s="67" t="s">
        <v>816</v>
      </c>
      <c r="H713" s="66" t="s">
        <v>822</v>
      </c>
      <c r="I713" s="67"/>
      <c r="J713" s="67" t="s">
        <v>807</v>
      </c>
      <c r="K713" s="68" t="e">
        <f>T1.role("CPD*",E713,"+2sd")</f>
        <v>#REF!</v>
      </c>
      <c r="L713" s="69"/>
    </row>
    <row r="714" spans="1:27" s="35" customFormat="1" ht="11.25" hidden="1" customHeight="1">
      <c r="A714" s="27"/>
    </row>
    <row r="715" spans="1:27" ht="11.25" hidden="1" customHeight="1">
      <c r="B715" s="1"/>
      <c r="C715" s="1">
        <v>1</v>
      </c>
      <c r="D715" s="1">
        <v>2</v>
      </c>
      <c r="E715" s="1">
        <v>3</v>
      </c>
      <c r="F715" s="1">
        <v>4</v>
      </c>
      <c r="G715" s="1">
        <v>5</v>
      </c>
      <c r="H715" s="1">
        <v>6</v>
      </c>
      <c r="I715" s="1">
        <v>7</v>
      </c>
      <c r="J715" s="1">
        <v>8</v>
      </c>
      <c r="K715" s="1">
        <v>9</v>
      </c>
      <c r="L715" s="1">
        <v>10</v>
      </c>
      <c r="M715" s="1">
        <v>11</v>
      </c>
      <c r="N715" s="1">
        <v>12</v>
      </c>
      <c r="O715" s="1">
        <v>13</v>
      </c>
      <c r="P715" s="1">
        <v>14</v>
      </c>
      <c r="Q715" s="1">
        <v>15</v>
      </c>
      <c r="R715" s="1">
        <v>16</v>
      </c>
      <c r="S715" s="1">
        <v>17</v>
      </c>
      <c r="T715" s="1">
        <v>18</v>
      </c>
      <c r="U715" s="1">
        <v>19</v>
      </c>
      <c r="V715" s="1">
        <v>20</v>
      </c>
      <c r="W715" s="1">
        <v>21</v>
      </c>
      <c r="X715" s="1">
        <v>22</v>
      </c>
      <c r="Y715" s="1">
        <v>23</v>
      </c>
      <c r="Z715" s="1">
        <v>24</v>
      </c>
    </row>
    <row r="716" spans="1:27" ht="11.25" hidden="1" customHeight="1">
      <c r="B716" s="1" t="s">
        <v>415</v>
      </c>
      <c r="C716" s="4" t="str">
        <f>T1.WELL("",E713,H713,K713)</f>
        <v/>
      </c>
      <c r="D716" s="4" t="str">
        <f>T1.WELL("",E713,H713,K713)</f>
        <v/>
      </c>
      <c r="E716" s="4" t="str">
        <f>T1.WELL("",E713,H713,K713)</f>
        <v/>
      </c>
      <c r="F716" s="4" t="str">
        <f>T1.WELL("",E713,H713,K713)</f>
        <v/>
      </c>
      <c r="G716" s="4" t="str">
        <f>T1.WELL("",E713,H713,K713)</f>
        <v/>
      </c>
      <c r="H716" s="4" t="str">
        <f>T1.WELL("",E713,H713,K713)</f>
        <v/>
      </c>
      <c r="I716" s="4" t="str">
        <f>T1.WELL("",E713,H713,K713)</f>
        <v/>
      </c>
      <c r="J716" s="4" t="str">
        <f>T1.WELL("",E713,H713,K713)</f>
        <v/>
      </c>
      <c r="K716" s="4" t="str">
        <f>T1.WELL("",E713,H713,K713)</f>
        <v/>
      </c>
      <c r="L716" s="4" t="str">
        <f>T1.WELL("",E713,H713,K713)</f>
        <v/>
      </c>
      <c r="M716" s="4" t="str">
        <f>T1.WELL("",E713,H713,K713)</f>
        <v/>
      </c>
      <c r="N716" s="4" t="str">
        <f>T1.WELL("",E713,H713,K713)</f>
        <v/>
      </c>
      <c r="O716" s="4" t="str">
        <f>T1.WELL("",E713,H713,K713)</f>
        <v/>
      </c>
      <c r="P716" s="4" t="str">
        <f>T1.WELL("",E713,H713,K713)</f>
        <v/>
      </c>
      <c r="Q716" s="4" t="str">
        <f>T1.WELL("",E713,H713,K713)</f>
        <v/>
      </c>
      <c r="R716" s="4" t="str">
        <f>T1.WELL("",E713,H713,K713)</f>
        <v/>
      </c>
      <c r="S716" s="4" t="str">
        <f>T1.WELL("",E713,H713,K713)</f>
        <v/>
      </c>
      <c r="T716" s="4" t="str">
        <f>T1.WELL("",E713,H713,K713)</f>
        <v/>
      </c>
      <c r="U716" s="4" t="str">
        <f>T1.WELL("",E713,H713,K713)</f>
        <v/>
      </c>
      <c r="V716" s="4" t="str">
        <f>T1.WELL("",E713,H713,K713)</f>
        <v/>
      </c>
      <c r="W716" s="4" t="str">
        <f>T1.WELL("",E713,H713,K713)</f>
        <v/>
      </c>
      <c r="X716" s="4" t="str">
        <f>T1.WELL("",E713,H713,K713)</f>
        <v/>
      </c>
      <c r="Y716" s="4" t="str">
        <f>T1.WELL("",E713,H713,K713)</f>
        <v/>
      </c>
      <c r="Z716" s="4" t="str">
        <f>T1.WELL("",E713,H713,K713)</f>
        <v/>
      </c>
    </row>
    <row r="717" spans="1:27" ht="11.25" hidden="1" customHeight="1">
      <c r="B717" s="1" t="s">
        <v>416</v>
      </c>
      <c r="C717" s="4" t="str">
        <f>T1.WELL("",E713,H713,K713)</f>
        <v/>
      </c>
      <c r="D717" s="4" t="str">
        <f>T1.WELL("",E713,H713,K713)</f>
        <v/>
      </c>
      <c r="E717" s="4" t="str">
        <f>T1.WELL("",E713,H713,K713)</f>
        <v/>
      </c>
      <c r="F717" s="4" t="str">
        <f>T1.WELL("",E713,H713,K713)</f>
        <v/>
      </c>
      <c r="G717" s="4" t="str">
        <f>T1.WELL("",E713,H713,K713)</f>
        <v/>
      </c>
      <c r="H717" s="4" t="str">
        <f>T1.WELL("",E713,H713,K713)</f>
        <v/>
      </c>
      <c r="I717" s="4" t="str">
        <f>T1.WELL("",E713,H713,K713)</f>
        <v/>
      </c>
      <c r="J717" s="4" t="str">
        <f>T1.WELL("",E713,H713,K713)</f>
        <v/>
      </c>
      <c r="K717" s="4" t="str">
        <f>T1.WELL("",E713,H713,K713)</f>
        <v/>
      </c>
      <c r="L717" s="4" t="str">
        <f>T1.WELL("",E713,H713,K713)</f>
        <v/>
      </c>
      <c r="M717" s="4" t="str">
        <f>T1.WELL("",E713,H713,K713)</f>
        <v/>
      </c>
      <c r="N717" s="4" t="str">
        <f>T1.WELL("",E713,H713,K713)</f>
        <v/>
      </c>
      <c r="O717" s="4" t="str">
        <f>T1.WELL("",E713,H713,K713)</f>
        <v/>
      </c>
      <c r="P717" s="4" t="str">
        <f>T1.WELL("",E713,H713,K713)</f>
        <v/>
      </c>
      <c r="Q717" s="4" t="str">
        <f>T1.WELL("",E713,H713,K713)</f>
        <v/>
      </c>
      <c r="R717" s="4" t="str">
        <f>T1.WELL("",E713,H713,K713)</f>
        <v/>
      </c>
      <c r="S717" s="4" t="str">
        <f>T1.WELL("",E713,H713,K713)</f>
        <v/>
      </c>
      <c r="T717" s="4" t="str">
        <f>T1.WELL("",E713,H713,K713)</f>
        <v/>
      </c>
      <c r="U717" s="4" t="str">
        <f>T1.WELL("",E713,H713,K713)</f>
        <v/>
      </c>
      <c r="V717" s="4" t="str">
        <f>T1.WELL("",E713,H713,K713)</f>
        <v/>
      </c>
      <c r="W717" s="4" t="str">
        <f>T1.WELL("",E713,H713,K713)</f>
        <v/>
      </c>
      <c r="X717" s="4" t="str">
        <f>T1.WELL("",E713,H713,K713)</f>
        <v/>
      </c>
      <c r="Y717" s="4" t="str">
        <f>T1.WELL("",E713,H713,K713)</f>
        <v/>
      </c>
      <c r="Z717" s="4" t="str">
        <f>T1.WELL("",E713,H713,K713)</f>
        <v/>
      </c>
    </row>
    <row r="718" spans="1:27" ht="11.25" hidden="1" customHeight="1">
      <c r="B718" s="1" t="s">
        <v>417</v>
      </c>
      <c r="C718" s="4" t="str">
        <f>T1.WELL("",E713,H713,K713)</f>
        <v/>
      </c>
      <c r="D718" s="4" t="str">
        <f>T1.WELL("",E713,H713,K713)</f>
        <v/>
      </c>
      <c r="E718" s="4" t="str">
        <f>T1.WELL("",E713,H713,K713)</f>
        <v/>
      </c>
      <c r="F718" s="4" t="str">
        <f>T1.WELL("",E713,H713,K713)</f>
        <v/>
      </c>
      <c r="G718" s="4" t="str">
        <f>T1.WELL("",E713,H713,K713)</f>
        <v/>
      </c>
      <c r="H718" s="4" t="str">
        <f>T1.WELL("",E713,H713,K713)</f>
        <v/>
      </c>
      <c r="I718" s="4" t="str">
        <f>T1.WELL("",E713,H713,K713)</f>
        <v/>
      </c>
      <c r="J718" s="4" t="str">
        <f>T1.WELL("",E713,H713,K713)</f>
        <v/>
      </c>
      <c r="K718" s="4" t="str">
        <f>T1.WELL("",E713,H713,K713)</f>
        <v/>
      </c>
      <c r="L718" s="4" t="str">
        <f>T1.WELL("",E713,H713,K713)</f>
        <v/>
      </c>
      <c r="M718" s="4" t="str">
        <f>T1.WELL("",E713,H713,K713)</f>
        <v/>
      </c>
      <c r="N718" s="4" t="str">
        <f>T1.WELL("",E713,H713,K713)</f>
        <v/>
      </c>
      <c r="O718" s="4" t="str">
        <f>T1.WELL("",E713,H713,K713)</f>
        <v/>
      </c>
      <c r="P718" s="4" t="str">
        <f>T1.WELL("",E713,H713,K713)</f>
        <v/>
      </c>
      <c r="Q718" s="4" t="str">
        <f>T1.WELL("",E713,H713,K713)</f>
        <v/>
      </c>
      <c r="R718" s="4" t="str">
        <f>T1.WELL("",E713,H713,K713)</f>
        <v/>
      </c>
      <c r="S718" s="4" t="str">
        <f>T1.WELL("",E713,H713,K713)</f>
        <v/>
      </c>
      <c r="T718" s="4" t="str">
        <f>T1.WELL("",E713,H713,K713)</f>
        <v/>
      </c>
      <c r="U718" s="4" t="str">
        <f>T1.WELL("",E713,H713,K713)</f>
        <v/>
      </c>
      <c r="V718" s="4" t="str">
        <f>T1.WELL("",E713,H713,K713)</f>
        <v/>
      </c>
      <c r="W718" s="4" t="str">
        <f>T1.WELL("",E713,H713,K713)</f>
        <v/>
      </c>
      <c r="X718" s="4" t="str">
        <f>T1.WELL("",E713,H713,K713)</f>
        <v/>
      </c>
      <c r="Y718" s="4" t="str">
        <f>T1.WELL("",E713,H713,K713)</f>
        <v/>
      </c>
      <c r="Z718" s="4" t="str">
        <f>T1.WELL("",E713,H713,K713)</f>
        <v/>
      </c>
    </row>
    <row r="719" spans="1:27" ht="11.25" hidden="1" customHeight="1">
      <c r="B719" s="1" t="s">
        <v>418</v>
      </c>
      <c r="C719" s="4" t="str">
        <f>T1.WELL("",E713,H713,K713)</f>
        <v/>
      </c>
      <c r="D719" s="4" t="str">
        <f>T1.WELL("",E713,H713,K713)</f>
        <v/>
      </c>
      <c r="E719" s="4" t="str">
        <f>T1.WELL("",E713,H713,K713)</f>
        <v/>
      </c>
      <c r="F719" s="4" t="str">
        <f>T1.WELL("",E713,H713,K713)</f>
        <v/>
      </c>
      <c r="G719" s="4" t="str">
        <f>T1.WELL("",E713,H713,K713)</f>
        <v/>
      </c>
      <c r="H719" s="4" t="str">
        <f>T1.WELL("",E713,H713,K713)</f>
        <v/>
      </c>
      <c r="I719" s="4" t="str">
        <f>T1.WELL("",E713,H713,K713)</f>
        <v/>
      </c>
      <c r="J719" s="4" t="str">
        <f>T1.WELL("",E713,H713,K713)</f>
        <v/>
      </c>
      <c r="K719" s="4" t="str">
        <f>T1.WELL("",E713,H713,K713)</f>
        <v/>
      </c>
      <c r="L719" s="4" t="str">
        <f>T1.WELL("",E713,H713,K713)</f>
        <v/>
      </c>
      <c r="M719" s="4" t="str">
        <f>T1.WELL("",E713,H713,K713)</f>
        <v/>
      </c>
      <c r="N719" s="4" t="str">
        <f>T1.WELL("",E713,H713,K713)</f>
        <v/>
      </c>
      <c r="O719" s="4" t="str">
        <f>T1.WELL("",E713,H713,K713)</f>
        <v/>
      </c>
      <c r="P719" s="4" t="str">
        <f>T1.WELL("",E713,H713,K713)</f>
        <v/>
      </c>
      <c r="Q719" s="4" t="str">
        <f>T1.WELL("",E713,H713,K713)</f>
        <v/>
      </c>
      <c r="R719" s="4" t="str">
        <f>T1.WELL("",E713,H713,K713)</f>
        <v/>
      </c>
      <c r="S719" s="4" t="str">
        <f>T1.WELL("",E713,H713,K713)</f>
        <v/>
      </c>
      <c r="T719" s="4" t="str">
        <f>T1.WELL("",E713,H713,K713)</f>
        <v/>
      </c>
      <c r="U719" s="4" t="str">
        <f>T1.WELL("",E713,H713,K713)</f>
        <v/>
      </c>
      <c r="V719" s="4" t="str">
        <f>T1.WELL("",E713,H713,K713)</f>
        <v/>
      </c>
      <c r="W719" s="4" t="str">
        <f>T1.WELL("",E713,H713,K713)</f>
        <v/>
      </c>
      <c r="X719" s="4" t="str">
        <f>T1.WELL("",E713,H713,K713)</f>
        <v/>
      </c>
      <c r="Y719" s="4" t="str">
        <f>T1.WELL("",E713,H713,K713)</f>
        <v/>
      </c>
      <c r="Z719" s="4" t="str">
        <f>T1.WELL("",E713,H713,K713)</f>
        <v/>
      </c>
    </row>
    <row r="720" spans="1:27" ht="11.25" hidden="1" customHeight="1">
      <c r="B720" s="1" t="s">
        <v>419</v>
      </c>
      <c r="C720" s="4" t="str">
        <f>T1.WELL("",E713,H713,K713)</f>
        <v/>
      </c>
      <c r="D720" s="4" t="str">
        <f>T1.WELL("",E713,H713,K713)</f>
        <v/>
      </c>
      <c r="E720" s="4" t="str">
        <f>T1.WELL("",E713,H713,K713)</f>
        <v/>
      </c>
      <c r="F720" s="4" t="str">
        <f>T1.WELL("",E713,H713,K713)</f>
        <v/>
      </c>
      <c r="G720" s="4" t="str">
        <f>T1.WELL("",E713,H713,K713)</f>
        <v/>
      </c>
      <c r="H720" s="4" t="str">
        <f>T1.WELL("",E713,H713,K713)</f>
        <v/>
      </c>
      <c r="I720" s="4" t="str">
        <f>T1.WELL("",E713,H713,K713)</f>
        <v/>
      </c>
      <c r="J720" s="4" t="str">
        <f>T1.WELL("",E713,H713,K713)</f>
        <v/>
      </c>
      <c r="K720" s="4" t="str">
        <f>T1.WELL("",E713,H713,K713)</f>
        <v/>
      </c>
      <c r="L720" s="4" t="str">
        <f>T1.WELL("",E713,H713,K713)</f>
        <v/>
      </c>
      <c r="M720" s="4" t="str">
        <f>T1.WELL("",E713,H713,K713)</f>
        <v/>
      </c>
      <c r="N720" s="4" t="str">
        <f>T1.WELL("",E713,H713,K713)</f>
        <v/>
      </c>
      <c r="O720" s="4" t="str">
        <f>T1.WELL("",E713,H713,K713)</f>
        <v/>
      </c>
      <c r="P720" s="4" t="str">
        <f>T1.WELL("",E713,H713,K713)</f>
        <v/>
      </c>
      <c r="Q720" s="4" t="str">
        <f>T1.WELL("",E713,H713,K713)</f>
        <v/>
      </c>
      <c r="R720" s="4" t="str">
        <f>T1.WELL("",E713,H713,K713)</f>
        <v/>
      </c>
      <c r="S720" s="4" t="str">
        <f>T1.WELL("",E713,H713,K713)</f>
        <v/>
      </c>
      <c r="T720" s="4" t="str">
        <f>T1.WELL("",E713,H713,K713)</f>
        <v/>
      </c>
      <c r="U720" s="4" t="str">
        <f>T1.WELL("",E713,H713,K713)</f>
        <v/>
      </c>
      <c r="V720" s="4" t="str">
        <f>T1.WELL("",E713,H713,K713)</f>
        <v/>
      </c>
      <c r="W720" s="4" t="str">
        <f>T1.WELL("",E713,H713,K713)</f>
        <v/>
      </c>
      <c r="X720" s="4" t="str">
        <f>T1.WELL("",E713,H713,K713)</f>
        <v/>
      </c>
      <c r="Y720" s="4" t="str">
        <f>T1.WELL("",E713,H713,K713)</f>
        <v/>
      </c>
      <c r="Z720" s="4" t="str">
        <f>T1.WELL("",E713,H713,K713)</f>
        <v/>
      </c>
    </row>
    <row r="721" spans="1:53" ht="11.25" hidden="1" customHeight="1">
      <c r="B721" s="1" t="s">
        <v>420</v>
      </c>
      <c r="C721" s="4" t="str">
        <f>T1.WELL("",E713,H713,K713)</f>
        <v/>
      </c>
      <c r="D721" s="4" t="str">
        <f>T1.WELL("",E713,H713,K713)</f>
        <v/>
      </c>
      <c r="E721" s="4" t="str">
        <f>T1.WELL("",E713,H713,K713)</f>
        <v/>
      </c>
      <c r="F721" s="4" t="str">
        <f>T1.WELL("",E713,H713,K713)</f>
        <v/>
      </c>
      <c r="G721" s="4" t="str">
        <f>T1.WELL("",E713,H713,K713)</f>
        <v/>
      </c>
      <c r="H721" s="4" t="str">
        <f>T1.WELL("",E713,H713,K713)</f>
        <v/>
      </c>
      <c r="I721" s="4" t="str">
        <f>T1.WELL("",E713,H713,K713)</f>
        <v/>
      </c>
      <c r="J721" s="4" t="str">
        <f>T1.WELL("",E713,H713,K713)</f>
        <v/>
      </c>
      <c r="K721" s="4" t="str">
        <f>T1.WELL("",E713,H713,K713)</f>
        <v/>
      </c>
      <c r="L721" s="4" t="str">
        <f>T1.WELL("",E713,H713,K713)</f>
        <v/>
      </c>
      <c r="M721" s="4" t="str">
        <f>T1.WELL("",E713,H713,K713)</f>
        <v/>
      </c>
      <c r="N721" s="4" t="str">
        <f>T1.WELL("",E713,H713,K713)</f>
        <v/>
      </c>
      <c r="O721" s="4" t="str">
        <f>T1.WELL("",E713,H713,K713)</f>
        <v/>
      </c>
      <c r="P721" s="4" t="str">
        <f>T1.WELL("",E713,H713,K713)</f>
        <v/>
      </c>
      <c r="Q721" s="4" t="str">
        <f>T1.WELL("",E713,H713,K713)</f>
        <v/>
      </c>
      <c r="R721" s="4" t="str">
        <f>T1.WELL("",E713,H713,K713)</f>
        <v/>
      </c>
      <c r="S721" s="4" t="str">
        <f>T1.WELL("",E713,H713,K713)</f>
        <v/>
      </c>
      <c r="T721" s="4" t="str">
        <f>T1.WELL("",E713,H713,K713)</f>
        <v/>
      </c>
      <c r="U721" s="4" t="str">
        <f>T1.WELL("",E713,H713,K713)</f>
        <v/>
      </c>
      <c r="V721" s="4" t="str">
        <f>T1.WELL("",E713,H713,K713)</f>
        <v/>
      </c>
      <c r="W721" s="4" t="str">
        <f>T1.WELL("",E713,H713,K713)</f>
        <v/>
      </c>
      <c r="X721" s="4" t="str">
        <f>T1.WELL("",E713,H713,K713)</f>
        <v/>
      </c>
      <c r="Y721" s="4" t="str">
        <f>T1.WELL("",E713,H713,K713)</f>
        <v/>
      </c>
      <c r="Z721" s="4" t="str">
        <f>T1.WELL("",E713,H713,K713)</f>
        <v/>
      </c>
    </row>
    <row r="722" spans="1:53" ht="11.25" hidden="1" customHeight="1">
      <c r="B722" s="1" t="s">
        <v>421</v>
      </c>
      <c r="C722" s="4" t="str">
        <f>T1.WELL("",E713,H713,K713)</f>
        <v/>
      </c>
      <c r="D722" s="4" t="str">
        <f>T1.WELL("",E713,H713,K713)</f>
        <v/>
      </c>
      <c r="E722" s="4" t="str">
        <f>T1.WELL("",E713,H713,K713)</f>
        <v/>
      </c>
      <c r="F722" s="4" t="str">
        <f>T1.WELL("",E713,H713,K713)</f>
        <v/>
      </c>
      <c r="G722" s="4" t="str">
        <f>T1.WELL("",E713,H713,K713)</f>
        <v/>
      </c>
      <c r="H722" s="4" t="str">
        <f>T1.WELL("",E713,H713,K713)</f>
        <v/>
      </c>
      <c r="I722" s="4" t="str">
        <f>T1.WELL("",E713,H713,K713)</f>
        <v/>
      </c>
      <c r="J722" s="4" t="str">
        <f>T1.WELL("",E713,H713,K713)</f>
        <v/>
      </c>
      <c r="K722" s="4" t="str">
        <f>T1.WELL("",E713,H713,K713)</f>
        <v/>
      </c>
      <c r="L722" s="4" t="str">
        <f>T1.WELL("",E713,H713,K713)</f>
        <v/>
      </c>
      <c r="M722" s="4" t="str">
        <f>T1.WELL("",E713,H713,K713)</f>
        <v/>
      </c>
      <c r="N722" s="4" t="str">
        <f>T1.WELL("",E713,H713,K713)</f>
        <v/>
      </c>
      <c r="O722" s="4" t="str">
        <f>T1.WELL("",E713,H713,K713)</f>
        <v/>
      </c>
      <c r="P722" s="4" t="str">
        <f>T1.WELL("",E713,H713,K713)</f>
        <v/>
      </c>
      <c r="Q722" s="4" t="str">
        <f>T1.WELL("",E713,H713,K713)</f>
        <v/>
      </c>
      <c r="R722" s="4" t="str">
        <f>T1.WELL("",E713,H713,K713)</f>
        <v/>
      </c>
      <c r="S722" s="4" t="str">
        <f>T1.WELL("",E713,H713,K713)</f>
        <v/>
      </c>
      <c r="T722" s="4" t="str">
        <f>T1.WELL("",E713,H713,K713)</f>
        <v/>
      </c>
      <c r="U722" s="4" t="str">
        <f>T1.WELL("",E713,H713,K713)</f>
        <v/>
      </c>
      <c r="V722" s="4" t="str">
        <f>T1.WELL("",E713,H713,K713)</f>
        <v/>
      </c>
      <c r="W722" s="4" t="str">
        <f>T1.WELL("",E713,H713,K713)</f>
        <v/>
      </c>
      <c r="X722" s="4" t="str">
        <f>T1.WELL("",E713,H713,K713)</f>
        <v/>
      </c>
      <c r="Y722" s="4" t="str">
        <f>T1.WELL("",E713,H713,K713)</f>
        <v/>
      </c>
      <c r="Z722" s="4" t="str">
        <f>T1.WELL("",E713,H713,K713)</f>
        <v/>
      </c>
    </row>
    <row r="723" spans="1:53" ht="11.25" hidden="1" customHeight="1">
      <c r="B723" s="1" t="s">
        <v>422</v>
      </c>
      <c r="C723" s="4" t="str">
        <f>T1.WELL("",E713,H713,K713)</f>
        <v/>
      </c>
      <c r="D723" s="4" t="str">
        <f>T1.WELL("",E713,H713,K713)</f>
        <v/>
      </c>
      <c r="E723" s="4" t="str">
        <f>T1.WELL("",E713,H713,K713)</f>
        <v/>
      </c>
      <c r="F723" s="4" t="str">
        <f>T1.WELL("",E713,H713,K713)</f>
        <v/>
      </c>
      <c r="G723" s="4" t="str">
        <f>T1.WELL("",E713,H713,K713)</f>
        <v/>
      </c>
      <c r="H723" s="4" t="str">
        <f>T1.WELL("",E713,H713,K713)</f>
        <v/>
      </c>
      <c r="I723" s="4" t="str">
        <f>T1.WELL("",E713,H713,K713)</f>
        <v/>
      </c>
      <c r="J723" s="4" t="str">
        <f>T1.WELL("",E713,H713,K713)</f>
        <v/>
      </c>
      <c r="K723" s="4" t="str">
        <f>T1.WELL("",E713,H713,K713)</f>
        <v/>
      </c>
      <c r="L723" s="4" t="str">
        <f>T1.WELL("",E713,H713,K713)</f>
        <v/>
      </c>
      <c r="M723" s="4" t="str">
        <f>T1.WELL("",E713,H713,K713)</f>
        <v/>
      </c>
      <c r="N723" s="4" t="str">
        <f>T1.WELL("",E713,H713,K713)</f>
        <v/>
      </c>
      <c r="O723" s="4" t="str">
        <f>T1.WELL("",E713,H713,K713)</f>
        <v/>
      </c>
      <c r="P723" s="4" t="str">
        <f>T1.WELL("",E713,H713,K713)</f>
        <v/>
      </c>
      <c r="Q723" s="4" t="str">
        <f>T1.WELL("",E713,H713,K713)</f>
        <v/>
      </c>
      <c r="R723" s="4" t="str">
        <f>T1.WELL("",E713,H713,K713)</f>
        <v/>
      </c>
      <c r="S723" s="4" t="str">
        <f>T1.WELL("",E713,H713,K713)</f>
        <v/>
      </c>
      <c r="T723" s="4" t="str">
        <f>T1.WELL("",E713,H713,K713)</f>
        <v/>
      </c>
      <c r="U723" s="4" t="str">
        <f>T1.WELL("",E713,H713,K713)</f>
        <v/>
      </c>
      <c r="V723" s="4" t="str">
        <f>T1.WELL("",E713,H713,K713)</f>
        <v/>
      </c>
      <c r="W723" s="4" t="str">
        <f>T1.WELL("",E713,H713,K713)</f>
        <v/>
      </c>
      <c r="X723" s="4" t="str">
        <f>T1.WELL("",E713,H713,K713)</f>
        <v/>
      </c>
      <c r="Y723" s="4" t="str">
        <f>T1.WELL("",E713,H713,K713)</f>
        <v/>
      </c>
      <c r="Z723" s="4" t="str">
        <f>T1.WELL("",E713,H713,K713)</f>
        <v/>
      </c>
    </row>
    <row r="724" spans="1:53" ht="11.25" hidden="1" customHeight="1">
      <c r="B724" s="1" t="s">
        <v>423</v>
      </c>
      <c r="C724" s="4" t="str">
        <f>T1.WELL("",E713,H713,K713)</f>
        <v/>
      </c>
      <c r="D724" s="4" t="str">
        <f>T1.WELL("",E713,H713,K713)</f>
        <v/>
      </c>
      <c r="E724" s="4" t="str">
        <f>T1.WELL("",E713,H713,K713)</f>
        <v/>
      </c>
      <c r="F724" s="4" t="str">
        <f>T1.WELL("",E713,H713,K713)</f>
        <v/>
      </c>
      <c r="G724" s="4" t="str">
        <f>T1.WELL("",E713,H713,K713)</f>
        <v/>
      </c>
      <c r="H724" s="4" t="str">
        <f>T1.WELL("",E713,H713,K713)</f>
        <v/>
      </c>
      <c r="I724" s="4" t="str">
        <f>T1.WELL("",E713,H713,K713)</f>
        <v/>
      </c>
      <c r="J724" s="4" t="str">
        <f>T1.WELL("",E713,H713,K713)</f>
        <v/>
      </c>
      <c r="K724" s="4" t="str">
        <f>T1.WELL("",E713,H713,K713)</f>
        <v/>
      </c>
      <c r="L724" s="4" t="str">
        <f>T1.WELL("",E713,H713,K713)</f>
        <v/>
      </c>
      <c r="M724" s="4" t="str">
        <f>T1.WELL("",E713,H713,K713)</f>
        <v/>
      </c>
      <c r="N724" s="4" t="str">
        <f>T1.WELL("",E713,H713,K713)</f>
        <v/>
      </c>
      <c r="O724" s="4" t="str">
        <f>T1.WELL("",E713,H713,K713)</f>
        <v/>
      </c>
      <c r="P724" s="4" t="str">
        <f>T1.WELL("",E713,H713,K713)</f>
        <v/>
      </c>
      <c r="Q724" s="4" t="str">
        <f>T1.WELL("",E713,H713,K713)</f>
        <v/>
      </c>
      <c r="R724" s="4" t="str">
        <f>T1.WELL("",E713,H713,K713)</f>
        <v/>
      </c>
      <c r="S724" s="4" t="str">
        <f>T1.WELL("",E713,H713,K713)</f>
        <v/>
      </c>
      <c r="T724" s="4" t="str">
        <f>T1.WELL("",E713,H713,K713)</f>
        <v/>
      </c>
      <c r="U724" s="4" t="str">
        <f>T1.WELL("",E713,H713,K713)</f>
        <v/>
      </c>
      <c r="V724" s="4" t="str">
        <f>T1.WELL("",E713,H713,K713)</f>
        <v/>
      </c>
      <c r="W724" s="4" t="str">
        <f>T1.WELL("",E713,H713,K713)</f>
        <v/>
      </c>
      <c r="X724" s="4" t="str">
        <f>T1.WELL("",E713,H713,K713)</f>
        <v/>
      </c>
      <c r="Y724" s="4" t="str">
        <f>T1.WELL("",E713,H713,K713)</f>
        <v/>
      </c>
      <c r="Z724" s="4" t="str">
        <f>T1.WELL("",E713,H713,K713)</f>
        <v/>
      </c>
    </row>
    <row r="725" spans="1:53" ht="11.25" hidden="1" customHeight="1">
      <c r="B725" s="1" t="s">
        <v>424</v>
      </c>
      <c r="C725" s="4" t="str">
        <f>T1.WELL("",E713,H713,K713)</f>
        <v/>
      </c>
      <c r="D725" s="4" t="str">
        <f>T1.WELL("",E713,H713,K713)</f>
        <v/>
      </c>
      <c r="E725" s="4" t="str">
        <f>T1.WELL("",E713,H713,K713)</f>
        <v/>
      </c>
      <c r="F725" s="4" t="str">
        <f>T1.WELL("",E713,H713,K713)</f>
        <v/>
      </c>
      <c r="G725" s="4" t="str">
        <f>T1.WELL("",E713,H713,K713)</f>
        <v/>
      </c>
      <c r="H725" s="4" t="str">
        <f>T1.WELL("",E713,H713,K713)</f>
        <v/>
      </c>
      <c r="I725" s="4" t="str">
        <f>T1.WELL("",E713,H713,K713)</f>
        <v/>
      </c>
      <c r="J725" s="4" t="str">
        <f>T1.WELL("",E713,H713,K713)</f>
        <v/>
      </c>
      <c r="K725" s="4" t="str">
        <f>T1.WELL("",E713,H713,K713)</f>
        <v/>
      </c>
      <c r="L725" s="4" t="str">
        <f>T1.WELL("",E713,H713,K713)</f>
        <v/>
      </c>
      <c r="M725" s="4" t="str">
        <f>T1.WELL("",E713,H713,K713)</f>
        <v/>
      </c>
      <c r="N725" s="4" t="str">
        <f>T1.WELL("",E713,H713,K713)</f>
        <v/>
      </c>
      <c r="O725" s="4" t="str">
        <f>T1.WELL("",E713,H713,K713)</f>
        <v/>
      </c>
      <c r="P725" s="4" t="str">
        <f>T1.WELL("",E713,H713,K713)</f>
        <v/>
      </c>
      <c r="Q725" s="4" t="str">
        <f>T1.WELL("",E713,H713,K713)</f>
        <v/>
      </c>
      <c r="R725" s="4" t="str">
        <f>T1.WELL("",E713,H713,K713)</f>
        <v/>
      </c>
      <c r="S725" s="4" t="str">
        <f>T1.WELL("",E713,H713,K713)</f>
        <v/>
      </c>
      <c r="T725" s="4" t="str">
        <f>T1.WELL("",E713,H713,K713)</f>
        <v/>
      </c>
      <c r="U725" s="4" t="str">
        <f>T1.WELL("",E713,H713,K713)</f>
        <v/>
      </c>
      <c r="V725" s="4" t="str">
        <f>T1.WELL("",E713,H713,K713)</f>
        <v/>
      </c>
      <c r="W725" s="4" t="str">
        <f>T1.WELL("",E713,H713,K713)</f>
        <v/>
      </c>
      <c r="X725" s="4" t="str">
        <f>T1.WELL("",E713,H713,K713)</f>
        <v/>
      </c>
      <c r="Y725" s="4" t="str">
        <f>T1.WELL("",E713,H713,K713)</f>
        <v/>
      </c>
      <c r="Z725" s="4" t="str">
        <f>T1.WELL("",E713,H713,K713)</f>
        <v/>
      </c>
    </row>
    <row r="726" spans="1:53" ht="11.25" hidden="1" customHeight="1">
      <c r="B726" s="1" t="s">
        <v>425</v>
      </c>
      <c r="C726" s="4" t="str">
        <f>T1.WELL("",E713,H713,K713)</f>
        <v/>
      </c>
      <c r="D726" s="4" t="str">
        <f>T1.WELL("",E713,H713,K713)</f>
        <v/>
      </c>
      <c r="E726" s="4" t="str">
        <f>T1.WELL("",E713,H713,K713)</f>
        <v/>
      </c>
      <c r="F726" s="4" t="str">
        <f>T1.WELL("",E713,H713,K713)</f>
        <v/>
      </c>
      <c r="G726" s="4" t="str">
        <f>T1.WELL("",E713,H713,K713)</f>
        <v/>
      </c>
      <c r="H726" s="4" t="str">
        <f>T1.WELL("",E713,H713,K713)</f>
        <v/>
      </c>
      <c r="I726" s="4" t="str">
        <f>T1.WELL("",E713,H713,K713)</f>
        <v/>
      </c>
      <c r="J726" s="4" t="str">
        <f>T1.WELL("",E713,H713,K713)</f>
        <v/>
      </c>
      <c r="K726" s="4" t="str">
        <f>T1.WELL("",E713,H713,K713)</f>
        <v/>
      </c>
      <c r="L726" s="4" t="str">
        <f>T1.WELL("",E713,H713,K713)</f>
        <v/>
      </c>
      <c r="M726" s="4" t="str">
        <f>T1.WELL("",E713,H713,K713)</f>
        <v/>
      </c>
      <c r="N726" s="4" t="str">
        <f>T1.WELL("",E713,H713,K713)</f>
        <v/>
      </c>
      <c r="O726" s="4" t="str">
        <f>T1.WELL("",E713,H713,K713)</f>
        <v/>
      </c>
      <c r="P726" s="4" t="str">
        <f>T1.WELL("",E713,H713,K713)</f>
        <v/>
      </c>
      <c r="Q726" s="4" t="str">
        <f>T1.WELL("",E713,H713,K713)</f>
        <v/>
      </c>
      <c r="R726" s="4" t="str">
        <f>T1.WELL("",E713,H713,K713)</f>
        <v/>
      </c>
      <c r="S726" s="4" t="str">
        <f>T1.WELL("",E713,H713,K713)</f>
        <v/>
      </c>
      <c r="T726" s="4" t="str">
        <f>T1.WELL("",E713,H713,K713)</f>
        <v/>
      </c>
      <c r="U726" s="4" t="str">
        <f>T1.WELL("",E713,H713,K713)</f>
        <v/>
      </c>
      <c r="V726" s="4" t="str">
        <f>T1.WELL("",E713,H713,K713)</f>
        <v/>
      </c>
      <c r="W726" s="4" t="str">
        <f>T1.WELL("",E713,H713,K713)</f>
        <v/>
      </c>
      <c r="X726" s="4" t="str">
        <f>T1.WELL("",E713,H713,K713)</f>
        <v/>
      </c>
      <c r="Y726" s="4" t="str">
        <f>T1.WELL("",E713,H713,K713)</f>
        <v/>
      </c>
      <c r="Z726" s="4" t="str">
        <f>T1.WELL("",E713,H713,K713)</f>
        <v/>
      </c>
    </row>
    <row r="727" spans="1:53" ht="11.25" hidden="1" customHeight="1">
      <c r="B727" s="1" t="s">
        <v>426</v>
      </c>
      <c r="C727" s="4" t="str">
        <f>T1.WELL("",E713,H713,K713)</f>
        <v/>
      </c>
      <c r="D727" s="4" t="str">
        <f>T1.WELL("",E713,H713,K713)</f>
        <v/>
      </c>
      <c r="E727" s="4" t="str">
        <f>T1.WELL("",E713,H713,K713)</f>
        <v/>
      </c>
      <c r="F727" s="4" t="str">
        <f>T1.WELL("",E713,H713,K713)</f>
        <v/>
      </c>
      <c r="G727" s="4" t="str">
        <f>T1.WELL("",E713,H713,K713)</f>
        <v/>
      </c>
      <c r="H727" s="4" t="str">
        <f>T1.WELL("",E713,H713,K713)</f>
        <v/>
      </c>
      <c r="I727" s="4" t="str">
        <f>T1.WELL("",E713,H713,K713)</f>
        <v/>
      </c>
      <c r="J727" s="4" t="str">
        <f>T1.WELL("",E713,H713,K713)</f>
        <v/>
      </c>
      <c r="K727" s="4" t="str">
        <f>T1.WELL("",E713,H713,K713)</f>
        <v/>
      </c>
      <c r="L727" s="4" t="str">
        <f>T1.WELL("",E713,H713,K713)</f>
        <v/>
      </c>
      <c r="M727" s="4" t="str">
        <f>T1.WELL("",E713,H713,K713)</f>
        <v/>
      </c>
      <c r="N727" s="4" t="str">
        <f>T1.WELL("",E713,H713,K713)</f>
        <v/>
      </c>
      <c r="O727" s="4" t="str">
        <f>T1.WELL("",E713,H713,K713)</f>
        <v/>
      </c>
      <c r="P727" s="4" t="str">
        <f>T1.WELL("",E713,H713,K713)</f>
        <v/>
      </c>
      <c r="Q727" s="4" t="str">
        <f>T1.WELL("",E713,H713,K713)</f>
        <v/>
      </c>
      <c r="R727" s="4" t="str">
        <f>T1.WELL("",E713,H713,K713)</f>
        <v/>
      </c>
      <c r="S727" s="4" t="str">
        <f>T1.WELL("",E713,H713,K713)</f>
        <v/>
      </c>
      <c r="T727" s="4" t="str">
        <f>T1.WELL("",E713,H713,K713)</f>
        <v/>
      </c>
      <c r="U727" s="4" t="str">
        <f>T1.WELL("",E713,H713,K713)</f>
        <v/>
      </c>
      <c r="V727" s="4" t="str">
        <f>T1.WELL("",E713,H713,K713)</f>
        <v/>
      </c>
      <c r="W727" s="4" t="str">
        <f>T1.WELL("",E713,H713,K713)</f>
        <v/>
      </c>
      <c r="X727" s="4" t="str">
        <f>T1.WELL("",E713,H713,K713)</f>
        <v/>
      </c>
      <c r="Y727" s="4" t="str">
        <f>T1.WELL("",E713,H713,K713)</f>
        <v/>
      </c>
      <c r="Z727" s="4" t="str">
        <f>T1.WELL("",E713,H713,K713)</f>
        <v/>
      </c>
    </row>
    <row r="728" spans="1:53" ht="11.25" hidden="1" customHeight="1">
      <c r="B728" s="1" t="s">
        <v>427</v>
      </c>
      <c r="C728" s="4" t="str">
        <f>T1.WELL("",E713,H713,K713)</f>
        <v/>
      </c>
      <c r="D728" s="4" t="str">
        <f>T1.WELL("",E713,H713,K713)</f>
        <v/>
      </c>
      <c r="E728" s="4" t="str">
        <f>T1.WELL("",E713,H713,K713)</f>
        <v/>
      </c>
      <c r="F728" s="4" t="str">
        <f>T1.WELL("",E713,H713,K713)</f>
        <v/>
      </c>
      <c r="G728" s="4" t="str">
        <f>T1.WELL("",E713,H713,K713)</f>
        <v/>
      </c>
      <c r="H728" s="4" t="str">
        <f>T1.WELL("",E713,H713,K713)</f>
        <v/>
      </c>
      <c r="I728" s="4" t="str">
        <f>T1.WELL("",E713,H713,K713)</f>
        <v/>
      </c>
      <c r="J728" s="4" t="str">
        <f>T1.WELL("",E713,H713,K713)</f>
        <v/>
      </c>
      <c r="K728" s="4" t="str">
        <f>T1.WELL("",E713,H713,K713)</f>
        <v/>
      </c>
      <c r="L728" s="4" t="str">
        <f>T1.WELL("",E713,H713,K713)</f>
        <v/>
      </c>
      <c r="M728" s="4" t="str">
        <f>T1.WELL("",E713,H713,K713)</f>
        <v/>
      </c>
      <c r="N728" s="4" t="str">
        <f>T1.WELL("",E713,H713,K713)</f>
        <v/>
      </c>
      <c r="O728" s="4" t="str">
        <f>T1.WELL("",E713,H713,K713)</f>
        <v/>
      </c>
      <c r="P728" s="4" t="str">
        <f>T1.WELL("",E713,H713,K713)</f>
        <v/>
      </c>
      <c r="Q728" s="4" t="str">
        <f>T1.WELL("",E713,H713,K713)</f>
        <v/>
      </c>
      <c r="R728" s="4" t="str">
        <f>T1.WELL("",E713,H713,K713)</f>
        <v/>
      </c>
      <c r="S728" s="4" t="str">
        <f>T1.WELL("",E713,H713,K713)</f>
        <v/>
      </c>
      <c r="T728" s="4" t="str">
        <f>T1.WELL("",E713,H713,K713)</f>
        <v/>
      </c>
      <c r="U728" s="4" t="str">
        <f>T1.WELL("",E713,H713,K713)</f>
        <v/>
      </c>
      <c r="V728" s="4" t="str">
        <f>T1.WELL("",E713,H713,K713)</f>
        <v/>
      </c>
      <c r="W728" s="4" t="str">
        <f>T1.WELL("",E713,H713,K713)</f>
        <v/>
      </c>
      <c r="X728" s="4" t="str">
        <f>T1.WELL("",E713,H713,K713)</f>
        <v/>
      </c>
      <c r="Y728" s="4" t="str">
        <f>T1.WELL("",E713,H713,K713)</f>
        <v/>
      </c>
      <c r="Z728" s="4" t="str">
        <f>T1.WELL("",E713,H713,K713)</f>
        <v/>
      </c>
    </row>
    <row r="729" spans="1:53" ht="11.25" hidden="1" customHeight="1">
      <c r="B729" s="1" t="s">
        <v>428</v>
      </c>
      <c r="C729" s="4" t="str">
        <f>T1.WELL("",E713,H713,K713)</f>
        <v/>
      </c>
      <c r="D729" s="4" t="str">
        <f>T1.WELL("",E713,H713,K713)</f>
        <v/>
      </c>
      <c r="E729" s="4" t="str">
        <f>T1.WELL("",E713,H713,K713)</f>
        <v/>
      </c>
      <c r="F729" s="4" t="str">
        <f>T1.WELL("",E713,H713,K713)</f>
        <v/>
      </c>
      <c r="G729" s="4" t="str">
        <f>T1.WELL("",E713,H713,K713)</f>
        <v/>
      </c>
      <c r="H729" s="4" t="str">
        <f>T1.WELL("",E713,H713,K713)</f>
        <v/>
      </c>
      <c r="I729" s="4" t="str">
        <f>T1.WELL("",E713,H713,K713)</f>
        <v/>
      </c>
      <c r="J729" s="4" t="str">
        <f>T1.WELL("",E713,H713,K713)</f>
        <v/>
      </c>
      <c r="K729" s="4" t="str">
        <f>T1.WELL("",E713,H713,K713)</f>
        <v/>
      </c>
      <c r="L729" s="4" t="str">
        <f>T1.WELL("",E713,H713,K713)</f>
        <v/>
      </c>
      <c r="M729" s="4" t="str">
        <f>T1.WELL("",E713,H713,K713)</f>
        <v/>
      </c>
      <c r="N729" s="4" t="str">
        <f>T1.WELL("",E713,H713,K713)</f>
        <v/>
      </c>
      <c r="O729" s="4" t="str">
        <f>T1.WELL("",E713,H713,K713)</f>
        <v/>
      </c>
      <c r="P729" s="4" t="str">
        <f>T1.WELL("",E713,H713,K713)</f>
        <v/>
      </c>
      <c r="Q729" s="4" t="str">
        <f>T1.WELL("",E713,H713,K713)</f>
        <v/>
      </c>
      <c r="R729" s="4" t="str">
        <f>T1.WELL("",E713,H713,K713)</f>
        <v/>
      </c>
      <c r="S729" s="4" t="str">
        <f>T1.WELL("",E713,H713,K713)</f>
        <v/>
      </c>
      <c r="T729" s="4" t="str">
        <f>T1.WELL("",E713,H713,K713)</f>
        <v/>
      </c>
      <c r="U729" s="4" t="str">
        <f>T1.WELL("",E713,H713,K713)</f>
        <v/>
      </c>
      <c r="V729" s="4" t="str">
        <f>T1.WELL("",E713,H713,K713)</f>
        <v/>
      </c>
      <c r="W729" s="4" t="str">
        <f>T1.WELL("",E713,H713,K713)</f>
        <v/>
      </c>
      <c r="X729" s="4" t="str">
        <f>T1.WELL("",E713,H713,K713)</f>
        <v/>
      </c>
      <c r="Y729" s="4" t="str">
        <f>T1.WELL("",E713,H713,K713)</f>
        <v/>
      </c>
      <c r="Z729" s="4" t="str">
        <f>T1.WELL("",E713,H713,K713)</f>
        <v/>
      </c>
    </row>
    <row r="730" spans="1:53" ht="11.25" hidden="1" customHeight="1">
      <c r="B730" s="1" t="s">
        <v>429</v>
      </c>
      <c r="C730" s="4" t="str">
        <f>T1.WELL("",E713,H713,K713)</f>
        <v/>
      </c>
      <c r="D730" s="4" t="str">
        <f>T1.WELL("",E713,H713,K713)</f>
        <v/>
      </c>
      <c r="E730" s="4" t="str">
        <f>T1.WELL("",E713,H713,K713)</f>
        <v/>
      </c>
      <c r="F730" s="4" t="str">
        <f>T1.WELL("",E713,H713,K713)</f>
        <v/>
      </c>
      <c r="G730" s="4" t="str">
        <f>T1.WELL("",E713,H713,K713)</f>
        <v/>
      </c>
      <c r="H730" s="4" t="str">
        <f>T1.WELL("",E713,H713,K713)</f>
        <v/>
      </c>
      <c r="I730" s="4" t="str">
        <f>T1.WELL("",E713,H713,K713)</f>
        <v/>
      </c>
      <c r="J730" s="4" t="str">
        <f>T1.WELL("",E713,H713,K713)</f>
        <v/>
      </c>
      <c r="K730" s="4" t="str">
        <f>T1.WELL("",E713,H713,K713)</f>
        <v/>
      </c>
      <c r="L730" s="4" t="str">
        <f>T1.WELL("",E713,H713,K713)</f>
        <v/>
      </c>
      <c r="M730" s="4" t="str">
        <f>T1.WELL("",E713,H713,K713)</f>
        <v/>
      </c>
      <c r="N730" s="4" t="str">
        <f>T1.WELL("",E713,H713,K713)</f>
        <v/>
      </c>
      <c r="O730" s="4" t="str">
        <f>T1.WELL("",E713,H713,K713)</f>
        <v/>
      </c>
      <c r="P730" s="4" t="str">
        <f>T1.WELL("",E713,H713,K713)</f>
        <v/>
      </c>
      <c r="Q730" s="4" t="str">
        <f>T1.WELL("",E713,H713,K713)</f>
        <v/>
      </c>
      <c r="R730" s="4" t="str">
        <f>T1.WELL("",E713,H713,K713)</f>
        <v/>
      </c>
      <c r="S730" s="4" t="str">
        <f>T1.WELL("",E713,H713,K713)</f>
        <v/>
      </c>
      <c r="T730" s="4" t="str">
        <f>T1.WELL("",E713,H713,K713)</f>
        <v/>
      </c>
      <c r="U730" s="4" t="str">
        <f>T1.WELL("",E713,H713,K713)</f>
        <v/>
      </c>
      <c r="V730" s="4" t="str">
        <f>T1.WELL("",E713,H713,K713)</f>
        <v/>
      </c>
      <c r="W730" s="4" t="str">
        <f>T1.WELL("",E713,H713,K713)</f>
        <v/>
      </c>
      <c r="X730" s="4" t="str">
        <f>T1.WELL("",E713,H713,K713)</f>
        <v/>
      </c>
      <c r="Y730" s="4" t="str">
        <f>T1.WELL("",E713,H713,K713)</f>
        <v/>
      </c>
      <c r="Z730" s="4" t="str">
        <f>T1.WELL("",E713,H713,K713)</f>
        <v/>
      </c>
    </row>
    <row r="731" spans="1:53" ht="11.25" hidden="1" customHeight="1">
      <c r="B731" s="1" t="s">
        <v>430</v>
      </c>
      <c r="C731" s="4" t="str">
        <f>T1.WELL("",E713,H713,K713)</f>
        <v/>
      </c>
      <c r="D731" s="4" t="str">
        <f>T1.WELL("",E713,H713,K713)</f>
        <v/>
      </c>
      <c r="E731" s="4" t="str">
        <f>T1.WELL("",E713,H713,K713)</f>
        <v/>
      </c>
      <c r="F731" s="4" t="str">
        <f>T1.WELL("",E713,H713,K713)</f>
        <v/>
      </c>
      <c r="G731" s="4" t="str">
        <f>T1.WELL("",E713,H713,K713)</f>
        <v/>
      </c>
      <c r="H731" s="4" t="str">
        <f>T1.WELL("",E713,H713,K713)</f>
        <v/>
      </c>
      <c r="I731" s="4" t="str">
        <f>T1.WELL("",E713,H713,K713)</f>
        <v/>
      </c>
      <c r="J731" s="4" t="str">
        <f>T1.WELL("",E713,H713,K713)</f>
        <v/>
      </c>
      <c r="K731" s="4" t="str">
        <f>T1.WELL("",E713,H713,K713)</f>
        <v/>
      </c>
      <c r="L731" s="4" t="str">
        <f>T1.WELL("",E713,H713,K713)</f>
        <v/>
      </c>
      <c r="M731" s="4" t="str">
        <f>T1.WELL("",E713,H713,K713)</f>
        <v/>
      </c>
      <c r="N731" s="4" t="str">
        <f>T1.WELL("",E713,H713,K713)</f>
        <v/>
      </c>
      <c r="O731" s="4" t="str">
        <f>T1.WELL("",E713,H713,K713)</f>
        <v/>
      </c>
      <c r="P731" s="4" t="str">
        <f>T1.WELL("",E713,H713,K713)</f>
        <v/>
      </c>
      <c r="Q731" s="4" t="str">
        <f>T1.WELL("",E713,H713,K713)</f>
        <v/>
      </c>
      <c r="R731" s="4" t="str">
        <f>T1.WELL("",E713,H713,K713)</f>
        <v/>
      </c>
      <c r="S731" s="4" t="str">
        <f>T1.WELL("",E713,H713,K713)</f>
        <v/>
      </c>
      <c r="T731" s="4" t="str">
        <f>T1.WELL("",E713,H713,K713)</f>
        <v/>
      </c>
      <c r="U731" s="4" t="str">
        <f>T1.WELL("",E713,H713,K713)</f>
        <v/>
      </c>
      <c r="V731" s="4" t="str">
        <f>T1.WELL("",E713,H713,K713)</f>
        <v/>
      </c>
      <c r="W731" s="4" t="str">
        <f>T1.WELL("",E713,H713,K713)</f>
        <v/>
      </c>
      <c r="X731" s="4" t="str">
        <f>T1.WELL("",E713,H713,K713)</f>
        <v/>
      </c>
      <c r="Y731" s="4" t="str">
        <f>T1.WELL("",E713,H713,K713)</f>
        <v/>
      </c>
      <c r="Z731" s="4" t="str">
        <f>T1.WELL("",E713,H713,K713)</f>
        <v/>
      </c>
    </row>
    <row r="732" spans="1:53" ht="11.25" customHeight="1">
      <c r="D732" s="31"/>
      <c r="E732" s="3"/>
      <c r="F732" s="8"/>
      <c r="G732" s="31"/>
    </row>
    <row r="733" spans="1:53" s="66" customFormat="1" ht="11.25" customHeight="1">
      <c r="A733" s="66" t="s">
        <v>2035</v>
      </c>
      <c r="D733" s="67" t="s">
        <v>2063</v>
      </c>
      <c r="E733" s="68" t="s">
        <v>812</v>
      </c>
      <c r="G733" s="67" t="s">
        <v>816</v>
      </c>
      <c r="H733" s="66" t="s">
        <v>822</v>
      </c>
      <c r="I733" s="67"/>
      <c r="J733" s="67" t="s">
        <v>807</v>
      </c>
      <c r="K733" s="68" t="e">
        <f>T1.role("CPD*",E733,"+2sd")</f>
        <v>#REF!</v>
      </c>
    </row>
    <row r="734" spans="1:53" s="35" customFormat="1" ht="11.25" hidden="1" customHeight="1">
      <c r="A734" s="26"/>
      <c r="B734" s="26"/>
      <c r="C734" s="34"/>
      <c r="D734" s="34"/>
      <c r="H734" s="34"/>
    </row>
    <row r="735" spans="1:53" ht="11.25" hidden="1" customHeight="1">
      <c r="B735" s="36" t="s">
        <v>392</v>
      </c>
      <c r="C735" s="37">
        <v>1</v>
      </c>
      <c r="D735" s="37">
        <v>2</v>
      </c>
      <c r="E735" s="37">
        <v>3</v>
      </c>
      <c r="F735" s="37">
        <v>4</v>
      </c>
      <c r="G735" s="37">
        <v>5</v>
      </c>
      <c r="H735" s="37">
        <v>6</v>
      </c>
      <c r="I735" s="37">
        <v>7</v>
      </c>
      <c r="J735" s="37">
        <v>8</v>
      </c>
      <c r="K735" s="37">
        <v>9</v>
      </c>
      <c r="L735" s="37">
        <v>10</v>
      </c>
      <c r="M735" s="37">
        <v>11</v>
      </c>
      <c r="N735" s="37">
        <v>12</v>
      </c>
      <c r="O735" s="37">
        <v>13</v>
      </c>
      <c r="P735" s="37">
        <v>14</v>
      </c>
      <c r="Q735" s="37">
        <v>15</v>
      </c>
      <c r="R735" s="37">
        <v>16</v>
      </c>
      <c r="S735" s="37">
        <v>17</v>
      </c>
      <c r="T735" s="37">
        <v>18</v>
      </c>
      <c r="U735" s="37">
        <v>19</v>
      </c>
      <c r="V735" s="37">
        <v>20</v>
      </c>
      <c r="W735" s="37">
        <v>21</v>
      </c>
      <c r="X735" s="37">
        <v>22</v>
      </c>
      <c r="Y735" s="37">
        <v>23</v>
      </c>
      <c r="Z735" s="37">
        <v>24</v>
      </c>
      <c r="AA735" s="37">
        <v>25</v>
      </c>
      <c r="AB735" s="37">
        <v>26</v>
      </c>
      <c r="AC735" s="37">
        <v>27</v>
      </c>
      <c r="AD735" s="37">
        <v>28</v>
      </c>
      <c r="AE735" s="37">
        <v>29</v>
      </c>
      <c r="AF735" s="37">
        <v>30</v>
      </c>
      <c r="AG735" s="37">
        <v>31</v>
      </c>
      <c r="AH735" s="37">
        <v>32</v>
      </c>
      <c r="AI735" s="37">
        <v>33</v>
      </c>
      <c r="AJ735" s="37">
        <v>34</v>
      </c>
      <c r="AK735" s="37">
        <v>35</v>
      </c>
      <c r="AL735" s="37">
        <v>36</v>
      </c>
      <c r="AM735" s="37">
        <v>37</v>
      </c>
      <c r="AN735" s="37">
        <v>38</v>
      </c>
      <c r="AO735" s="37">
        <v>39</v>
      </c>
      <c r="AP735" s="37">
        <v>40</v>
      </c>
      <c r="AQ735" s="37">
        <v>41</v>
      </c>
      <c r="AR735" s="37">
        <v>42</v>
      </c>
      <c r="AS735" s="37">
        <v>43</v>
      </c>
      <c r="AT735" s="37">
        <v>44</v>
      </c>
      <c r="AU735" s="37">
        <v>45</v>
      </c>
      <c r="AV735" s="37">
        <v>46</v>
      </c>
      <c r="AW735" s="37">
        <v>47</v>
      </c>
      <c r="AX735" s="37">
        <v>48</v>
      </c>
      <c r="AY735" s="49"/>
      <c r="AZ735" s="49"/>
      <c r="BA735" s="49"/>
    </row>
    <row r="736" spans="1:53" ht="11.25" hidden="1" customHeight="1">
      <c r="B736" s="36" t="s">
        <v>399</v>
      </c>
      <c r="C736" s="4" t="str">
        <f>T1.WELL("",E733,H733,K733)</f>
        <v/>
      </c>
      <c r="D736" s="4" t="str">
        <f>T1.WELL("",E733,H733,K733)</f>
        <v/>
      </c>
      <c r="E736" s="4" t="str">
        <f>T1.WELL("",E733,H733,K733)</f>
        <v/>
      </c>
      <c r="F736" s="4" t="str">
        <f>T1.WELL("",E733,H733,K733)</f>
        <v/>
      </c>
      <c r="G736" s="4" t="str">
        <f>T1.WELL("",E733,H733,K733)</f>
        <v/>
      </c>
      <c r="H736" s="4" t="str">
        <f>T1.WELL("",E733,H733,K733)</f>
        <v/>
      </c>
      <c r="I736" s="4" t="str">
        <f>T1.WELL("",E733,H733,K733)</f>
        <v/>
      </c>
      <c r="J736" s="4" t="str">
        <f>T1.WELL("",E733,H733,K733)</f>
        <v/>
      </c>
      <c r="K736" s="4" t="str">
        <f>T1.WELL("",E733,H733,K733)</f>
        <v/>
      </c>
      <c r="L736" s="4" t="str">
        <f>T1.WELL("",E733,H733,K733)</f>
        <v/>
      </c>
      <c r="M736" s="4" t="str">
        <f>T1.WELL("",E733,H733,K733)</f>
        <v/>
      </c>
      <c r="N736" s="4" t="str">
        <f>T1.WELL("",E733,H733,K733)</f>
        <v/>
      </c>
      <c r="O736" s="4" t="str">
        <f>T1.WELL("",E733,H733,K733)</f>
        <v/>
      </c>
      <c r="P736" s="4" t="str">
        <f>T1.WELL("",E733,H733,K733)</f>
        <v/>
      </c>
      <c r="Q736" s="4" t="str">
        <f>T1.WELL("",E733,H733,K733)</f>
        <v/>
      </c>
      <c r="R736" s="4" t="str">
        <f>T1.WELL("",E733,H733,K733)</f>
        <v/>
      </c>
      <c r="S736" s="4" t="str">
        <f>T1.WELL("",E733,H733,K733)</f>
        <v/>
      </c>
      <c r="T736" s="4" t="str">
        <f>T1.WELL("",E733,H733,K733)</f>
        <v/>
      </c>
      <c r="U736" s="4" t="str">
        <f>T1.WELL("",E733,H733,K733)</f>
        <v/>
      </c>
      <c r="V736" s="4" t="str">
        <f>T1.WELL("",E733,H733,K733)</f>
        <v/>
      </c>
      <c r="W736" s="4" t="str">
        <f>T1.WELL("",E733,H733,K733)</f>
        <v/>
      </c>
      <c r="X736" s="4" t="str">
        <f>T1.WELL("",E733,H733,K733)</f>
        <v/>
      </c>
      <c r="Y736" s="4" t="str">
        <f>T1.WELL("",E733,H733,K733)</f>
        <v/>
      </c>
      <c r="Z736" s="4" t="str">
        <f>T1.WELL("",E733,H733,K733)</f>
        <v/>
      </c>
      <c r="AA736" s="4" t="str">
        <f>T1.WELL("",E733,H733,K733)</f>
        <v/>
      </c>
      <c r="AB736" s="4" t="str">
        <f>T1.WELL("",E733,H733,K733)</f>
        <v/>
      </c>
      <c r="AC736" s="4" t="str">
        <f>T1.WELL("",E733,H733,K733)</f>
        <v/>
      </c>
      <c r="AD736" s="4" t="str">
        <f>T1.WELL("",E733,H733,K733)</f>
        <v/>
      </c>
      <c r="AE736" s="4" t="str">
        <f>T1.WELL("",E733,H733,K733)</f>
        <v/>
      </c>
      <c r="AF736" s="4" t="str">
        <f>T1.WELL("",E733,H733,K733)</f>
        <v/>
      </c>
      <c r="AG736" s="4" t="str">
        <f>T1.WELL("",E733,H733,K733)</f>
        <v/>
      </c>
      <c r="AH736" s="4" t="str">
        <f>T1.WELL("",E733,H733,K733)</f>
        <v/>
      </c>
      <c r="AI736" s="4" t="str">
        <f>T1.WELL("",E733,H733,K733)</f>
        <v/>
      </c>
      <c r="AJ736" s="4" t="str">
        <f>T1.WELL("",E733,H733,K733)</f>
        <v/>
      </c>
      <c r="AK736" s="4" t="str">
        <f>T1.WELL("",E733,H733,K733)</f>
        <v/>
      </c>
      <c r="AL736" s="4" t="str">
        <f>T1.WELL("",E733,H733,K733)</f>
        <v/>
      </c>
      <c r="AM736" s="4" t="str">
        <f>T1.WELL("",E733,H733,K733)</f>
        <v/>
      </c>
      <c r="AN736" s="4" t="str">
        <f>T1.WELL("",E733,H733,K733)</f>
        <v/>
      </c>
      <c r="AO736" s="4" t="str">
        <f>T1.WELL("",E733,H733,K733)</f>
        <v/>
      </c>
      <c r="AP736" s="4" t="str">
        <f>T1.WELL("",E733,H733,K733)</f>
        <v/>
      </c>
      <c r="AQ736" s="4" t="str">
        <f>T1.WELL("",E733,H733,K733)</f>
        <v/>
      </c>
      <c r="AR736" s="4" t="str">
        <f>T1.WELL("",E733,H733,K733)</f>
        <v/>
      </c>
      <c r="AS736" s="4" t="str">
        <f>T1.WELL("",E733,H733,K733)</f>
        <v/>
      </c>
      <c r="AT736" s="4" t="str">
        <f>T1.WELL("",E733,H733,K733)</f>
        <v/>
      </c>
      <c r="AU736" s="4" t="str">
        <f>T1.WELL("",E733,H733,K733)</f>
        <v/>
      </c>
      <c r="AV736" s="4" t="str">
        <f>T1.WELL("",E733,H733,K733)</f>
        <v/>
      </c>
      <c r="AW736" s="4" t="str">
        <f>T1.WELL("",E733,H733,K733)</f>
        <v/>
      </c>
      <c r="AX736" s="4" t="str">
        <f>T1.WELL("",E733,H733,K733)</f>
        <v/>
      </c>
      <c r="AY736" s="49"/>
      <c r="AZ736" s="49"/>
      <c r="BA736" s="49"/>
    </row>
    <row r="737" spans="2:53" ht="11.25" hidden="1" customHeight="1">
      <c r="B737" s="36" t="s">
        <v>400</v>
      </c>
      <c r="C737" s="4" t="str">
        <f>T1.WELL("",E733,H733,K733)</f>
        <v/>
      </c>
      <c r="D737" s="4" t="str">
        <f>T1.WELL("",E733,H733,K733)</f>
        <v/>
      </c>
      <c r="E737" s="4" t="str">
        <f>T1.WELL("",E733,H733,K733)</f>
        <v/>
      </c>
      <c r="F737" s="4" t="str">
        <f>T1.WELL("",E733,H733,K733)</f>
        <v/>
      </c>
      <c r="G737" s="4" t="str">
        <f>T1.WELL("",E733,H733,K733)</f>
        <v/>
      </c>
      <c r="H737" s="4" t="str">
        <f>T1.WELL("",E733,H733,K733)</f>
        <v/>
      </c>
      <c r="I737" s="4" t="str">
        <f>T1.WELL("",E733,H733,K733)</f>
        <v/>
      </c>
      <c r="J737" s="4" t="str">
        <f>T1.WELL("",E733,H733,K733)</f>
        <v/>
      </c>
      <c r="K737" s="4" t="str">
        <f>T1.WELL("",E733,H733,K733)</f>
        <v/>
      </c>
      <c r="L737" s="4" t="str">
        <f>T1.WELL("",E733,H733,K733)</f>
        <v/>
      </c>
      <c r="M737" s="4" t="str">
        <f>T1.WELL("",E733,H733,K733)</f>
        <v/>
      </c>
      <c r="N737" s="4" t="str">
        <f>T1.WELL("",E733,H733,K733)</f>
        <v/>
      </c>
      <c r="O737" s="4" t="str">
        <f>T1.WELL("",E733,H733,K733)</f>
        <v/>
      </c>
      <c r="P737" s="4" t="str">
        <f>T1.WELL("",E733,H733,K733)</f>
        <v/>
      </c>
      <c r="Q737" s="4" t="str">
        <f>T1.WELL("",E733,H733,K733)</f>
        <v/>
      </c>
      <c r="R737" s="4" t="str">
        <f>T1.WELL("",E733,H733,K733)</f>
        <v/>
      </c>
      <c r="S737" s="4" t="str">
        <f>T1.WELL("",E733,H733,K733)</f>
        <v/>
      </c>
      <c r="T737" s="4" t="str">
        <f>T1.WELL("",E733,H733,K733)</f>
        <v/>
      </c>
      <c r="U737" s="4" t="str">
        <f>T1.WELL("",E733,H733,K733)</f>
        <v/>
      </c>
      <c r="V737" s="4" t="str">
        <f>T1.WELL("",E733,H733,K733)</f>
        <v/>
      </c>
      <c r="W737" s="4" t="str">
        <f>T1.WELL("",E733,H733,K733)</f>
        <v/>
      </c>
      <c r="X737" s="4" t="str">
        <f>T1.WELL("",E733,H733,K733)</f>
        <v/>
      </c>
      <c r="Y737" s="4" t="str">
        <f>T1.WELL("",E733,H733,K733)</f>
        <v/>
      </c>
      <c r="Z737" s="4" t="str">
        <f>T1.WELL("",E733,H733,K733)</f>
        <v/>
      </c>
      <c r="AA737" s="4" t="str">
        <f>T1.WELL("",E733,H733,K733)</f>
        <v/>
      </c>
      <c r="AB737" s="4" t="str">
        <f>T1.WELL("",E733,H733,K733)</f>
        <v/>
      </c>
      <c r="AC737" s="4" t="str">
        <f>T1.WELL("",E733,H733,K733)</f>
        <v/>
      </c>
      <c r="AD737" s="4" t="str">
        <f>T1.WELL("",E733,H733,K733)</f>
        <v/>
      </c>
      <c r="AE737" s="4" t="str">
        <f>T1.WELL("",E733,H733,K733)</f>
        <v/>
      </c>
      <c r="AF737" s="4" t="str">
        <f>T1.WELL("",E733,H733,K733)</f>
        <v/>
      </c>
      <c r="AG737" s="4" t="str">
        <f>T1.WELL("",E733,H733,K733)</f>
        <v/>
      </c>
      <c r="AH737" s="4" t="str">
        <f>T1.WELL("",E733,H733,K733)</f>
        <v/>
      </c>
      <c r="AI737" s="4" t="str">
        <f>T1.WELL("",E733,H733,K733)</f>
        <v/>
      </c>
      <c r="AJ737" s="4" t="str">
        <f>T1.WELL("",E733,H733,K733)</f>
        <v/>
      </c>
      <c r="AK737" s="4" t="str">
        <f>T1.WELL("",E733,H733,K733)</f>
        <v/>
      </c>
      <c r="AL737" s="4" t="str">
        <f>T1.WELL("",E733,H733,K733)</f>
        <v/>
      </c>
      <c r="AM737" s="4" t="str">
        <f>T1.WELL("",E733,H733,K733)</f>
        <v/>
      </c>
      <c r="AN737" s="4" t="str">
        <f>T1.WELL("",E733,H733,K733)</f>
        <v/>
      </c>
      <c r="AO737" s="4" t="str">
        <f>T1.WELL("",E733,H733,K733)</f>
        <v/>
      </c>
      <c r="AP737" s="4" t="str">
        <f>T1.WELL("",E733,H733,K733)</f>
        <v/>
      </c>
      <c r="AQ737" s="4" t="str">
        <f>T1.WELL("",E733,H733,K733)</f>
        <v/>
      </c>
      <c r="AR737" s="4" t="str">
        <f>T1.WELL("",E733,H733,K733)</f>
        <v/>
      </c>
      <c r="AS737" s="4" t="str">
        <f>T1.WELL("",E733,H733,K733)</f>
        <v/>
      </c>
      <c r="AT737" s="4" t="str">
        <f>T1.WELL("",E733,H733,K733)</f>
        <v/>
      </c>
      <c r="AU737" s="4" t="str">
        <f>T1.WELL("",E733,H733,K733)</f>
        <v/>
      </c>
      <c r="AV737" s="4" t="str">
        <f>T1.WELL("",E733,H733,K733)</f>
        <v/>
      </c>
      <c r="AW737" s="4" t="str">
        <f>T1.WELL("",E733,H733,K733)</f>
        <v/>
      </c>
      <c r="AX737" s="4" t="str">
        <f>T1.WELL("",E733,H733,K733)</f>
        <v/>
      </c>
      <c r="AY737" s="49"/>
      <c r="AZ737" s="49"/>
      <c r="BA737" s="49"/>
    </row>
    <row r="738" spans="2:53" ht="11.25" hidden="1" customHeight="1">
      <c r="B738" s="36" t="s">
        <v>401</v>
      </c>
      <c r="C738" s="4" t="str">
        <f>T1.WELL("",E733,H733,K733)</f>
        <v/>
      </c>
      <c r="D738" s="4" t="str">
        <f>T1.WELL("",E733,H733,K733)</f>
        <v/>
      </c>
      <c r="E738" s="4" t="str">
        <f>T1.WELL("",E733,H733,K733)</f>
        <v/>
      </c>
      <c r="F738" s="4" t="str">
        <f>T1.WELL("",E733,H733,K733)</f>
        <v/>
      </c>
      <c r="G738" s="4" t="str">
        <f>T1.WELL("",E733,H733,K733)</f>
        <v/>
      </c>
      <c r="H738" s="4" t="str">
        <f>T1.WELL("",E733,H733,K733)</f>
        <v/>
      </c>
      <c r="I738" s="4" t="str">
        <f>T1.WELL("",E733,H733,K733)</f>
        <v/>
      </c>
      <c r="J738" s="4" t="str">
        <f>T1.WELL("",E733,H733,K733)</f>
        <v/>
      </c>
      <c r="K738" s="4" t="str">
        <f>T1.WELL("",E733,H733,K733)</f>
        <v/>
      </c>
      <c r="L738" s="4" t="str">
        <f>T1.WELL("",E733,H733,K733)</f>
        <v/>
      </c>
      <c r="M738" s="4" t="str">
        <f>T1.WELL("",E733,H733,K733)</f>
        <v/>
      </c>
      <c r="N738" s="4" t="str">
        <f>T1.WELL("",E733,H733,K733)</f>
        <v/>
      </c>
      <c r="O738" s="4" t="str">
        <f>T1.WELL("",E733,H733,K733)</f>
        <v/>
      </c>
      <c r="P738" s="4" t="str">
        <f>T1.WELL("",E733,H733,K733)</f>
        <v/>
      </c>
      <c r="Q738" s="4" t="str">
        <f>T1.WELL("",E733,H733,K733)</f>
        <v/>
      </c>
      <c r="R738" s="4" t="str">
        <f>T1.WELL("",E733,H733,K733)</f>
        <v/>
      </c>
      <c r="S738" s="4" t="str">
        <f>T1.WELL("",E733,H733,K733)</f>
        <v/>
      </c>
      <c r="T738" s="4" t="str">
        <f>T1.WELL("",E733,H733,K733)</f>
        <v/>
      </c>
      <c r="U738" s="4" t="str">
        <f>T1.WELL("",E733,H733,K733)</f>
        <v/>
      </c>
      <c r="V738" s="4" t="str">
        <f>T1.WELL("",E733,H733,K733)</f>
        <v/>
      </c>
      <c r="W738" s="4" t="str">
        <f>T1.WELL("",E733,H733,K733)</f>
        <v/>
      </c>
      <c r="X738" s="4" t="str">
        <f>T1.WELL("",E733,H733,K733)</f>
        <v/>
      </c>
      <c r="Y738" s="4" t="str">
        <f>T1.WELL("",E733,H733,K733)</f>
        <v/>
      </c>
      <c r="Z738" s="4" t="str">
        <f>T1.WELL("",E733,H733,K733)</f>
        <v/>
      </c>
      <c r="AA738" s="4" t="str">
        <f>T1.WELL("",E733,H733,K733)</f>
        <v/>
      </c>
      <c r="AB738" s="4" t="str">
        <f>T1.WELL("",E733,H733,K733)</f>
        <v/>
      </c>
      <c r="AC738" s="4" t="str">
        <f>T1.WELL("",E733,H733,K733)</f>
        <v/>
      </c>
      <c r="AD738" s="4" t="str">
        <f>T1.WELL("",E733,H733,K733)</f>
        <v/>
      </c>
      <c r="AE738" s="4" t="str">
        <f>T1.WELL("",E733,H733,K733)</f>
        <v/>
      </c>
      <c r="AF738" s="4" t="str">
        <f>T1.WELL("",E733,H733,K733)</f>
        <v/>
      </c>
      <c r="AG738" s="4" t="str">
        <f>T1.WELL("",E733,H733,K733)</f>
        <v/>
      </c>
      <c r="AH738" s="4" t="str">
        <f>T1.WELL("",E733,H733,K733)</f>
        <v/>
      </c>
      <c r="AI738" s="4" t="str">
        <f>T1.WELL("",E733,H733,K733)</f>
        <v/>
      </c>
      <c r="AJ738" s="4" t="str">
        <f>T1.WELL("",E733,H733,K733)</f>
        <v/>
      </c>
      <c r="AK738" s="4" t="str">
        <f>T1.WELL("",E733,H733,K733)</f>
        <v/>
      </c>
      <c r="AL738" s="4" t="str">
        <f>T1.WELL("",E733,H733,K733)</f>
        <v/>
      </c>
      <c r="AM738" s="4" t="str">
        <f>T1.WELL("",E733,H733,K733)</f>
        <v/>
      </c>
      <c r="AN738" s="4" t="str">
        <f>T1.WELL("",E733,H733,K733)</f>
        <v/>
      </c>
      <c r="AO738" s="4" t="str">
        <f>T1.WELL("",E733,H733,K733)</f>
        <v/>
      </c>
      <c r="AP738" s="4" t="str">
        <f>T1.WELL("",E733,H733,K733)</f>
        <v/>
      </c>
      <c r="AQ738" s="4" t="str">
        <f>T1.WELL("",E733,H733,K733)</f>
        <v/>
      </c>
      <c r="AR738" s="4" t="str">
        <f>T1.WELL("",E733,H733,K733)</f>
        <v/>
      </c>
      <c r="AS738" s="4" t="str">
        <f>T1.WELL("",E733,H733,K733)</f>
        <v/>
      </c>
      <c r="AT738" s="4" t="str">
        <f>T1.WELL("",E733,H733,K733)</f>
        <v/>
      </c>
      <c r="AU738" s="4" t="str">
        <f>T1.WELL("",E733,H733,K733)</f>
        <v/>
      </c>
      <c r="AV738" s="4" t="str">
        <f>T1.WELL("",E733,H733,K733)</f>
        <v/>
      </c>
      <c r="AW738" s="4" t="str">
        <f>T1.WELL("",E733,H733,K733)</f>
        <v/>
      </c>
      <c r="AX738" s="4" t="str">
        <f>T1.WELL("",E733,H733,K733)</f>
        <v/>
      </c>
      <c r="AY738" s="49"/>
      <c r="AZ738" s="49"/>
      <c r="BA738" s="49"/>
    </row>
    <row r="739" spans="2:53" ht="11.25" hidden="1" customHeight="1">
      <c r="B739" s="36" t="s">
        <v>402</v>
      </c>
      <c r="C739" s="4" t="str">
        <f>T1.WELL("",E733,H733,K733)</f>
        <v/>
      </c>
      <c r="D739" s="4" t="str">
        <f>T1.WELL("",E733,H733,K733)</f>
        <v/>
      </c>
      <c r="E739" s="4" t="str">
        <f>T1.WELL("",E733,H733,K733)</f>
        <v/>
      </c>
      <c r="F739" s="4" t="str">
        <f>T1.WELL("",E733,H733,K733)</f>
        <v/>
      </c>
      <c r="G739" s="4" t="str">
        <f>T1.WELL("",E733,H733,K733)</f>
        <v/>
      </c>
      <c r="H739" s="4" t="str">
        <f>T1.WELL("",E733,H733,K733)</f>
        <v/>
      </c>
      <c r="I739" s="4" t="str">
        <f>T1.WELL("",E733,H733,K733)</f>
        <v/>
      </c>
      <c r="J739" s="4" t="str">
        <f>T1.WELL("",E733,H733,K733)</f>
        <v/>
      </c>
      <c r="K739" s="4" t="str">
        <f>T1.WELL("",E733,H733,K733)</f>
        <v/>
      </c>
      <c r="L739" s="4" t="str">
        <f>T1.WELL("",E733,H733,K733)</f>
        <v/>
      </c>
      <c r="M739" s="4" t="str">
        <f>T1.WELL("",E733,H733,K733)</f>
        <v/>
      </c>
      <c r="N739" s="4" t="str">
        <f>T1.WELL("",E733,H733,K733)</f>
        <v/>
      </c>
      <c r="O739" s="4" t="str">
        <f>T1.WELL("",E733,H733,K733)</f>
        <v/>
      </c>
      <c r="P739" s="4" t="str">
        <f>T1.WELL("",E733,H733,K733)</f>
        <v/>
      </c>
      <c r="Q739" s="4" t="str">
        <f>T1.WELL("",E733,H733,K733)</f>
        <v/>
      </c>
      <c r="R739" s="4" t="str">
        <f>T1.WELL("",E733,H733,K733)</f>
        <v/>
      </c>
      <c r="S739" s="4" t="str">
        <f>T1.WELL("",E733,H733,K733)</f>
        <v/>
      </c>
      <c r="T739" s="4" t="str">
        <f>T1.WELL("",E733,H733,K733)</f>
        <v/>
      </c>
      <c r="U739" s="4" t="str">
        <f>T1.WELL("",E733,H733,K733)</f>
        <v/>
      </c>
      <c r="V739" s="4" t="str">
        <f>T1.WELL("",E733,H733,K733)</f>
        <v/>
      </c>
      <c r="W739" s="4" t="str">
        <f>T1.WELL("",E733,H733,K733)</f>
        <v/>
      </c>
      <c r="X739" s="4" t="str">
        <f>T1.WELL("",E733,H733,K733)</f>
        <v/>
      </c>
      <c r="Y739" s="4" t="str">
        <f>T1.WELL("",E733,H733,K733)</f>
        <v/>
      </c>
      <c r="Z739" s="4" t="str">
        <f>T1.WELL("",E733,H733,K733)</f>
        <v/>
      </c>
      <c r="AA739" s="4" t="str">
        <f>T1.WELL("",E733,H733,K733)</f>
        <v/>
      </c>
      <c r="AB739" s="4" t="str">
        <f>T1.WELL("",E733,H733,K733)</f>
        <v/>
      </c>
      <c r="AC739" s="4" t="str">
        <f>T1.WELL("",E733,H733,K733)</f>
        <v/>
      </c>
      <c r="AD739" s="4" t="str">
        <f>T1.WELL("",E733,H733,K733)</f>
        <v/>
      </c>
      <c r="AE739" s="4" t="str">
        <f>T1.WELL("",E733,H733,K733)</f>
        <v/>
      </c>
      <c r="AF739" s="4" t="str">
        <f>T1.WELL("",E733,H733,K733)</f>
        <v/>
      </c>
      <c r="AG739" s="4" t="str">
        <f>T1.WELL("",E733,H733,K733)</f>
        <v/>
      </c>
      <c r="AH739" s="4" t="str">
        <f>T1.WELL("",E733,H733,K733)</f>
        <v/>
      </c>
      <c r="AI739" s="4" t="str">
        <f>T1.WELL("",E733,H733,K733)</f>
        <v/>
      </c>
      <c r="AJ739" s="4" t="str">
        <f>T1.WELL("",E733,H733,K733)</f>
        <v/>
      </c>
      <c r="AK739" s="4" t="str">
        <f>T1.WELL("",E733,H733,K733)</f>
        <v/>
      </c>
      <c r="AL739" s="4" t="str">
        <f>T1.WELL("",E733,H733,K733)</f>
        <v/>
      </c>
      <c r="AM739" s="4" t="str">
        <f>T1.WELL("",E733,H733,K733)</f>
        <v/>
      </c>
      <c r="AN739" s="4" t="str">
        <f>T1.WELL("",E733,H733,K733)</f>
        <v/>
      </c>
      <c r="AO739" s="4" t="str">
        <f>T1.WELL("",E733,H733,K733)</f>
        <v/>
      </c>
      <c r="AP739" s="4" t="str">
        <f>T1.WELL("",E733,H733,K733)</f>
        <v/>
      </c>
      <c r="AQ739" s="4" t="str">
        <f>T1.WELL("",E733,H733,K733)</f>
        <v/>
      </c>
      <c r="AR739" s="4" t="str">
        <f>T1.WELL("",E733,H733,K733)</f>
        <v/>
      </c>
      <c r="AS739" s="4" t="str">
        <f>T1.WELL("",E733,H733,K733)</f>
        <v/>
      </c>
      <c r="AT739" s="4" t="str">
        <f>T1.WELL("",E733,H733,K733)</f>
        <v/>
      </c>
      <c r="AU739" s="4" t="str">
        <f>T1.WELL("",E733,H733,K733)</f>
        <v/>
      </c>
      <c r="AV739" s="4" t="str">
        <f>T1.WELL("",E733,H733,K733)</f>
        <v/>
      </c>
      <c r="AW739" s="4" t="str">
        <f>T1.WELL("",E733,H733,K733)</f>
        <v/>
      </c>
      <c r="AX739" s="4" t="str">
        <f>T1.WELL("",E733,H733,K733)</f>
        <v/>
      </c>
      <c r="AY739" s="49"/>
      <c r="AZ739" s="49"/>
      <c r="BA739" s="49"/>
    </row>
    <row r="740" spans="2:53" ht="11.25" hidden="1" customHeight="1">
      <c r="B740" s="36" t="s">
        <v>403</v>
      </c>
      <c r="C740" s="4" t="str">
        <f>T1.WELL("",E733,H733,K733)</f>
        <v/>
      </c>
      <c r="D740" s="4" t="str">
        <f>T1.WELL("",E733,H733,K733)</f>
        <v/>
      </c>
      <c r="E740" s="4" t="str">
        <f>T1.WELL("",E733,H733,K733)</f>
        <v/>
      </c>
      <c r="F740" s="4" t="str">
        <f>T1.WELL("",E733,H733,K733)</f>
        <v/>
      </c>
      <c r="G740" s="4" t="str">
        <f>T1.WELL("",E733,H733,K733)</f>
        <v/>
      </c>
      <c r="H740" s="4" t="str">
        <f>T1.WELL("",E733,H733,K733)</f>
        <v/>
      </c>
      <c r="I740" s="4" t="str">
        <f>T1.WELL("",E733,H733,K733)</f>
        <v/>
      </c>
      <c r="J740" s="4" t="str">
        <f>T1.WELL("",E733,H733,K733)</f>
        <v/>
      </c>
      <c r="K740" s="4" t="str">
        <f>T1.WELL("",E733,H733,K733)</f>
        <v/>
      </c>
      <c r="L740" s="4" t="str">
        <f>T1.WELL("",E733,H733,K733)</f>
        <v/>
      </c>
      <c r="M740" s="4" t="str">
        <f>T1.WELL("",E733,H733,K733)</f>
        <v/>
      </c>
      <c r="N740" s="4" t="str">
        <f>T1.WELL("",E733,H733,K733)</f>
        <v/>
      </c>
      <c r="O740" s="4" t="str">
        <f>T1.WELL("",E733,H733,K733)</f>
        <v/>
      </c>
      <c r="P740" s="4" t="str">
        <f>T1.WELL("",E733,H733,K733)</f>
        <v/>
      </c>
      <c r="Q740" s="4" t="str">
        <f>T1.WELL("",E733,H733,K733)</f>
        <v/>
      </c>
      <c r="R740" s="4" t="str">
        <f>T1.WELL("",E733,H733,K733)</f>
        <v/>
      </c>
      <c r="S740" s="4" t="str">
        <f>T1.WELL("",E733,H733,K733)</f>
        <v/>
      </c>
      <c r="T740" s="4" t="str">
        <f>T1.WELL("",E733,H733,K733)</f>
        <v/>
      </c>
      <c r="U740" s="4" t="str">
        <f>T1.WELL("",E733,H733,K733)</f>
        <v/>
      </c>
      <c r="V740" s="4" t="str">
        <f>T1.WELL("",E733,H733,K733)</f>
        <v/>
      </c>
      <c r="W740" s="4" t="str">
        <f>T1.WELL("",E733,H733,K733)</f>
        <v/>
      </c>
      <c r="X740" s="4" t="str">
        <f>T1.WELL("",E733,H733,K733)</f>
        <v/>
      </c>
      <c r="Y740" s="4" t="str">
        <f>T1.WELL("",E733,H733,K733)</f>
        <v/>
      </c>
      <c r="Z740" s="4" t="str">
        <f>T1.WELL("",E733,H733,K733)</f>
        <v/>
      </c>
      <c r="AA740" s="4" t="str">
        <f>T1.WELL("",E733,H733,K733)</f>
        <v/>
      </c>
      <c r="AB740" s="4" t="str">
        <f>T1.WELL("",E733,H733,K733)</f>
        <v/>
      </c>
      <c r="AC740" s="4" t="str">
        <f>T1.WELL("",E733,H733,K733)</f>
        <v/>
      </c>
      <c r="AD740" s="4" t="str">
        <f>T1.WELL("",E733,H733,K733)</f>
        <v/>
      </c>
      <c r="AE740" s="4" t="str">
        <f>T1.WELL("",E733,H733,K733)</f>
        <v/>
      </c>
      <c r="AF740" s="4" t="str">
        <f>T1.WELL("",E733,H733,K733)</f>
        <v/>
      </c>
      <c r="AG740" s="4" t="str">
        <f>T1.WELL("",E733,H733,K733)</f>
        <v/>
      </c>
      <c r="AH740" s="4" t="str">
        <f>T1.WELL("",E733,H733,K733)</f>
        <v/>
      </c>
      <c r="AI740" s="4" t="str">
        <f>T1.WELL("",E733,H733,K733)</f>
        <v/>
      </c>
      <c r="AJ740" s="4" t="str">
        <f>T1.WELL("",E733,H733,K733)</f>
        <v/>
      </c>
      <c r="AK740" s="4" t="str">
        <f>T1.WELL("",E733,H733,K733)</f>
        <v/>
      </c>
      <c r="AL740" s="4" t="str">
        <f>T1.WELL("",E733,H733,K733)</f>
        <v/>
      </c>
      <c r="AM740" s="4" t="str">
        <f>T1.WELL("",E733,H733,K733)</f>
        <v/>
      </c>
      <c r="AN740" s="4" t="str">
        <f>T1.WELL("",E733,H733,K733)</f>
        <v/>
      </c>
      <c r="AO740" s="4" t="str">
        <f>T1.WELL("",E733,H733,K733)</f>
        <v/>
      </c>
      <c r="AP740" s="4" t="str">
        <f>T1.WELL("",E733,H733,K733)</f>
        <v/>
      </c>
      <c r="AQ740" s="4" t="str">
        <f>T1.WELL("",E733,H733,K733)</f>
        <v/>
      </c>
      <c r="AR740" s="4" t="str">
        <f>T1.WELL("",E733,H733,K733)</f>
        <v/>
      </c>
      <c r="AS740" s="4" t="str">
        <f>T1.WELL("",E733,H733,K733)</f>
        <v/>
      </c>
      <c r="AT740" s="4" t="str">
        <f>T1.WELL("",E733,H733,K733)</f>
        <v/>
      </c>
      <c r="AU740" s="4" t="str">
        <f>T1.WELL("",E733,H733,K733)</f>
        <v/>
      </c>
      <c r="AV740" s="4" t="str">
        <f>T1.WELL("",E733,H733,K733)</f>
        <v/>
      </c>
      <c r="AW740" s="4" t="str">
        <f>T1.WELL("",E733,H733,K733)</f>
        <v/>
      </c>
      <c r="AX740" s="4" t="str">
        <f>T1.WELL("",E733,H733,K733)</f>
        <v/>
      </c>
      <c r="AY740" s="49"/>
      <c r="AZ740" s="49"/>
      <c r="BA740" s="49"/>
    </row>
    <row r="741" spans="2:53" ht="11.25" hidden="1" customHeight="1">
      <c r="B741" s="36" t="s">
        <v>404</v>
      </c>
      <c r="C741" s="4" t="str">
        <f>T1.WELL("",E733,H733,K733)</f>
        <v/>
      </c>
      <c r="D741" s="4" t="str">
        <f>T1.WELL("",E733,H733,K733)</f>
        <v/>
      </c>
      <c r="E741" s="4" t="str">
        <f>T1.WELL("",E733,H733,K733)</f>
        <v/>
      </c>
      <c r="F741" s="4" t="str">
        <f>T1.WELL("",E733,H733,K733)</f>
        <v/>
      </c>
      <c r="G741" s="4" t="str">
        <f>T1.WELL("",E733,H733,K733)</f>
        <v/>
      </c>
      <c r="H741" s="4" t="str">
        <f>T1.WELL("",E733,H733,K733)</f>
        <v/>
      </c>
      <c r="I741" s="4" t="str">
        <f>T1.WELL("",E733,H733,K733)</f>
        <v/>
      </c>
      <c r="J741" s="4" t="str">
        <f>T1.WELL("",E733,H733,K733)</f>
        <v/>
      </c>
      <c r="K741" s="4" t="str">
        <f>T1.WELL("",E733,H733,K733)</f>
        <v/>
      </c>
      <c r="L741" s="4" t="str">
        <f>T1.WELL("",E733,H733,K733)</f>
        <v/>
      </c>
      <c r="M741" s="4" t="str">
        <f>T1.WELL("",E733,H733,K733)</f>
        <v/>
      </c>
      <c r="N741" s="4" t="str">
        <f>T1.WELL("",E733,H733,K733)</f>
        <v/>
      </c>
      <c r="O741" s="4" t="str">
        <f>T1.WELL("",E733,H733,K733)</f>
        <v/>
      </c>
      <c r="P741" s="4" t="str">
        <f>T1.WELL("",E733,H733,K733)</f>
        <v/>
      </c>
      <c r="Q741" s="4" t="str">
        <f>T1.WELL("",E733,H733,K733)</f>
        <v/>
      </c>
      <c r="R741" s="4" t="str">
        <f>T1.WELL("",E733,H733,K733)</f>
        <v/>
      </c>
      <c r="S741" s="4" t="str">
        <f>T1.WELL("",E733,H733,K733)</f>
        <v/>
      </c>
      <c r="T741" s="4" t="str">
        <f>T1.WELL("",E733,H733,K733)</f>
        <v/>
      </c>
      <c r="U741" s="4" t="str">
        <f>T1.WELL("",E733,H733,K733)</f>
        <v/>
      </c>
      <c r="V741" s="4" t="str">
        <f>T1.WELL("",E733,H733,K733)</f>
        <v/>
      </c>
      <c r="W741" s="4" t="str">
        <f>T1.WELL("",E733,H733,K733)</f>
        <v/>
      </c>
      <c r="X741" s="4" t="str">
        <f>T1.WELL("",E733,H733,K733)</f>
        <v/>
      </c>
      <c r="Y741" s="4" t="str">
        <f>T1.WELL("",E733,H733,K733)</f>
        <v/>
      </c>
      <c r="Z741" s="4" t="str">
        <f>T1.WELL("",E733,H733,K733)</f>
        <v/>
      </c>
      <c r="AA741" s="4" t="str">
        <f>T1.WELL("",E733,H733,K733)</f>
        <v/>
      </c>
      <c r="AB741" s="4" t="str">
        <f>T1.WELL("",E733,H733,K733)</f>
        <v/>
      </c>
      <c r="AC741" s="4" t="str">
        <f>T1.WELL("",E733,H733,K733)</f>
        <v/>
      </c>
      <c r="AD741" s="4" t="str">
        <f>T1.WELL("",E733,H733,K733)</f>
        <v/>
      </c>
      <c r="AE741" s="4" t="str">
        <f>T1.WELL("",E733,H733,K733)</f>
        <v/>
      </c>
      <c r="AF741" s="4" t="str">
        <f>T1.WELL("",E733,H733,K733)</f>
        <v/>
      </c>
      <c r="AG741" s="4" t="str">
        <f>T1.WELL("",E733,H733,K733)</f>
        <v/>
      </c>
      <c r="AH741" s="4" t="str">
        <f>T1.WELL("",E733,H733,K733)</f>
        <v/>
      </c>
      <c r="AI741" s="4" t="str">
        <f>T1.WELL("",E733,H733,K733)</f>
        <v/>
      </c>
      <c r="AJ741" s="4" t="str">
        <f>T1.WELL("",E733,H733,K733)</f>
        <v/>
      </c>
      <c r="AK741" s="4" t="str">
        <f>T1.WELL("",E733,H733,K733)</f>
        <v/>
      </c>
      <c r="AL741" s="4" t="str">
        <f>T1.WELL("",E733,H733,K733)</f>
        <v/>
      </c>
      <c r="AM741" s="4" t="str">
        <f>T1.WELL("",E733,H733,K733)</f>
        <v/>
      </c>
      <c r="AN741" s="4" t="str">
        <f>T1.WELL("",E733,H733,K733)</f>
        <v/>
      </c>
      <c r="AO741" s="4" t="str">
        <f>T1.WELL("",E733,H733,K733)</f>
        <v/>
      </c>
      <c r="AP741" s="4" t="str">
        <f>T1.WELL("",E733,H733,K733)</f>
        <v/>
      </c>
      <c r="AQ741" s="4" t="str">
        <f>T1.WELL("",E733,H733,K733)</f>
        <v/>
      </c>
      <c r="AR741" s="4" t="str">
        <f>T1.WELL("",E733,H733,K733)</f>
        <v/>
      </c>
      <c r="AS741" s="4" t="str">
        <f>T1.WELL("",E733,H733,K733)</f>
        <v/>
      </c>
      <c r="AT741" s="4" t="str">
        <f>T1.WELL("",E733,H733,K733)</f>
        <v/>
      </c>
      <c r="AU741" s="4" t="str">
        <f>T1.WELL("",E733,H733,K733)</f>
        <v/>
      </c>
      <c r="AV741" s="4" t="str">
        <f>T1.WELL("",E733,H733,K733)</f>
        <v/>
      </c>
      <c r="AW741" s="4" t="str">
        <f>T1.WELL("",E733,H733,K733)</f>
        <v/>
      </c>
      <c r="AX741" s="4" t="str">
        <f>T1.WELL("",E733,H733,K733)</f>
        <v/>
      </c>
      <c r="AY741" s="49"/>
      <c r="AZ741" s="49"/>
      <c r="BA741" s="49"/>
    </row>
    <row r="742" spans="2:53" ht="11.25" hidden="1" customHeight="1">
      <c r="B742" s="36" t="s">
        <v>405</v>
      </c>
      <c r="C742" s="4" t="str">
        <f>T1.WELL("",E733,H733,K733)</f>
        <v/>
      </c>
      <c r="D742" s="4" t="str">
        <f>T1.WELL("",E733,H733,K733)</f>
        <v/>
      </c>
      <c r="E742" s="4" t="str">
        <f>T1.WELL("",E733,H733,K733)</f>
        <v/>
      </c>
      <c r="F742" s="4" t="str">
        <f>T1.WELL("",E733,H733,K733)</f>
        <v/>
      </c>
      <c r="G742" s="4" t="str">
        <f>T1.WELL("",E733,H733,K733)</f>
        <v/>
      </c>
      <c r="H742" s="4" t="str">
        <f>T1.WELL("",E733,H733,K733)</f>
        <v/>
      </c>
      <c r="I742" s="4" t="str">
        <f>T1.WELL("",E733,H733,K733)</f>
        <v/>
      </c>
      <c r="J742" s="4" t="str">
        <f>T1.WELL("",E733,H733,K733)</f>
        <v/>
      </c>
      <c r="K742" s="4" t="str">
        <f>T1.WELL("",E733,H733,K733)</f>
        <v/>
      </c>
      <c r="L742" s="4" t="str">
        <f>T1.WELL("",E733,H733,K733)</f>
        <v/>
      </c>
      <c r="M742" s="4" t="str">
        <f>T1.WELL("",E733,H733,K733)</f>
        <v/>
      </c>
      <c r="N742" s="4" t="str">
        <f>T1.WELL("",E733,H733,K733)</f>
        <v/>
      </c>
      <c r="O742" s="4" t="str">
        <f>T1.WELL("",E733,H733,K733)</f>
        <v/>
      </c>
      <c r="P742" s="4" t="str">
        <f>T1.WELL("",E733,H733,K733)</f>
        <v/>
      </c>
      <c r="Q742" s="4" t="str">
        <f>T1.WELL("",E733,H733,K733)</f>
        <v/>
      </c>
      <c r="R742" s="4" t="str">
        <f>T1.WELL("",E733,H733,K733)</f>
        <v/>
      </c>
      <c r="S742" s="4" t="str">
        <f>T1.WELL("",E733,H733,K733)</f>
        <v/>
      </c>
      <c r="T742" s="4" t="str">
        <f>T1.WELL("",E733,H733,K733)</f>
        <v/>
      </c>
      <c r="U742" s="4" t="str">
        <f>T1.WELL("",E733,H733,K733)</f>
        <v/>
      </c>
      <c r="V742" s="4" t="str">
        <f>T1.WELL("",E733,H733,K733)</f>
        <v/>
      </c>
      <c r="W742" s="4" t="str">
        <f>T1.WELL("",E733,H733,K733)</f>
        <v/>
      </c>
      <c r="X742" s="4" t="str">
        <f>T1.WELL("",E733,H733,K733)</f>
        <v/>
      </c>
      <c r="Y742" s="4" t="str">
        <f>T1.WELL("",E733,H733,K733)</f>
        <v/>
      </c>
      <c r="Z742" s="4" t="str">
        <f>T1.WELL("",E733,H733,K733)</f>
        <v/>
      </c>
      <c r="AA742" s="4" t="str">
        <f>T1.WELL("",E733,H733,K733)</f>
        <v/>
      </c>
      <c r="AB742" s="4" t="str">
        <f>T1.WELL("",E733,H733,K733)</f>
        <v/>
      </c>
      <c r="AC742" s="4" t="str">
        <f>T1.WELL("",E733,H733,K733)</f>
        <v/>
      </c>
      <c r="AD742" s="4" t="str">
        <f>T1.WELL("",E733,H733,K733)</f>
        <v/>
      </c>
      <c r="AE742" s="4" t="str">
        <f>T1.WELL("",E733,H733,K733)</f>
        <v/>
      </c>
      <c r="AF742" s="4" t="str">
        <f>T1.WELL("",E733,H733,K733)</f>
        <v/>
      </c>
      <c r="AG742" s="4" t="str">
        <f>T1.WELL("",E733,H733,K733)</f>
        <v/>
      </c>
      <c r="AH742" s="4" t="str">
        <f>T1.WELL("",E733,H733,K733)</f>
        <v/>
      </c>
      <c r="AI742" s="4" t="str">
        <f>T1.WELL("",E733,H733,K733)</f>
        <v/>
      </c>
      <c r="AJ742" s="4" t="str">
        <f>T1.WELL("",E733,H733,K733)</f>
        <v/>
      </c>
      <c r="AK742" s="4" t="str">
        <f>T1.WELL("",E733,H733,K733)</f>
        <v/>
      </c>
      <c r="AL742" s="4" t="str">
        <f>T1.WELL("",E733,H733,K733)</f>
        <v/>
      </c>
      <c r="AM742" s="4" t="str">
        <f>T1.WELL("",E733,H733,K733)</f>
        <v/>
      </c>
      <c r="AN742" s="4" t="str">
        <f>T1.WELL("",E733,H733,K733)</f>
        <v/>
      </c>
      <c r="AO742" s="4" t="str">
        <f>T1.WELL("",E733,H733,K733)</f>
        <v/>
      </c>
      <c r="AP742" s="4" t="str">
        <f>T1.WELL("",E733,H733,K733)</f>
        <v/>
      </c>
      <c r="AQ742" s="4" t="str">
        <f>T1.WELL("",E733,H733,K733)</f>
        <v/>
      </c>
      <c r="AR742" s="4" t="str">
        <f>T1.WELL("",E733,H733,K733)</f>
        <v/>
      </c>
      <c r="AS742" s="4" t="str">
        <f>T1.WELL("",E733,H733,K733)</f>
        <v/>
      </c>
      <c r="AT742" s="4" t="str">
        <f>T1.WELL("",E733,H733,K733)</f>
        <v/>
      </c>
      <c r="AU742" s="4" t="str">
        <f>T1.WELL("",E733,H733,K733)</f>
        <v/>
      </c>
      <c r="AV742" s="4" t="str">
        <f>T1.WELL("",E733,H733,K733)</f>
        <v/>
      </c>
      <c r="AW742" s="4" t="str">
        <f>T1.WELL("",E733,H733,K733)</f>
        <v/>
      </c>
      <c r="AX742" s="4" t="str">
        <f>T1.WELL("",E733,H733,K733)</f>
        <v/>
      </c>
      <c r="AY742" s="49"/>
      <c r="AZ742" s="49"/>
      <c r="BA742" s="49"/>
    </row>
    <row r="743" spans="2:53" ht="11.25" hidden="1" customHeight="1">
      <c r="B743" s="36" t="s">
        <v>406</v>
      </c>
      <c r="C743" s="4" t="str">
        <f>T1.WELL("",E733,H733,K733)</f>
        <v/>
      </c>
      <c r="D743" s="4" t="str">
        <f>T1.WELL("",E733,H733,K733)</f>
        <v/>
      </c>
      <c r="E743" s="4" t="str">
        <f>T1.WELL("",E733,H733,K733)</f>
        <v/>
      </c>
      <c r="F743" s="4" t="str">
        <f>T1.WELL("",E733,H733,K733)</f>
        <v/>
      </c>
      <c r="G743" s="4" t="str">
        <f>T1.WELL("",E733,H733,K733)</f>
        <v/>
      </c>
      <c r="H743" s="4" t="str">
        <f>T1.WELL("",E733,H733,K733)</f>
        <v/>
      </c>
      <c r="I743" s="4" t="str">
        <f>T1.WELL("",E733,H733,K733)</f>
        <v/>
      </c>
      <c r="J743" s="4" t="str">
        <f>T1.WELL("",E733,H733,K733)</f>
        <v/>
      </c>
      <c r="K743" s="4" t="str">
        <f>T1.WELL("",E733,H733,K733)</f>
        <v/>
      </c>
      <c r="L743" s="4" t="str">
        <f>T1.WELL("",E733,H733,K733)</f>
        <v/>
      </c>
      <c r="M743" s="4" t="str">
        <f>T1.WELL("",E733,H733,K733)</f>
        <v/>
      </c>
      <c r="N743" s="4" t="str">
        <f>T1.WELL("",E733,H733,K733)</f>
        <v/>
      </c>
      <c r="O743" s="4" t="str">
        <f>T1.WELL("",E733,H733,K733)</f>
        <v/>
      </c>
      <c r="P743" s="4" t="str">
        <f>T1.WELL("",E733,H733,K733)</f>
        <v/>
      </c>
      <c r="Q743" s="4" t="str">
        <f>T1.WELL("",E733,H733,K733)</f>
        <v/>
      </c>
      <c r="R743" s="4" t="str">
        <f>T1.WELL("",E733,H733,K733)</f>
        <v/>
      </c>
      <c r="S743" s="4" t="str">
        <f>T1.WELL("",E733,H733,K733)</f>
        <v/>
      </c>
      <c r="T743" s="4" t="str">
        <f>T1.WELL("",E733,H733,K733)</f>
        <v/>
      </c>
      <c r="U743" s="4" t="str">
        <f>T1.WELL("",E733,H733,K733)</f>
        <v/>
      </c>
      <c r="V743" s="4" t="str">
        <f>T1.WELL("",E733,H733,K733)</f>
        <v/>
      </c>
      <c r="W743" s="4" t="str">
        <f>T1.WELL("",E733,H733,K733)</f>
        <v/>
      </c>
      <c r="X743" s="4" t="str">
        <f>T1.WELL("",E733,H733,K733)</f>
        <v/>
      </c>
      <c r="Y743" s="4" t="str">
        <f>T1.WELL("",E733,H733,K733)</f>
        <v/>
      </c>
      <c r="Z743" s="4" t="str">
        <f>T1.WELL("",E733,H733,K733)</f>
        <v/>
      </c>
      <c r="AA743" s="4" t="str">
        <f>T1.WELL("",E733,H733,K733)</f>
        <v/>
      </c>
      <c r="AB743" s="4" t="str">
        <f>T1.WELL("",E733,H733,K733)</f>
        <v/>
      </c>
      <c r="AC743" s="4" t="str">
        <f>T1.WELL("",E733,H733,K733)</f>
        <v/>
      </c>
      <c r="AD743" s="4" t="str">
        <f>T1.WELL("",E733,H733,K733)</f>
        <v/>
      </c>
      <c r="AE743" s="4" t="str">
        <f>T1.WELL("",E733,H733,K733)</f>
        <v/>
      </c>
      <c r="AF743" s="4" t="str">
        <f>T1.WELL("",E733,H733,K733)</f>
        <v/>
      </c>
      <c r="AG743" s="4" t="str">
        <f>T1.WELL("",E733,H733,K733)</f>
        <v/>
      </c>
      <c r="AH743" s="4" t="str">
        <f>T1.WELL("",E733,H733,K733)</f>
        <v/>
      </c>
      <c r="AI743" s="4" t="str">
        <f>T1.WELL("",E733,H733,K733)</f>
        <v/>
      </c>
      <c r="AJ743" s="4" t="str">
        <f>T1.WELL("",E733,H733,K733)</f>
        <v/>
      </c>
      <c r="AK743" s="4" t="str">
        <f>T1.WELL("",E733,H733,K733)</f>
        <v/>
      </c>
      <c r="AL743" s="4" t="str">
        <f>T1.WELL("",E733,H733,K733)</f>
        <v/>
      </c>
      <c r="AM743" s="4" t="str">
        <f>T1.WELL("",E733,H733,K733)</f>
        <v/>
      </c>
      <c r="AN743" s="4" t="str">
        <f>T1.WELL("",E733,H733,K733)</f>
        <v/>
      </c>
      <c r="AO743" s="4" t="str">
        <f>T1.WELL("",E733,H733,K733)</f>
        <v/>
      </c>
      <c r="AP743" s="4" t="str">
        <f>T1.WELL("",E733,H733,K733)</f>
        <v/>
      </c>
      <c r="AQ743" s="4" t="str">
        <f>T1.WELL("",E733,H733,K733)</f>
        <v/>
      </c>
      <c r="AR743" s="4" t="str">
        <f>T1.WELL("",E733,H733,K733)</f>
        <v/>
      </c>
      <c r="AS743" s="4" t="str">
        <f>T1.WELL("",E733,H733,K733)</f>
        <v/>
      </c>
      <c r="AT743" s="4" t="str">
        <f>T1.WELL("",E733,H733,K733)</f>
        <v/>
      </c>
      <c r="AU743" s="4" t="str">
        <f>T1.WELL("",E733,H733,K733)</f>
        <v/>
      </c>
      <c r="AV743" s="4" t="str">
        <f>T1.WELL("",E733,H733,K733)</f>
        <v/>
      </c>
      <c r="AW743" s="4" t="str">
        <f>T1.WELL("",E733,H733,K733)</f>
        <v/>
      </c>
      <c r="AX743" s="4" t="str">
        <f>T1.WELL("",E733,H733,K733)</f>
        <v/>
      </c>
      <c r="AY743" s="49"/>
      <c r="AZ743" s="49"/>
      <c r="BA743" s="49"/>
    </row>
    <row r="744" spans="2:53" ht="11.25" hidden="1" customHeight="1">
      <c r="B744" s="36" t="s">
        <v>407</v>
      </c>
      <c r="C744" s="4" t="str">
        <f>T1.WELL("",E733,H733,K733)</f>
        <v/>
      </c>
      <c r="D744" s="4" t="str">
        <f>T1.WELL("",E733,H733,K733)</f>
        <v/>
      </c>
      <c r="E744" s="4" t="str">
        <f>T1.WELL("",E733,H733,K733)</f>
        <v/>
      </c>
      <c r="F744" s="4" t="str">
        <f>T1.WELL("",E733,H733,K733)</f>
        <v/>
      </c>
      <c r="G744" s="4" t="str">
        <f>T1.WELL("",E733,H733,K733)</f>
        <v/>
      </c>
      <c r="H744" s="4" t="str">
        <f>T1.WELL("",E733,H733,K733)</f>
        <v/>
      </c>
      <c r="I744" s="4" t="str">
        <f>T1.WELL("",E733,H733,K733)</f>
        <v/>
      </c>
      <c r="J744" s="4" t="str">
        <f>T1.WELL("",E733,H733,K733)</f>
        <v/>
      </c>
      <c r="K744" s="4" t="str">
        <f>T1.WELL("",E733,H733,K733)</f>
        <v/>
      </c>
      <c r="L744" s="4" t="str">
        <f>T1.WELL("",E733,H733,K733)</f>
        <v/>
      </c>
      <c r="M744" s="4" t="str">
        <f>T1.WELL("",E733,H733,K733)</f>
        <v/>
      </c>
      <c r="N744" s="4" t="str">
        <f>T1.WELL("",E733,H733,K733)</f>
        <v/>
      </c>
      <c r="O744" s="4" t="str">
        <f>T1.WELL("",E733,H733,K733)</f>
        <v/>
      </c>
      <c r="P744" s="4" t="str">
        <f>T1.WELL("",E733,H733,K733)</f>
        <v/>
      </c>
      <c r="Q744" s="4" t="str">
        <f>T1.WELL("",E733,H733,K733)</f>
        <v/>
      </c>
      <c r="R744" s="4" t="str">
        <f>T1.WELL("",E733,H733,K733)</f>
        <v/>
      </c>
      <c r="S744" s="4" t="str">
        <f>T1.WELL("",E733,H733,K733)</f>
        <v/>
      </c>
      <c r="T744" s="4" t="str">
        <f>T1.WELL("",E733,H733,K733)</f>
        <v/>
      </c>
      <c r="U744" s="4" t="str">
        <f>T1.WELL("",E733,H733,K733)</f>
        <v/>
      </c>
      <c r="V744" s="4" t="str">
        <f>T1.WELL("",E733,H733,K733)</f>
        <v/>
      </c>
      <c r="W744" s="4" t="str">
        <f>T1.WELL("",E733,H733,K733)</f>
        <v/>
      </c>
      <c r="X744" s="4" t="str">
        <f>T1.WELL("",E733,H733,K733)</f>
        <v/>
      </c>
      <c r="Y744" s="4" t="str">
        <f>T1.WELL("",E733,H733,K733)</f>
        <v/>
      </c>
      <c r="Z744" s="4" t="str">
        <f>T1.WELL("",E733,H733,K733)</f>
        <v/>
      </c>
      <c r="AA744" s="4" t="str">
        <f>T1.WELL("",E733,H733,K733)</f>
        <v/>
      </c>
      <c r="AB744" s="4" t="str">
        <f>T1.WELL("",E733,H733,K733)</f>
        <v/>
      </c>
      <c r="AC744" s="4" t="str">
        <f>T1.WELL("",E733,H733,K733)</f>
        <v/>
      </c>
      <c r="AD744" s="4" t="str">
        <f>T1.WELL("",E733,H733,K733)</f>
        <v/>
      </c>
      <c r="AE744" s="4" t="str">
        <f>T1.WELL("",E733,H733,K733)</f>
        <v/>
      </c>
      <c r="AF744" s="4" t="str">
        <f>T1.WELL("",E733,H733,K733)</f>
        <v/>
      </c>
      <c r="AG744" s="4" t="str">
        <f>T1.WELL("",E733,H733,K733)</f>
        <v/>
      </c>
      <c r="AH744" s="4" t="str">
        <f>T1.WELL("",E733,H733,K733)</f>
        <v/>
      </c>
      <c r="AI744" s="4" t="str">
        <f>T1.WELL("",E733,H733,K733)</f>
        <v/>
      </c>
      <c r="AJ744" s="4" t="str">
        <f>T1.WELL("",E733,H733,K733)</f>
        <v/>
      </c>
      <c r="AK744" s="4" t="str">
        <f>T1.WELL("",E733,H733,K733)</f>
        <v/>
      </c>
      <c r="AL744" s="4" t="str">
        <f>T1.WELL("",E733,H733,K733)</f>
        <v/>
      </c>
      <c r="AM744" s="4" t="str">
        <f>T1.WELL("",E733,H733,K733)</f>
        <v/>
      </c>
      <c r="AN744" s="4" t="str">
        <f>T1.WELL("",E733,H733,K733)</f>
        <v/>
      </c>
      <c r="AO744" s="4" t="str">
        <f>T1.WELL("",E733,H733,K733)</f>
        <v/>
      </c>
      <c r="AP744" s="4" t="str">
        <f>T1.WELL("",E733,H733,K733)</f>
        <v/>
      </c>
      <c r="AQ744" s="4" t="str">
        <f>T1.WELL("",E733,H733,K733)</f>
        <v/>
      </c>
      <c r="AR744" s="4" t="str">
        <f>T1.WELL("",E733,H733,K733)</f>
        <v/>
      </c>
      <c r="AS744" s="4" t="str">
        <f>T1.WELL("",E733,H733,K733)</f>
        <v/>
      </c>
      <c r="AT744" s="4" t="str">
        <f>T1.WELL("",E733,H733,K733)</f>
        <v/>
      </c>
      <c r="AU744" s="4" t="str">
        <f>T1.WELL("",E733,H733,K733)</f>
        <v/>
      </c>
      <c r="AV744" s="4" t="str">
        <f>T1.WELL("",E733,H733,K733)</f>
        <v/>
      </c>
      <c r="AW744" s="4" t="str">
        <f>T1.WELL("",E733,H733,K733)</f>
        <v/>
      </c>
      <c r="AX744" s="4" t="str">
        <f>T1.WELL("",E733,H733,K733)</f>
        <v/>
      </c>
      <c r="AY744" s="49"/>
      <c r="AZ744" s="49"/>
      <c r="BA744" s="49"/>
    </row>
    <row r="745" spans="2:53" ht="11.25" hidden="1" customHeight="1">
      <c r="B745" s="36" t="s">
        <v>408</v>
      </c>
      <c r="C745" s="4" t="str">
        <f>T1.WELL("",E733,H733,K733)</f>
        <v/>
      </c>
      <c r="D745" s="4" t="str">
        <f>T1.WELL("",E733,H733,K733)</f>
        <v/>
      </c>
      <c r="E745" s="4" t="str">
        <f>T1.WELL("",E733,H733,K733)</f>
        <v/>
      </c>
      <c r="F745" s="4" t="str">
        <f>T1.WELL("",E733,H733,K733)</f>
        <v/>
      </c>
      <c r="G745" s="4" t="str">
        <f>T1.WELL("",E733,H733,K733)</f>
        <v/>
      </c>
      <c r="H745" s="4" t="str">
        <f>T1.WELL("",E733,H733,K733)</f>
        <v/>
      </c>
      <c r="I745" s="4" t="str">
        <f>T1.WELL("",E733,H733,K733)</f>
        <v/>
      </c>
      <c r="J745" s="4" t="str">
        <f>T1.WELL("",E733,H733,K733)</f>
        <v/>
      </c>
      <c r="K745" s="4" t="str">
        <f>T1.WELL("",E733,H733,K733)</f>
        <v/>
      </c>
      <c r="L745" s="4" t="str">
        <f>T1.WELL("",E733,H733,K733)</f>
        <v/>
      </c>
      <c r="M745" s="4" t="str">
        <f>T1.WELL("",E733,H733,K733)</f>
        <v/>
      </c>
      <c r="N745" s="4" t="str">
        <f>T1.WELL("",E733,H733,K733)</f>
        <v/>
      </c>
      <c r="O745" s="4" t="str">
        <f>T1.WELL("",E733,H733,K733)</f>
        <v/>
      </c>
      <c r="P745" s="4" t="str">
        <f>T1.WELL("",E733,H733,K733)</f>
        <v/>
      </c>
      <c r="Q745" s="4" t="str">
        <f>T1.WELL("",E733,H733,K733)</f>
        <v/>
      </c>
      <c r="R745" s="4" t="str">
        <f>T1.WELL("",E733,H733,K733)</f>
        <v/>
      </c>
      <c r="S745" s="4" t="str">
        <f>T1.WELL("",E733,H733,K733)</f>
        <v/>
      </c>
      <c r="T745" s="4" t="str">
        <f>T1.WELL("",E733,H733,K733)</f>
        <v/>
      </c>
      <c r="U745" s="4" t="str">
        <f>T1.WELL("",E733,H733,K733)</f>
        <v/>
      </c>
      <c r="V745" s="4" t="str">
        <f>T1.WELL("",E733,H733,K733)</f>
        <v/>
      </c>
      <c r="W745" s="4" t="str">
        <f>T1.WELL("",E733,H733,K733)</f>
        <v/>
      </c>
      <c r="X745" s="4" t="str">
        <f>T1.WELL("",E733,H733,K733)</f>
        <v/>
      </c>
      <c r="Y745" s="4" t="str">
        <f>T1.WELL("",E733,H733,K733)</f>
        <v/>
      </c>
      <c r="Z745" s="4" t="str">
        <f>T1.WELL("",E733,H733,K733)</f>
        <v/>
      </c>
      <c r="AA745" s="4" t="str">
        <f>T1.WELL("",E733,H733,K733)</f>
        <v/>
      </c>
      <c r="AB745" s="4" t="str">
        <f>T1.WELL("",E733,H733,K733)</f>
        <v/>
      </c>
      <c r="AC745" s="4" t="str">
        <f>T1.WELL("",E733,H733,K733)</f>
        <v/>
      </c>
      <c r="AD745" s="4" t="str">
        <f>T1.WELL("",E733,H733,K733)</f>
        <v/>
      </c>
      <c r="AE745" s="4" t="str">
        <f>T1.WELL("",E733,H733,K733)</f>
        <v/>
      </c>
      <c r="AF745" s="4" t="str">
        <f>T1.WELL("",E733,H733,K733)</f>
        <v/>
      </c>
      <c r="AG745" s="4" t="str">
        <f>T1.WELL("",E733,H733,K733)</f>
        <v/>
      </c>
      <c r="AH745" s="4" t="str">
        <f>T1.WELL("",E733,H733,K733)</f>
        <v/>
      </c>
      <c r="AI745" s="4" t="str">
        <f>T1.WELL("",E733,H733,K733)</f>
        <v/>
      </c>
      <c r="AJ745" s="4" t="str">
        <f>T1.WELL("",E733,H733,K733)</f>
        <v/>
      </c>
      <c r="AK745" s="4" t="str">
        <f>T1.WELL("",E733,H733,K733)</f>
        <v/>
      </c>
      <c r="AL745" s="4" t="str">
        <f>T1.WELL("",E733,H733,K733)</f>
        <v/>
      </c>
      <c r="AM745" s="4" t="str">
        <f>T1.WELL("",E733,H733,K733)</f>
        <v/>
      </c>
      <c r="AN745" s="4" t="str">
        <f>T1.WELL("",E733,H733,K733)</f>
        <v/>
      </c>
      <c r="AO745" s="4" t="str">
        <f>T1.WELL("",E733,H733,K733)</f>
        <v/>
      </c>
      <c r="AP745" s="4" t="str">
        <f>T1.WELL("",E733,H733,K733)</f>
        <v/>
      </c>
      <c r="AQ745" s="4" t="str">
        <f>T1.WELL("",E733,H733,K733)</f>
        <v/>
      </c>
      <c r="AR745" s="4" t="str">
        <f>T1.WELL("",E733,H733,K733)</f>
        <v/>
      </c>
      <c r="AS745" s="4" t="str">
        <f>T1.WELL("",E733,H733,K733)</f>
        <v/>
      </c>
      <c r="AT745" s="4" t="str">
        <f>T1.WELL("",E733,H733,K733)</f>
        <v/>
      </c>
      <c r="AU745" s="4" t="str">
        <f>T1.WELL("",E733,H733,K733)</f>
        <v/>
      </c>
      <c r="AV745" s="4" t="str">
        <f>T1.WELL("",E733,H733,K733)</f>
        <v/>
      </c>
      <c r="AW745" s="4" t="str">
        <f>T1.WELL("",E733,H733,K733)</f>
        <v/>
      </c>
      <c r="AX745" s="4" t="str">
        <f>T1.WELL("",E733,H733,K733)</f>
        <v/>
      </c>
      <c r="AY745" s="49"/>
      <c r="AZ745" s="49"/>
      <c r="BA745" s="49"/>
    </row>
    <row r="746" spans="2:53" ht="11.25" hidden="1" customHeight="1">
      <c r="B746" s="36" t="s">
        <v>409</v>
      </c>
      <c r="C746" s="4" t="str">
        <f>T1.WELL("",E733,H733,K733)</f>
        <v/>
      </c>
      <c r="D746" s="4" t="str">
        <f>T1.WELL("",E733,H733,K733)</f>
        <v/>
      </c>
      <c r="E746" s="4" t="str">
        <f>T1.WELL("",E733,H733,K733)</f>
        <v/>
      </c>
      <c r="F746" s="4" t="str">
        <f>T1.WELL("",E733,H733,K733)</f>
        <v/>
      </c>
      <c r="G746" s="4" t="str">
        <f>T1.WELL("",E733,H733,K733)</f>
        <v/>
      </c>
      <c r="H746" s="4" t="str">
        <f>T1.WELL("",E733,H733,K733)</f>
        <v/>
      </c>
      <c r="I746" s="4" t="str">
        <f>T1.WELL("",E733,H733,K733)</f>
        <v/>
      </c>
      <c r="J746" s="4" t="str">
        <f>T1.WELL("",E733,H733,K733)</f>
        <v/>
      </c>
      <c r="K746" s="4" t="str">
        <f>T1.WELL("",E733,H733,K733)</f>
        <v/>
      </c>
      <c r="L746" s="4" t="str">
        <f>T1.WELL("",E733,H733,K733)</f>
        <v/>
      </c>
      <c r="M746" s="4" t="str">
        <f>T1.WELL("",E733,H733,K733)</f>
        <v/>
      </c>
      <c r="N746" s="4" t="str">
        <f>T1.WELL("",E733,H733,K733)</f>
        <v/>
      </c>
      <c r="O746" s="4" t="str">
        <f>T1.WELL("",E733,H733,K733)</f>
        <v/>
      </c>
      <c r="P746" s="4" t="str">
        <f>T1.WELL("",E733,H733,K733)</f>
        <v/>
      </c>
      <c r="Q746" s="4" t="str">
        <f>T1.WELL("",E733,H733,K733)</f>
        <v/>
      </c>
      <c r="R746" s="4" t="str">
        <f>T1.WELL("",E733,H733,K733)</f>
        <v/>
      </c>
      <c r="S746" s="4" t="str">
        <f>T1.WELL("",E733,H733,K733)</f>
        <v/>
      </c>
      <c r="T746" s="4" t="str">
        <f>T1.WELL("",E733,H733,K733)</f>
        <v/>
      </c>
      <c r="U746" s="4" t="str">
        <f>T1.WELL("",E733,H733,K733)</f>
        <v/>
      </c>
      <c r="V746" s="4" t="str">
        <f>T1.WELL("",E733,H733,K733)</f>
        <v/>
      </c>
      <c r="W746" s="4" t="str">
        <f>T1.WELL("",E733,H733,K733)</f>
        <v/>
      </c>
      <c r="X746" s="4" t="str">
        <f>T1.WELL("",E733,H733,K733)</f>
        <v/>
      </c>
      <c r="Y746" s="4" t="str">
        <f>T1.WELL("",E733,H733,K733)</f>
        <v/>
      </c>
      <c r="Z746" s="4" t="str">
        <f>T1.WELL("",E733,H733,K733)</f>
        <v/>
      </c>
      <c r="AA746" s="4" t="str">
        <f>T1.WELL("",E733,H733,K733)</f>
        <v/>
      </c>
      <c r="AB746" s="4" t="str">
        <f>T1.WELL("",E733,H733,K733)</f>
        <v/>
      </c>
      <c r="AC746" s="4" t="str">
        <f>T1.WELL("",E733,H733,K733)</f>
        <v/>
      </c>
      <c r="AD746" s="4" t="str">
        <f>T1.WELL("",E733,H733,K733)</f>
        <v/>
      </c>
      <c r="AE746" s="4" t="str">
        <f>T1.WELL("",E733,H733,K733)</f>
        <v/>
      </c>
      <c r="AF746" s="4" t="str">
        <f>T1.WELL("",E733,H733,K733)</f>
        <v/>
      </c>
      <c r="AG746" s="4" t="str">
        <f>T1.WELL("",E733,H733,K733)</f>
        <v/>
      </c>
      <c r="AH746" s="4" t="str">
        <f>T1.WELL("",E733,H733,K733)</f>
        <v/>
      </c>
      <c r="AI746" s="4" t="str">
        <f>T1.WELL("",E733,H733,K733)</f>
        <v/>
      </c>
      <c r="AJ746" s="4" t="str">
        <f>T1.WELL("",E733,H733,K733)</f>
        <v/>
      </c>
      <c r="AK746" s="4" t="str">
        <f>T1.WELL("",E733,H733,K733)</f>
        <v/>
      </c>
      <c r="AL746" s="4" t="str">
        <f>T1.WELL("",E733,H733,K733)</f>
        <v/>
      </c>
      <c r="AM746" s="4" t="str">
        <f>T1.WELL("",E733,H733,K733)</f>
        <v/>
      </c>
      <c r="AN746" s="4" t="str">
        <f>T1.WELL("",E733,H733,K733)</f>
        <v/>
      </c>
      <c r="AO746" s="4" t="str">
        <f>T1.WELL("",E733,H733,K733)</f>
        <v/>
      </c>
      <c r="AP746" s="4" t="str">
        <f>T1.WELL("",E733,H733,K733)</f>
        <v/>
      </c>
      <c r="AQ746" s="4" t="str">
        <f>T1.WELL("",E733,H733,K733)</f>
        <v/>
      </c>
      <c r="AR746" s="4" t="str">
        <f>T1.WELL("",E733,H733,K733)</f>
        <v/>
      </c>
      <c r="AS746" s="4" t="str">
        <f>T1.WELL("",E733,H733,K733)</f>
        <v/>
      </c>
      <c r="AT746" s="4" t="str">
        <f>T1.WELL("",E733,H733,K733)</f>
        <v/>
      </c>
      <c r="AU746" s="4" t="str">
        <f>T1.WELL("",E733,H733,K733)</f>
        <v/>
      </c>
      <c r="AV746" s="4" t="str">
        <f>T1.WELL("",E733,H733,K733)</f>
        <v/>
      </c>
      <c r="AW746" s="4" t="str">
        <f>T1.WELL("",E733,H733,K733)</f>
        <v/>
      </c>
      <c r="AX746" s="4" t="str">
        <f>T1.WELL("",E733,H733,K733)</f>
        <v/>
      </c>
      <c r="AY746" s="49"/>
      <c r="AZ746" s="49"/>
      <c r="BA746" s="49"/>
    </row>
    <row r="747" spans="2:53" ht="11.25" hidden="1" customHeight="1">
      <c r="B747" s="36" t="s">
        <v>410</v>
      </c>
      <c r="C747" s="4" t="str">
        <f>T1.WELL("",E733,H733,K733)</f>
        <v/>
      </c>
      <c r="D747" s="4" t="str">
        <f>T1.WELL("",E733,H733,K733)</f>
        <v/>
      </c>
      <c r="E747" s="4" t="str">
        <f>T1.WELL("",E733,H733,K733)</f>
        <v/>
      </c>
      <c r="F747" s="4" t="str">
        <f>T1.WELL("",E733,H733,K733)</f>
        <v/>
      </c>
      <c r="G747" s="4" t="str">
        <f>T1.WELL("",E733,H733,K733)</f>
        <v/>
      </c>
      <c r="H747" s="4" t="str">
        <f>T1.WELL("",E733,H733,K733)</f>
        <v/>
      </c>
      <c r="I747" s="4" t="str">
        <f>T1.WELL("",E733,H733,K733)</f>
        <v/>
      </c>
      <c r="J747" s="4" t="str">
        <f>T1.WELL("",E733,H733,K733)</f>
        <v/>
      </c>
      <c r="K747" s="4" t="str">
        <f>T1.WELL("",E733,H733,K733)</f>
        <v/>
      </c>
      <c r="L747" s="4" t="str">
        <f>T1.WELL("",E733,H733,K733)</f>
        <v/>
      </c>
      <c r="M747" s="4" t="str">
        <f>T1.WELL("",E733,H733,K733)</f>
        <v/>
      </c>
      <c r="N747" s="4" t="str">
        <f>T1.WELL("",E733,H733,K733)</f>
        <v/>
      </c>
      <c r="O747" s="4" t="str">
        <f>T1.WELL("",E733,H733,K733)</f>
        <v/>
      </c>
      <c r="P747" s="4" t="str">
        <f>T1.WELL("",E733,H733,K733)</f>
        <v/>
      </c>
      <c r="Q747" s="4" t="str">
        <f>T1.WELL("",E733,H733,K733)</f>
        <v/>
      </c>
      <c r="R747" s="4" t="str">
        <f>T1.WELL("",E733,H733,K733)</f>
        <v/>
      </c>
      <c r="S747" s="4" t="str">
        <f>T1.WELL("",E733,H733,K733)</f>
        <v/>
      </c>
      <c r="T747" s="4" t="str">
        <f>T1.WELL("",E733,H733,K733)</f>
        <v/>
      </c>
      <c r="U747" s="4" t="str">
        <f>T1.WELL("",E733,H733,K733)</f>
        <v/>
      </c>
      <c r="V747" s="4" t="str">
        <f>T1.WELL("",E733,H733,K733)</f>
        <v/>
      </c>
      <c r="W747" s="4" t="str">
        <f>T1.WELL("",E733,H733,K733)</f>
        <v/>
      </c>
      <c r="X747" s="4" t="str">
        <f>T1.WELL("",E733,H733,K733)</f>
        <v/>
      </c>
      <c r="Y747" s="4" t="str">
        <f>T1.WELL("",E733,H733,K733)</f>
        <v/>
      </c>
      <c r="Z747" s="4" t="str">
        <f>T1.WELL("",E733,H733,K733)</f>
        <v/>
      </c>
      <c r="AA747" s="4" t="str">
        <f>T1.WELL("",E733,H733,K733)</f>
        <v/>
      </c>
      <c r="AB747" s="4" t="str">
        <f>T1.WELL("",E733,H733,K733)</f>
        <v/>
      </c>
      <c r="AC747" s="4" t="str">
        <f>T1.WELL("",E733,H733,K733)</f>
        <v/>
      </c>
      <c r="AD747" s="4" t="str">
        <f>T1.WELL("",E733,H733,K733)</f>
        <v/>
      </c>
      <c r="AE747" s="4" t="str">
        <f>T1.WELL("",E733,H733,K733)</f>
        <v/>
      </c>
      <c r="AF747" s="4" t="str">
        <f>T1.WELL("",E733,H733,K733)</f>
        <v/>
      </c>
      <c r="AG747" s="4" t="str">
        <f>T1.WELL("",E733,H733,K733)</f>
        <v/>
      </c>
      <c r="AH747" s="4" t="str">
        <f>T1.WELL("",E733,H733,K733)</f>
        <v/>
      </c>
      <c r="AI747" s="4" t="str">
        <f>T1.WELL("",E733,H733,K733)</f>
        <v/>
      </c>
      <c r="AJ747" s="4" t="str">
        <f>T1.WELL("",E733,H733,K733)</f>
        <v/>
      </c>
      <c r="AK747" s="4" t="str">
        <f>T1.WELL("",E733,H733,K733)</f>
        <v/>
      </c>
      <c r="AL747" s="4" t="str">
        <f>T1.WELL("",E733,H733,K733)</f>
        <v/>
      </c>
      <c r="AM747" s="4" t="str">
        <f>T1.WELL("",E733,H733,K733)</f>
        <v/>
      </c>
      <c r="AN747" s="4" t="str">
        <f>T1.WELL("",E733,H733,K733)</f>
        <v/>
      </c>
      <c r="AO747" s="4" t="str">
        <f>T1.WELL("",E733,H733,K733)</f>
        <v/>
      </c>
      <c r="AP747" s="4" t="str">
        <f>T1.WELL("",E733,H733,K733)</f>
        <v/>
      </c>
      <c r="AQ747" s="4" t="str">
        <f>T1.WELL("",E733,H733,K733)</f>
        <v/>
      </c>
      <c r="AR747" s="4" t="str">
        <f>T1.WELL("",E733,H733,K733)</f>
        <v/>
      </c>
      <c r="AS747" s="4" t="str">
        <f>T1.WELL("",E733,H733,K733)</f>
        <v/>
      </c>
      <c r="AT747" s="4" t="str">
        <f>T1.WELL("",E733,H733,K733)</f>
        <v/>
      </c>
      <c r="AU747" s="4" t="str">
        <f>T1.WELL("",E733,H733,K733)</f>
        <v/>
      </c>
      <c r="AV747" s="4" t="str">
        <f>T1.WELL("",E733,H733,K733)</f>
        <v/>
      </c>
      <c r="AW747" s="4" t="str">
        <f>T1.WELL("",E733,H733,K733)</f>
        <v/>
      </c>
      <c r="AX747" s="4" t="str">
        <f>T1.WELL("",E733,H733,K733)</f>
        <v/>
      </c>
      <c r="AY747" s="49"/>
      <c r="AZ747" s="49"/>
      <c r="BA747" s="49"/>
    </row>
    <row r="748" spans="2:53" ht="11.25" hidden="1" customHeight="1">
      <c r="B748" s="36" t="s">
        <v>411</v>
      </c>
      <c r="C748" s="4" t="str">
        <f>T1.WELL("",E733,H733,K733)</f>
        <v/>
      </c>
      <c r="D748" s="4" t="str">
        <f>T1.WELL("",E733,H733,K733)</f>
        <v/>
      </c>
      <c r="E748" s="4" t="str">
        <f>T1.WELL("",E733,H733,K733)</f>
        <v/>
      </c>
      <c r="F748" s="4" t="str">
        <f>T1.WELL("",E733,H733,K733)</f>
        <v/>
      </c>
      <c r="G748" s="4" t="str">
        <f>T1.WELL("",E733,H733,K733)</f>
        <v/>
      </c>
      <c r="H748" s="4" t="str">
        <f>T1.WELL("",E733,H733,K733)</f>
        <v/>
      </c>
      <c r="I748" s="4" t="str">
        <f>T1.WELL("",E733,H733,K733)</f>
        <v/>
      </c>
      <c r="J748" s="4" t="str">
        <f>T1.WELL("",E733,H733,K733)</f>
        <v/>
      </c>
      <c r="K748" s="4" t="str">
        <f>T1.WELL("",E733,H733,K733)</f>
        <v/>
      </c>
      <c r="L748" s="4" t="str">
        <f>T1.WELL("",E733,H733,K733)</f>
        <v/>
      </c>
      <c r="M748" s="4" t="str">
        <f>T1.WELL("",E733,H733,K733)</f>
        <v/>
      </c>
      <c r="N748" s="4" t="str">
        <f>T1.WELL("",E733,H733,K733)</f>
        <v/>
      </c>
      <c r="O748" s="4" t="str">
        <f>T1.WELL("",E733,H733,K733)</f>
        <v/>
      </c>
      <c r="P748" s="4" t="str">
        <f>T1.WELL("",E733,H733,K733)</f>
        <v/>
      </c>
      <c r="Q748" s="4" t="str">
        <f>T1.WELL("",E733,H733,K733)</f>
        <v/>
      </c>
      <c r="R748" s="4" t="str">
        <f>T1.WELL("",E733,H733,K733)</f>
        <v/>
      </c>
      <c r="S748" s="4" t="str">
        <f>T1.WELL("",E733,H733,K733)</f>
        <v/>
      </c>
      <c r="T748" s="4" t="str">
        <f>T1.WELL("",E733,H733,K733)</f>
        <v/>
      </c>
      <c r="U748" s="4" t="str">
        <f>T1.WELL("",E733,H733,K733)</f>
        <v/>
      </c>
      <c r="V748" s="4" t="str">
        <f>T1.WELL("",E733,H733,K733)</f>
        <v/>
      </c>
      <c r="W748" s="4" t="str">
        <f>T1.WELL("",E733,H733,K733)</f>
        <v/>
      </c>
      <c r="X748" s="4" t="str">
        <f>T1.WELL("",E733,H733,K733)</f>
        <v/>
      </c>
      <c r="Y748" s="4" t="str">
        <f>T1.WELL("",E733,H733,K733)</f>
        <v/>
      </c>
      <c r="Z748" s="4" t="str">
        <f>T1.WELL("",E733,H733,K733)</f>
        <v/>
      </c>
      <c r="AA748" s="4" t="str">
        <f>T1.WELL("",E733,H733,K733)</f>
        <v/>
      </c>
      <c r="AB748" s="4" t="str">
        <f>T1.WELL("",E733,H733,K733)</f>
        <v/>
      </c>
      <c r="AC748" s="4" t="str">
        <f>T1.WELL("",E733,H733,K733)</f>
        <v/>
      </c>
      <c r="AD748" s="4" t="str">
        <f>T1.WELL("",E733,H733,K733)</f>
        <v/>
      </c>
      <c r="AE748" s="4" t="str">
        <f>T1.WELL("",E733,H733,K733)</f>
        <v/>
      </c>
      <c r="AF748" s="4" t="str">
        <f>T1.WELL("",E733,H733,K733)</f>
        <v/>
      </c>
      <c r="AG748" s="4" t="str">
        <f>T1.WELL("",E733,H733,K733)</f>
        <v/>
      </c>
      <c r="AH748" s="4" t="str">
        <f>T1.WELL("",E733,H733,K733)</f>
        <v/>
      </c>
      <c r="AI748" s="4" t="str">
        <f>T1.WELL("",E733,H733,K733)</f>
        <v/>
      </c>
      <c r="AJ748" s="4" t="str">
        <f>T1.WELL("",E733,H733,K733)</f>
        <v/>
      </c>
      <c r="AK748" s="4" t="str">
        <f>T1.WELL("",E733,H733,K733)</f>
        <v/>
      </c>
      <c r="AL748" s="4" t="str">
        <f>T1.WELL("",E733,H733,K733)</f>
        <v/>
      </c>
      <c r="AM748" s="4" t="str">
        <f>T1.WELL("",E733,H733,K733)</f>
        <v/>
      </c>
      <c r="AN748" s="4" t="str">
        <f>T1.WELL("",E733,H733,K733)</f>
        <v/>
      </c>
      <c r="AO748" s="4" t="str">
        <f>T1.WELL("",E733,H733,K733)</f>
        <v/>
      </c>
      <c r="AP748" s="4" t="str">
        <f>T1.WELL("",E733,H733,K733)</f>
        <v/>
      </c>
      <c r="AQ748" s="4" t="str">
        <f>T1.WELL("",E733,H733,K733)</f>
        <v/>
      </c>
      <c r="AR748" s="4" t="str">
        <f>T1.WELL("",E733,H733,K733)</f>
        <v/>
      </c>
      <c r="AS748" s="4" t="str">
        <f>T1.WELL("",E733,H733,K733)</f>
        <v/>
      </c>
      <c r="AT748" s="4" t="str">
        <f>T1.WELL("",E733,H733,K733)</f>
        <v/>
      </c>
      <c r="AU748" s="4" t="str">
        <f>T1.WELL("",E733,H733,K733)</f>
        <v/>
      </c>
      <c r="AV748" s="4" t="str">
        <f>T1.WELL("",E733,H733,K733)</f>
        <v/>
      </c>
      <c r="AW748" s="4" t="str">
        <f>T1.WELL("",E733,H733,K733)</f>
        <v/>
      </c>
      <c r="AX748" s="4" t="str">
        <f>T1.WELL("",E733,H733,K733)</f>
        <v/>
      </c>
      <c r="AY748" s="49"/>
      <c r="AZ748" s="49"/>
      <c r="BA748" s="49"/>
    </row>
    <row r="749" spans="2:53" ht="11.25" hidden="1" customHeight="1">
      <c r="B749" s="36" t="s">
        <v>412</v>
      </c>
      <c r="C749" s="4" t="str">
        <f>T1.WELL("",E733,H733,K733)</f>
        <v/>
      </c>
      <c r="D749" s="4" t="str">
        <f>T1.WELL("",E733,H733,K733)</f>
        <v/>
      </c>
      <c r="E749" s="4" t="str">
        <f>T1.WELL("",E733,H733,K733)</f>
        <v/>
      </c>
      <c r="F749" s="4" t="str">
        <f>T1.WELL("",E733,H733,K733)</f>
        <v/>
      </c>
      <c r="G749" s="4" t="str">
        <f>T1.WELL("",E733,H733,K733)</f>
        <v/>
      </c>
      <c r="H749" s="4" t="str">
        <f>T1.WELL("",E733,H733,K733)</f>
        <v/>
      </c>
      <c r="I749" s="4" t="str">
        <f>T1.WELL("",E733,H733,K733)</f>
        <v/>
      </c>
      <c r="J749" s="4" t="str">
        <f>T1.WELL("",E733,H733,K733)</f>
        <v/>
      </c>
      <c r="K749" s="4" t="str">
        <f>T1.WELL("",E733,H733,K733)</f>
        <v/>
      </c>
      <c r="L749" s="4" t="str">
        <f>T1.WELL("",E733,H733,K733)</f>
        <v/>
      </c>
      <c r="M749" s="4" t="str">
        <f>T1.WELL("",E733,H733,K733)</f>
        <v/>
      </c>
      <c r="N749" s="4" t="str">
        <f>T1.WELL("",E733,H733,K733)</f>
        <v/>
      </c>
      <c r="O749" s="4" t="str">
        <f>T1.WELL("",E733,H733,K733)</f>
        <v/>
      </c>
      <c r="P749" s="4" t="str">
        <f>T1.WELL("",E733,H733,K733)</f>
        <v/>
      </c>
      <c r="Q749" s="4" t="str">
        <f>T1.WELL("",E733,H733,K733)</f>
        <v/>
      </c>
      <c r="R749" s="4" t="str">
        <f>T1.WELL("",E733,H733,K733)</f>
        <v/>
      </c>
      <c r="S749" s="4" t="str">
        <f>T1.WELL("",E733,H733,K733)</f>
        <v/>
      </c>
      <c r="T749" s="4" t="str">
        <f>T1.WELL("",E733,H733,K733)</f>
        <v/>
      </c>
      <c r="U749" s="4" t="str">
        <f>T1.WELL("",E733,H733,K733)</f>
        <v/>
      </c>
      <c r="V749" s="4" t="str">
        <f>T1.WELL("",E733,H733,K733)</f>
        <v/>
      </c>
      <c r="W749" s="4" t="str">
        <f>T1.WELL("",E733,H733,K733)</f>
        <v/>
      </c>
      <c r="X749" s="4" t="str">
        <f>T1.WELL("",E733,H733,K733)</f>
        <v/>
      </c>
      <c r="Y749" s="4" t="str">
        <f>T1.WELL("",E733,H733,K733)</f>
        <v/>
      </c>
      <c r="Z749" s="4" t="str">
        <f>T1.WELL("",E733,H733,K733)</f>
        <v/>
      </c>
      <c r="AA749" s="4" t="str">
        <f>T1.WELL("",E733,H733,K733)</f>
        <v/>
      </c>
      <c r="AB749" s="4" t="str">
        <f>T1.WELL("",E733,H733,K733)</f>
        <v/>
      </c>
      <c r="AC749" s="4" t="str">
        <f>T1.WELL("",E733,H733,K733)</f>
        <v/>
      </c>
      <c r="AD749" s="4" t="str">
        <f>T1.WELL("",E733,H733,K733)</f>
        <v/>
      </c>
      <c r="AE749" s="4" t="str">
        <f>T1.WELL("",E733,H733,K733)</f>
        <v/>
      </c>
      <c r="AF749" s="4" t="str">
        <f>T1.WELL("",E733,H733,K733)</f>
        <v/>
      </c>
      <c r="AG749" s="4" t="str">
        <f>T1.WELL("",E733,H733,K733)</f>
        <v/>
      </c>
      <c r="AH749" s="4" t="str">
        <f>T1.WELL("",E733,H733,K733)</f>
        <v/>
      </c>
      <c r="AI749" s="4" t="str">
        <f>T1.WELL("",E733,H733,K733)</f>
        <v/>
      </c>
      <c r="AJ749" s="4" t="str">
        <f>T1.WELL("",E733,H733,K733)</f>
        <v/>
      </c>
      <c r="AK749" s="4" t="str">
        <f>T1.WELL("",E733,H733,K733)</f>
        <v/>
      </c>
      <c r="AL749" s="4" t="str">
        <f>T1.WELL("",E733,H733,K733)</f>
        <v/>
      </c>
      <c r="AM749" s="4" t="str">
        <f>T1.WELL("",E733,H733,K733)</f>
        <v/>
      </c>
      <c r="AN749" s="4" t="str">
        <f>T1.WELL("",E733,H733,K733)</f>
        <v/>
      </c>
      <c r="AO749" s="4" t="str">
        <f>T1.WELL("",E733,H733,K733)</f>
        <v/>
      </c>
      <c r="AP749" s="4" t="str">
        <f>T1.WELL("",E733,H733,K733)</f>
        <v/>
      </c>
      <c r="AQ749" s="4" t="str">
        <f>T1.WELL("",E733,H733,K733)</f>
        <v/>
      </c>
      <c r="AR749" s="4" t="str">
        <f>T1.WELL("",E733,H733,K733)</f>
        <v/>
      </c>
      <c r="AS749" s="4" t="str">
        <f>T1.WELL("",E733,H733,K733)</f>
        <v/>
      </c>
      <c r="AT749" s="4" t="str">
        <f>T1.WELL("",E733,H733,K733)</f>
        <v/>
      </c>
      <c r="AU749" s="4" t="str">
        <f>T1.WELL("",E733,H733,K733)</f>
        <v/>
      </c>
      <c r="AV749" s="4" t="str">
        <f>T1.WELL("",E733,H733,K733)</f>
        <v/>
      </c>
      <c r="AW749" s="4" t="str">
        <f>T1.WELL("",E733,H733,K733)</f>
        <v/>
      </c>
      <c r="AX749" s="4" t="str">
        <f>T1.WELL("",E733,H733,K733)</f>
        <v/>
      </c>
      <c r="AY749" s="49"/>
      <c r="AZ749" s="49"/>
      <c r="BA749" s="49"/>
    </row>
    <row r="750" spans="2:53" ht="11.25" hidden="1" customHeight="1">
      <c r="B750" s="36" t="s">
        <v>413</v>
      </c>
      <c r="C750" s="4" t="str">
        <f>T1.WELL("",E733,H733,K733)</f>
        <v/>
      </c>
      <c r="D750" s="4" t="str">
        <f>T1.WELL("",E733,H733,K733)</f>
        <v/>
      </c>
      <c r="E750" s="4" t="str">
        <f>T1.WELL("",E733,H733,K733)</f>
        <v/>
      </c>
      <c r="F750" s="4" t="str">
        <f>T1.WELL("",E733,H733,K733)</f>
        <v/>
      </c>
      <c r="G750" s="4" t="str">
        <f>T1.WELL("",E733,H733,K733)</f>
        <v/>
      </c>
      <c r="H750" s="4" t="str">
        <f>T1.WELL("",E733,H733,K733)</f>
        <v/>
      </c>
      <c r="I750" s="4" t="str">
        <f>T1.WELL("",E733,H733,K733)</f>
        <v/>
      </c>
      <c r="J750" s="4" t="str">
        <f>T1.WELL("",E733,H733,K733)</f>
        <v/>
      </c>
      <c r="K750" s="4" t="str">
        <f>T1.WELL("",E733,H733,K733)</f>
        <v/>
      </c>
      <c r="L750" s="4" t="str">
        <f>T1.WELL("",E733,H733,K733)</f>
        <v/>
      </c>
      <c r="M750" s="4" t="str">
        <f>T1.WELL("",E733,H733,K733)</f>
        <v/>
      </c>
      <c r="N750" s="4" t="str">
        <f>T1.WELL("",E733,H733,K733)</f>
        <v/>
      </c>
      <c r="O750" s="4" t="str">
        <f>T1.WELL("",E733,H733,K733)</f>
        <v/>
      </c>
      <c r="P750" s="4" t="str">
        <f>T1.WELL("",E733,H733,K733)</f>
        <v/>
      </c>
      <c r="Q750" s="4" t="str">
        <f>T1.WELL("",E733,H733,K733)</f>
        <v/>
      </c>
      <c r="R750" s="4" t="str">
        <f>T1.WELL("",E733,H733,K733)</f>
        <v/>
      </c>
      <c r="S750" s="4" t="str">
        <f>T1.WELL("",E733,H733,K733)</f>
        <v/>
      </c>
      <c r="T750" s="4" t="str">
        <f>T1.WELL("",E733,H733,K733)</f>
        <v/>
      </c>
      <c r="U750" s="4" t="str">
        <f>T1.WELL("",E733,H733,K733)</f>
        <v/>
      </c>
      <c r="V750" s="4" t="str">
        <f>T1.WELL("",E733,H733,K733)</f>
        <v/>
      </c>
      <c r="W750" s="4" t="str">
        <f>T1.WELL("",E733,H733,K733)</f>
        <v/>
      </c>
      <c r="X750" s="4" t="str">
        <f>T1.WELL("",E733,H733,K733)</f>
        <v/>
      </c>
      <c r="Y750" s="4" t="str">
        <f>T1.WELL("",E733,H733,K733)</f>
        <v/>
      </c>
      <c r="Z750" s="4" t="str">
        <f>T1.WELL("",E733,H733,K733)</f>
        <v/>
      </c>
      <c r="AA750" s="4" t="str">
        <f>T1.WELL("",E733,H733,K733)</f>
        <v/>
      </c>
      <c r="AB750" s="4" t="str">
        <f>T1.WELL("",E733,H733,K733)</f>
        <v/>
      </c>
      <c r="AC750" s="4" t="str">
        <f>T1.WELL("",E733,H733,K733)</f>
        <v/>
      </c>
      <c r="AD750" s="4" t="str">
        <f>T1.WELL("",E733,H733,K733)</f>
        <v/>
      </c>
      <c r="AE750" s="4" t="str">
        <f>T1.WELL("",E733,H733,K733)</f>
        <v/>
      </c>
      <c r="AF750" s="4" t="str">
        <f>T1.WELL("",E733,H733,K733)</f>
        <v/>
      </c>
      <c r="AG750" s="4" t="str">
        <f>T1.WELL("",E733,H733,K733)</f>
        <v/>
      </c>
      <c r="AH750" s="4" t="str">
        <f>T1.WELL("",E733,H733,K733)</f>
        <v/>
      </c>
      <c r="AI750" s="4" t="str">
        <f>T1.WELL("",E733,H733,K733)</f>
        <v/>
      </c>
      <c r="AJ750" s="4" t="str">
        <f>T1.WELL("",E733,H733,K733)</f>
        <v/>
      </c>
      <c r="AK750" s="4" t="str">
        <f>T1.WELL("",E733,H733,K733)</f>
        <v/>
      </c>
      <c r="AL750" s="4" t="str">
        <f>T1.WELL("",E733,H733,K733)</f>
        <v/>
      </c>
      <c r="AM750" s="4" t="str">
        <f>T1.WELL("",E733,H733,K733)</f>
        <v/>
      </c>
      <c r="AN750" s="4" t="str">
        <f>T1.WELL("",E733,H733,K733)</f>
        <v/>
      </c>
      <c r="AO750" s="4" t="str">
        <f>T1.WELL("",E733,H733,K733)</f>
        <v/>
      </c>
      <c r="AP750" s="4" t="str">
        <f>T1.WELL("",E733,H733,K733)</f>
        <v/>
      </c>
      <c r="AQ750" s="4" t="str">
        <f>T1.WELL("",E733,H733,K733)</f>
        <v/>
      </c>
      <c r="AR750" s="4" t="str">
        <f>T1.WELL("",E733,H733,K733)</f>
        <v/>
      </c>
      <c r="AS750" s="4" t="str">
        <f>T1.WELL("",E733,H733,K733)</f>
        <v/>
      </c>
      <c r="AT750" s="4" t="str">
        <f>T1.WELL("",E733,H733,K733)</f>
        <v/>
      </c>
      <c r="AU750" s="4" t="str">
        <f>T1.WELL("",E733,H733,K733)</f>
        <v/>
      </c>
      <c r="AV750" s="4" t="str">
        <f>T1.WELL("",E733,H733,K733)</f>
        <v/>
      </c>
      <c r="AW750" s="4" t="str">
        <f>T1.WELL("",E733,H733,K733)</f>
        <v/>
      </c>
      <c r="AX750" s="4" t="str">
        <f>T1.WELL("",E733,H733,K733)</f>
        <v/>
      </c>
      <c r="AY750" s="49"/>
      <c r="AZ750" s="49"/>
      <c r="BA750" s="49"/>
    </row>
    <row r="751" spans="2:53" ht="11.25" hidden="1" customHeight="1">
      <c r="B751" s="36" t="s">
        <v>414</v>
      </c>
      <c r="C751" s="4" t="str">
        <f>T1.WELL("",E733,H733,K733)</f>
        <v/>
      </c>
      <c r="D751" s="4" t="str">
        <f>T1.WELL("",E733,H733,K733)</f>
        <v/>
      </c>
      <c r="E751" s="4" t="str">
        <f>T1.WELL("",E733,H733,K733)</f>
        <v/>
      </c>
      <c r="F751" s="4" t="str">
        <f>T1.WELL("",E733,H733,K733)</f>
        <v/>
      </c>
      <c r="G751" s="4" t="str">
        <f>T1.WELL("",E733,H733,K733)</f>
        <v/>
      </c>
      <c r="H751" s="4" t="str">
        <f>T1.WELL("",E733,H733,K733)</f>
        <v/>
      </c>
      <c r="I751" s="4" t="str">
        <f>T1.WELL("",E733,H733,K733)</f>
        <v/>
      </c>
      <c r="J751" s="4" t="str">
        <f>T1.WELL("",E733,H733,K733)</f>
        <v/>
      </c>
      <c r="K751" s="4" t="str">
        <f>T1.WELL("",E733,H733,K733)</f>
        <v/>
      </c>
      <c r="L751" s="4" t="str">
        <f>T1.WELL("",E733,H733,K733)</f>
        <v/>
      </c>
      <c r="M751" s="4" t="str">
        <f>T1.WELL("",E733,H733,K733)</f>
        <v/>
      </c>
      <c r="N751" s="4" t="str">
        <f>T1.WELL("",E733,H733,K733)</f>
        <v/>
      </c>
      <c r="O751" s="4" t="str">
        <f>T1.WELL("",E733,H733,K733)</f>
        <v/>
      </c>
      <c r="P751" s="4" t="str">
        <f>T1.WELL("",E733,H733,K733)</f>
        <v/>
      </c>
      <c r="Q751" s="4" t="str">
        <f>T1.WELL("",E733,H733,K733)</f>
        <v/>
      </c>
      <c r="R751" s="4" t="str">
        <f>T1.WELL("",E733,H733,K733)</f>
        <v/>
      </c>
      <c r="S751" s="4" t="str">
        <f>T1.WELL("",E733,H733,K733)</f>
        <v/>
      </c>
      <c r="T751" s="4" t="str">
        <f>T1.WELL("",E733,H733,K733)</f>
        <v/>
      </c>
      <c r="U751" s="4" t="str">
        <f>T1.WELL("",E733,H733,K733)</f>
        <v/>
      </c>
      <c r="V751" s="4" t="str">
        <f>T1.WELL("",E733,H733,K733)</f>
        <v/>
      </c>
      <c r="W751" s="4" t="str">
        <f>T1.WELL("",E733,H733,K733)</f>
        <v/>
      </c>
      <c r="X751" s="4" t="str">
        <f>T1.WELL("",E733,H733,K733)</f>
        <v/>
      </c>
      <c r="Y751" s="4" t="str">
        <f>T1.WELL("",E733,H733,K733)</f>
        <v/>
      </c>
      <c r="Z751" s="4" t="str">
        <f>T1.WELL("",E733,H733,K733)</f>
        <v/>
      </c>
      <c r="AA751" s="4" t="str">
        <f>T1.WELL("",E733,H733,K733)</f>
        <v/>
      </c>
      <c r="AB751" s="4" t="str">
        <f>T1.WELL("",E733,H733,K733)</f>
        <v/>
      </c>
      <c r="AC751" s="4" t="str">
        <f>T1.WELL("",E733,H733,K733)</f>
        <v/>
      </c>
      <c r="AD751" s="4" t="str">
        <f>T1.WELL("",E733,H733,K733)</f>
        <v/>
      </c>
      <c r="AE751" s="4" t="str">
        <f>T1.WELL("",E733,H733,K733)</f>
        <v/>
      </c>
      <c r="AF751" s="4" t="str">
        <f>T1.WELL("",E733,H733,K733)</f>
        <v/>
      </c>
      <c r="AG751" s="4" t="str">
        <f>T1.WELL("",E733,H733,K733)</f>
        <v/>
      </c>
      <c r="AH751" s="4" t="str">
        <f>T1.WELL("",E733,H733,K733)</f>
        <v/>
      </c>
      <c r="AI751" s="4" t="str">
        <f>T1.WELL("",E733,H733,K733)</f>
        <v/>
      </c>
      <c r="AJ751" s="4" t="str">
        <f>T1.WELL("",E733,H733,K733)</f>
        <v/>
      </c>
      <c r="AK751" s="4" t="str">
        <f>T1.WELL("",E733,H733,K733)</f>
        <v/>
      </c>
      <c r="AL751" s="4" t="str">
        <f>T1.WELL("",E733,H733,K733)</f>
        <v/>
      </c>
      <c r="AM751" s="4" t="str">
        <f>T1.WELL("",E733,H733,K733)</f>
        <v/>
      </c>
      <c r="AN751" s="4" t="str">
        <f>T1.WELL("",E733,H733,K733)</f>
        <v/>
      </c>
      <c r="AO751" s="4" t="str">
        <f>T1.WELL("",E733,H733,K733)</f>
        <v/>
      </c>
      <c r="AP751" s="4" t="str">
        <f>T1.WELL("",E733,H733,K733)</f>
        <v/>
      </c>
      <c r="AQ751" s="4" t="str">
        <f>T1.WELL("",E733,H733,K733)</f>
        <v/>
      </c>
      <c r="AR751" s="4" t="str">
        <f>T1.WELL("",E733,H733,K733)</f>
        <v/>
      </c>
      <c r="AS751" s="4" t="str">
        <f>T1.WELL("",E733,H733,K733)</f>
        <v/>
      </c>
      <c r="AT751" s="4" t="str">
        <f>T1.WELL("",E733,H733,K733)</f>
        <v/>
      </c>
      <c r="AU751" s="4" t="str">
        <f>T1.WELL("",E733,H733,K733)</f>
        <v/>
      </c>
      <c r="AV751" s="4" t="str">
        <f>T1.WELL("",E733,H733,K733)</f>
        <v/>
      </c>
      <c r="AW751" s="4" t="str">
        <f>T1.WELL("",E733,H733,K733)</f>
        <v/>
      </c>
      <c r="AX751" s="4" t="str">
        <f>T1.WELL("",E733,H733,K733)</f>
        <v/>
      </c>
      <c r="AY751" s="49"/>
      <c r="AZ751" s="49"/>
      <c r="BA751" s="49"/>
    </row>
    <row r="752" spans="2:53" ht="11.25" hidden="1" customHeight="1">
      <c r="B752" s="36" t="s">
        <v>1214</v>
      </c>
      <c r="C752" s="4" t="str">
        <f>T1.WELL("",E733,H733,K733)</f>
        <v/>
      </c>
      <c r="D752" s="4" t="str">
        <f>T1.WELL("",E733,H733,K733)</f>
        <v/>
      </c>
      <c r="E752" s="4" t="str">
        <f>T1.WELL("",E733,H733,K733)</f>
        <v/>
      </c>
      <c r="F752" s="4" t="str">
        <f>T1.WELL("",E733,H733,K733)</f>
        <v/>
      </c>
      <c r="G752" s="4" t="str">
        <f>T1.WELL("",E733,H733,K733)</f>
        <v/>
      </c>
      <c r="H752" s="4" t="str">
        <f>T1.WELL("",E733,H733,K733)</f>
        <v/>
      </c>
      <c r="I752" s="4" t="str">
        <f>T1.WELL("",E733,H733,K733)</f>
        <v/>
      </c>
      <c r="J752" s="4" t="str">
        <f>T1.WELL("",E733,H733,K733)</f>
        <v/>
      </c>
      <c r="K752" s="4" t="str">
        <f>T1.WELL("",E733,H733,K733)</f>
        <v/>
      </c>
      <c r="L752" s="4" t="str">
        <f>T1.WELL("",E733,H733,K733)</f>
        <v/>
      </c>
      <c r="M752" s="4" t="str">
        <f>T1.WELL("",E733,H733,K733)</f>
        <v/>
      </c>
      <c r="N752" s="4" t="str">
        <f>T1.WELL("",E733,H733,K733)</f>
        <v/>
      </c>
      <c r="O752" s="4" t="str">
        <f>T1.WELL("",E733,H733,K733)</f>
        <v/>
      </c>
      <c r="P752" s="4" t="str">
        <f>T1.WELL("",E733,H733,K733)</f>
        <v/>
      </c>
      <c r="Q752" s="4" t="str">
        <f>T1.WELL("",E733,H733,K733)</f>
        <v/>
      </c>
      <c r="R752" s="4" t="str">
        <f>T1.WELL("",E733,H733,K733)</f>
        <v/>
      </c>
      <c r="S752" s="4" t="str">
        <f>T1.WELL("",E733,H733,K733)</f>
        <v/>
      </c>
      <c r="T752" s="4" t="str">
        <f>T1.WELL("",E733,H733,K733)</f>
        <v/>
      </c>
      <c r="U752" s="4" t="str">
        <f>T1.WELL("",E733,H733,K733)</f>
        <v/>
      </c>
      <c r="V752" s="4" t="str">
        <f>T1.WELL("",E733,H733,K733)</f>
        <v/>
      </c>
      <c r="W752" s="4" t="str">
        <f>T1.WELL("",E733,H733,K733)</f>
        <v/>
      </c>
      <c r="X752" s="4" t="str">
        <f>T1.WELL("",E733,H733,K733)</f>
        <v/>
      </c>
      <c r="Y752" s="4" t="str">
        <f>T1.WELL("",E733,H733,K733)</f>
        <v/>
      </c>
      <c r="Z752" s="4" t="str">
        <f>T1.WELL("",E733,H733,K733)</f>
        <v/>
      </c>
      <c r="AA752" s="4" t="str">
        <f>T1.WELL("",E733,H733,K733)</f>
        <v/>
      </c>
      <c r="AB752" s="4" t="str">
        <f>T1.WELL("",E733,H733,K733)</f>
        <v/>
      </c>
      <c r="AC752" s="4" t="str">
        <f>T1.WELL("",E733,H733,K733)</f>
        <v/>
      </c>
      <c r="AD752" s="4" t="str">
        <f>T1.WELL("",E733,H733,K733)</f>
        <v/>
      </c>
      <c r="AE752" s="4" t="str">
        <f>T1.WELL("",E733,H733,K733)</f>
        <v/>
      </c>
      <c r="AF752" s="4" t="str">
        <f>T1.WELL("",E733,H733,K733)</f>
        <v/>
      </c>
      <c r="AG752" s="4" t="str">
        <f>T1.WELL("",E733,H733,K733)</f>
        <v/>
      </c>
      <c r="AH752" s="4" t="str">
        <f>T1.WELL("",E733,H733,K733)</f>
        <v/>
      </c>
      <c r="AI752" s="4" t="str">
        <f>T1.WELL("",E733,H733,K733)</f>
        <v/>
      </c>
      <c r="AJ752" s="4" t="str">
        <f>T1.WELL("",E733,H733,K733)</f>
        <v/>
      </c>
      <c r="AK752" s="4" t="str">
        <f>T1.WELL("",E733,H733,K733)</f>
        <v/>
      </c>
      <c r="AL752" s="4" t="str">
        <f>T1.WELL("",E733,H733,K733)</f>
        <v/>
      </c>
      <c r="AM752" s="4" t="str">
        <f>T1.WELL("",E733,H733,K733)</f>
        <v/>
      </c>
      <c r="AN752" s="4" t="str">
        <f>T1.WELL("",E733,H733,K733)</f>
        <v/>
      </c>
      <c r="AO752" s="4" t="str">
        <f>T1.WELL("",E733,H733,K733)</f>
        <v/>
      </c>
      <c r="AP752" s="4" t="str">
        <f>T1.WELL("",E733,H733,K733)</f>
        <v/>
      </c>
      <c r="AQ752" s="4" t="str">
        <f>T1.WELL("",E733,H733,K733)</f>
        <v/>
      </c>
      <c r="AR752" s="4" t="str">
        <f>T1.WELL("",E733,H733,K733)</f>
        <v/>
      </c>
      <c r="AS752" s="4" t="str">
        <f>T1.WELL("",E733,H733,K733)</f>
        <v/>
      </c>
      <c r="AT752" s="4" t="str">
        <f>T1.WELL("",E733,H733,K733)</f>
        <v/>
      </c>
      <c r="AU752" s="4" t="str">
        <f>T1.WELL("",E733,H733,K733)</f>
        <v/>
      </c>
      <c r="AV752" s="4" t="str">
        <f>T1.WELL("",E733,H733,K733)</f>
        <v/>
      </c>
      <c r="AW752" s="4" t="str">
        <f>T1.WELL("",E733,H733,K733)</f>
        <v/>
      </c>
      <c r="AX752" s="4" t="str">
        <f>T1.WELL("",E733,H733,K733)</f>
        <v/>
      </c>
      <c r="AY752" s="49"/>
      <c r="AZ752" s="49"/>
      <c r="BA752" s="49"/>
    </row>
    <row r="753" spans="2:53" ht="11.25" hidden="1" customHeight="1">
      <c r="B753" s="36" t="s">
        <v>1263</v>
      </c>
      <c r="C753" s="4" t="str">
        <f>T1.WELL("",E733,H733,K733)</f>
        <v/>
      </c>
      <c r="D753" s="4" t="str">
        <f>T1.WELL("",E733,H733,K733)</f>
        <v/>
      </c>
      <c r="E753" s="4" t="str">
        <f>T1.WELL("",E733,H733,K733)</f>
        <v/>
      </c>
      <c r="F753" s="4" t="str">
        <f>T1.WELL("",E733,H733,K733)</f>
        <v/>
      </c>
      <c r="G753" s="4" t="str">
        <f>T1.WELL("",E733,H733,K733)</f>
        <v/>
      </c>
      <c r="H753" s="4" t="str">
        <f>T1.WELL("",E733,H733,K733)</f>
        <v/>
      </c>
      <c r="I753" s="4" t="str">
        <f>T1.WELL("",E733,H733,K733)</f>
        <v/>
      </c>
      <c r="J753" s="4" t="str">
        <f>T1.WELL("",E733,H733,K733)</f>
        <v/>
      </c>
      <c r="K753" s="4" t="str">
        <f>T1.WELL("",E733,H733,K733)</f>
        <v/>
      </c>
      <c r="L753" s="4" t="str">
        <f>T1.WELL("",E733,H733,K733)</f>
        <v/>
      </c>
      <c r="M753" s="4" t="str">
        <f>T1.WELL("",E733,H733,K733)</f>
        <v/>
      </c>
      <c r="N753" s="4" t="str">
        <f>T1.WELL("",E733,H733,K733)</f>
        <v/>
      </c>
      <c r="O753" s="4" t="str">
        <f>T1.WELL("",E733,H733,K733)</f>
        <v/>
      </c>
      <c r="P753" s="4" t="str">
        <f>T1.WELL("",E733,H733,K733)</f>
        <v/>
      </c>
      <c r="Q753" s="4" t="str">
        <f>T1.WELL("",E733,H733,K733)</f>
        <v/>
      </c>
      <c r="R753" s="4" t="str">
        <f>T1.WELL("",E733,H733,K733)</f>
        <v/>
      </c>
      <c r="S753" s="4" t="str">
        <f>T1.WELL("",E733,H733,K733)</f>
        <v/>
      </c>
      <c r="T753" s="4" t="str">
        <f>T1.WELL("",E733,H733,K733)</f>
        <v/>
      </c>
      <c r="U753" s="4" t="str">
        <f>T1.WELL("",E733,H733,K733)</f>
        <v/>
      </c>
      <c r="V753" s="4" t="str">
        <f>T1.WELL("",E733,H733,K733)</f>
        <v/>
      </c>
      <c r="W753" s="4" t="str">
        <f>T1.WELL("",E733,H733,K733)</f>
        <v/>
      </c>
      <c r="X753" s="4" t="str">
        <f>T1.WELL("",E733,H733,K733)</f>
        <v/>
      </c>
      <c r="Y753" s="4" t="str">
        <f>T1.WELL("",E733,H733,K733)</f>
        <v/>
      </c>
      <c r="Z753" s="4" t="str">
        <f>T1.WELL("",E733,H733,K733)</f>
        <v/>
      </c>
      <c r="AA753" s="4" t="str">
        <f>T1.WELL("",E733,H733,K733)</f>
        <v/>
      </c>
      <c r="AB753" s="4" t="str">
        <f>T1.WELL("",E733,H733,K733)</f>
        <v/>
      </c>
      <c r="AC753" s="4" t="str">
        <f>T1.WELL("",E733,H733,K733)</f>
        <v/>
      </c>
      <c r="AD753" s="4" t="str">
        <f>T1.WELL("",E733,H733,K733)</f>
        <v/>
      </c>
      <c r="AE753" s="4" t="str">
        <f>T1.WELL("",E733,H733,K733)</f>
        <v/>
      </c>
      <c r="AF753" s="4" t="str">
        <f>T1.WELL("",E733,H733,K733)</f>
        <v/>
      </c>
      <c r="AG753" s="4" t="str">
        <f>T1.WELL("",E733,H733,K733)</f>
        <v/>
      </c>
      <c r="AH753" s="4" t="str">
        <f>T1.WELL("",E733,H733,K733)</f>
        <v/>
      </c>
      <c r="AI753" s="4" t="str">
        <f>T1.WELL("",E733,H733,K733)</f>
        <v/>
      </c>
      <c r="AJ753" s="4" t="str">
        <f>T1.WELL("",E733,H733,K733)</f>
        <v/>
      </c>
      <c r="AK753" s="4" t="str">
        <f>T1.WELL("",E733,H733,K733)</f>
        <v/>
      </c>
      <c r="AL753" s="4" t="str">
        <f>T1.WELL("",E733,H733,K733)</f>
        <v/>
      </c>
      <c r="AM753" s="4" t="str">
        <f>T1.WELL("",E733,H733,K733)</f>
        <v/>
      </c>
      <c r="AN753" s="4" t="str">
        <f>T1.WELL("",E733,H733,K733)</f>
        <v/>
      </c>
      <c r="AO753" s="4" t="str">
        <f>T1.WELL("",E733,H733,K733)</f>
        <v/>
      </c>
      <c r="AP753" s="4" t="str">
        <f>T1.WELL("",E733,H733,K733)</f>
        <v/>
      </c>
      <c r="AQ753" s="4" t="str">
        <f>T1.WELL("",E733,H733,K733)</f>
        <v/>
      </c>
      <c r="AR753" s="4" t="str">
        <f>T1.WELL("",E733,H733,K733)</f>
        <v/>
      </c>
      <c r="AS753" s="4" t="str">
        <f>T1.WELL("",E733,H733,K733)</f>
        <v/>
      </c>
      <c r="AT753" s="4" t="str">
        <f>T1.WELL("",E733,H733,K733)</f>
        <v/>
      </c>
      <c r="AU753" s="4" t="str">
        <f>T1.WELL("",E733,H733,K733)</f>
        <v/>
      </c>
      <c r="AV753" s="4" t="str">
        <f>T1.WELL("",E733,H733,K733)</f>
        <v/>
      </c>
      <c r="AW753" s="4" t="str">
        <f>T1.WELL("",E733,H733,K733)</f>
        <v/>
      </c>
      <c r="AX753" s="4" t="str">
        <f>T1.WELL("",E733,H733,K733)</f>
        <v/>
      </c>
      <c r="AY753" s="49"/>
      <c r="AZ753" s="49"/>
      <c r="BA753" s="49"/>
    </row>
    <row r="754" spans="2:53" ht="11.25" hidden="1" customHeight="1">
      <c r="B754" s="36" t="s">
        <v>1312</v>
      </c>
      <c r="C754" s="4" t="str">
        <f>T1.WELL("",E733,H733,K733)</f>
        <v/>
      </c>
      <c r="D754" s="4" t="str">
        <f>T1.WELL("",E733,H733,K733)</f>
        <v/>
      </c>
      <c r="E754" s="4" t="str">
        <f>T1.WELL("",E733,H733,K733)</f>
        <v/>
      </c>
      <c r="F754" s="4" t="str">
        <f>T1.WELL("",E733,H733,K733)</f>
        <v/>
      </c>
      <c r="G754" s="4" t="str">
        <f>T1.WELL("",E733,H733,K733)</f>
        <v/>
      </c>
      <c r="H754" s="4" t="str">
        <f>T1.WELL("",E733,H733,K733)</f>
        <v/>
      </c>
      <c r="I754" s="4" t="str">
        <f>T1.WELL("",E733,H733,K733)</f>
        <v/>
      </c>
      <c r="J754" s="4" t="str">
        <f>T1.WELL("",E733,H733,K733)</f>
        <v/>
      </c>
      <c r="K754" s="4" t="str">
        <f>T1.WELL("",E733,H733,K733)</f>
        <v/>
      </c>
      <c r="L754" s="4" t="str">
        <f>T1.WELL("",E733,H733,K733)</f>
        <v/>
      </c>
      <c r="M754" s="4" t="str">
        <f>T1.WELL("",E733,H733,K733)</f>
        <v/>
      </c>
      <c r="N754" s="4" t="str">
        <f>T1.WELL("",E733,H733,K733)</f>
        <v/>
      </c>
      <c r="O754" s="4" t="str">
        <f>T1.WELL("",E733,H733,K733)</f>
        <v/>
      </c>
      <c r="P754" s="4" t="str">
        <f>T1.WELL("",E733,H733,K733)</f>
        <v/>
      </c>
      <c r="Q754" s="4" t="str">
        <f>T1.WELL("",E733,H733,K733)</f>
        <v/>
      </c>
      <c r="R754" s="4" t="str">
        <f>T1.WELL("",E733,H733,K733)</f>
        <v/>
      </c>
      <c r="S754" s="4" t="str">
        <f>T1.WELL("",E733,H733,K733)</f>
        <v/>
      </c>
      <c r="T754" s="4" t="str">
        <f>T1.WELL("",E733,H733,K733)</f>
        <v/>
      </c>
      <c r="U754" s="4" t="str">
        <f>T1.WELL("",E733,H733,K733)</f>
        <v/>
      </c>
      <c r="V754" s="4" t="str">
        <f>T1.WELL("",E733,H733,K733)</f>
        <v/>
      </c>
      <c r="W754" s="4" t="str">
        <f>T1.WELL("",E733,H733,K733)</f>
        <v/>
      </c>
      <c r="X754" s="4" t="str">
        <f>T1.WELL("",E733,H733,K733)</f>
        <v/>
      </c>
      <c r="Y754" s="4" t="str">
        <f>T1.WELL("",E733,H733,K733)</f>
        <v/>
      </c>
      <c r="Z754" s="4" t="str">
        <f>T1.WELL("",E733,H733,K733)</f>
        <v/>
      </c>
      <c r="AA754" s="4" t="str">
        <f>T1.WELL("",E733,H733,K733)</f>
        <v/>
      </c>
      <c r="AB754" s="4" t="str">
        <f>T1.WELL("",E733,H733,K733)</f>
        <v/>
      </c>
      <c r="AC754" s="4" t="str">
        <f>T1.WELL("",E733,H733,K733)</f>
        <v/>
      </c>
      <c r="AD754" s="4" t="str">
        <f>T1.WELL("",E733,H733,K733)</f>
        <v/>
      </c>
      <c r="AE754" s="4" t="str">
        <f>T1.WELL("",E733,H733,K733)</f>
        <v/>
      </c>
      <c r="AF754" s="4" t="str">
        <f>T1.WELL("",E733,H733,K733)</f>
        <v/>
      </c>
      <c r="AG754" s="4" t="str">
        <f>T1.WELL("",E733,H733,K733)</f>
        <v/>
      </c>
      <c r="AH754" s="4" t="str">
        <f>T1.WELL("",E733,H733,K733)</f>
        <v/>
      </c>
      <c r="AI754" s="4" t="str">
        <f>T1.WELL("",E733,H733,K733)</f>
        <v/>
      </c>
      <c r="AJ754" s="4" t="str">
        <f>T1.WELL("",E733,H733,K733)</f>
        <v/>
      </c>
      <c r="AK754" s="4" t="str">
        <f>T1.WELL("",E733,H733,K733)</f>
        <v/>
      </c>
      <c r="AL754" s="4" t="str">
        <f>T1.WELL("",E733,H733,K733)</f>
        <v/>
      </c>
      <c r="AM754" s="4" t="str">
        <f>T1.WELL("",E733,H733,K733)</f>
        <v/>
      </c>
      <c r="AN754" s="4" t="str">
        <f>T1.WELL("",E733,H733,K733)</f>
        <v/>
      </c>
      <c r="AO754" s="4" t="str">
        <f>T1.WELL("",E733,H733,K733)</f>
        <v/>
      </c>
      <c r="AP754" s="4" t="str">
        <f>T1.WELL("",E733,H733,K733)</f>
        <v/>
      </c>
      <c r="AQ754" s="4" t="str">
        <f>T1.WELL("",E733,H733,K733)</f>
        <v/>
      </c>
      <c r="AR754" s="4" t="str">
        <f>T1.WELL("",E733,H733,K733)</f>
        <v/>
      </c>
      <c r="AS754" s="4" t="str">
        <f>T1.WELL("",E733,H733,K733)</f>
        <v/>
      </c>
      <c r="AT754" s="4" t="str">
        <f>T1.WELL("",E733,H733,K733)</f>
        <v/>
      </c>
      <c r="AU754" s="4" t="str">
        <f>T1.WELL("",E733,H733,K733)</f>
        <v/>
      </c>
      <c r="AV754" s="4" t="str">
        <f>T1.WELL("",E733,H733,K733)</f>
        <v/>
      </c>
      <c r="AW754" s="4" t="str">
        <f>T1.WELL("",E733,H733,K733)</f>
        <v/>
      </c>
      <c r="AX754" s="4" t="str">
        <f>T1.WELL("",E733,H733,K733)</f>
        <v/>
      </c>
      <c r="AY754" s="49"/>
      <c r="AZ754" s="49"/>
      <c r="BA754" s="49"/>
    </row>
    <row r="755" spans="2:53" ht="11.25" hidden="1" customHeight="1">
      <c r="B755" s="36" t="s">
        <v>1361</v>
      </c>
      <c r="C755" s="4" t="str">
        <f>T1.WELL("",E733,H733,K733)</f>
        <v/>
      </c>
      <c r="D755" s="4" t="str">
        <f>T1.WELL("",E733,H733,K733)</f>
        <v/>
      </c>
      <c r="E755" s="4" t="str">
        <f>T1.WELL("",E733,H733,K733)</f>
        <v/>
      </c>
      <c r="F755" s="4" t="str">
        <f>T1.WELL("",E733,H733,K733)</f>
        <v/>
      </c>
      <c r="G755" s="4" t="str">
        <f>T1.WELL("",E733,H733,K733)</f>
        <v/>
      </c>
      <c r="H755" s="4" t="str">
        <f>T1.WELL("",E733,H733,K733)</f>
        <v/>
      </c>
      <c r="I755" s="4" t="str">
        <f>T1.WELL("",E733,H733,K733)</f>
        <v/>
      </c>
      <c r="J755" s="4" t="str">
        <f>T1.WELL("",E733,H733,K733)</f>
        <v/>
      </c>
      <c r="K755" s="4" t="str">
        <f>T1.WELL("",E733,H733,K733)</f>
        <v/>
      </c>
      <c r="L755" s="4" t="str">
        <f>T1.WELL("",E733,H733,K733)</f>
        <v/>
      </c>
      <c r="M755" s="4" t="str">
        <f>T1.WELL("",E733,H733,K733)</f>
        <v/>
      </c>
      <c r="N755" s="4" t="str">
        <f>T1.WELL("",E733,H733,K733)</f>
        <v/>
      </c>
      <c r="O755" s="4" t="str">
        <f>T1.WELL("",E733,H733,K733)</f>
        <v/>
      </c>
      <c r="P755" s="4" t="str">
        <f>T1.WELL("",E733,H733,K733)</f>
        <v/>
      </c>
      <c r="Q755" s="4" t="str">
        <f>T1.WELL("",E733,H733,K733)</f>
        <v/>
      </c>
      <c r="R755" s="4" t="str">
        <f>T1.WELL("",E733,H733,K733)</f>
        <v/>
      </c>
      <c r="S755" s="4" t="str">
        <f>T1.WELL("",E733,H733,K733)</f>
        <v/>
      </c>
      <c r="T755" s="4" t="str">
        <f>T1.WELL("",E733,H733,K733)</f>
        <v/>
      </c>
      <c r="U755" s="4" t="str">
        <f>T1.WELL("",E733,H733,K733)</f>
        <v/>
      </c>
      <c r="V755" s="4" t="str">
        <f>T1.WELL("",E733,H733,K733)</f>
        <v/>
      </c>
      <c r="W755" s="4" t="str">
        <f>T1.WELL("",E733,H733,K733)</f>
        <v/>
      </c>
      <c r="X755" s="4" t="str">
        <f>T1.WELL("",E733,H733,K733)</f>
        <v/>
      </c>
      <c r="Y755" s="4" t="str">
        <f>T1.WELL("",E733,H733,K733)</f>
        <v/>
      </c>
      <c r="Z755" s="4" t="str">
        <f>T1.WELL("",E733,H733,K733)</f>
        <v/>
      </c>
      <c r="AA755" s="4" t="str">
        <f>T1.WELL("",E733,H733,K733)</f>
        <v/>
      </c>
      <c r="AB755" s="4" t="str">
        <f>T1.WELL("",E733,H733,K733)</f>
        <v/>
      </c>
      <c r="AC755" s="4" t="str">
        <f>T1.WELL("",E733,H733,K733)</f>
        <v/>
      </c>
      <c r="AD755" s="4" t="str">
        <f>T1.WELL("",E733,H733,K733)</f>
        <v/>
      </c>
      <c r="AE755" s="4" t="str">
        <f>T1.WELL("",E733,H733,K733)</f>
        <v/>
      </c>
      <c r="AF755" s="4" t="str">
        <f>T1.WELL("",E733,H733,K733)</f>
        <v/>
      </c>
      <c r="AG755" s="4" t="str">
        <f>T1.WELL("",E733,H733,K733)</f>
        <v/>
      </c>
      <c r="AH755" s="4" t="str">
        <f>T1.WELL("",E733,H733,K733)</f>
        <v/>
      </c>
      <c r="AI755" s="4" t="str">
        <f>T1.WELL("",E733,H733,K733)</f>
        <v/>
      </c>
      <c r="AJ755" s="4" t="str">
        <f>T1.WELL("",E733,H733,K733)</f>
        <v/>
      </c>
      <c r="AK755" s="4" t="str">
        <f>T1.WELL("",E733,H733,K733)</f>
        <v/>
      </c>
      <c r="AL755" s="4" t="str">
        <f>T1.WELL("",E733,H733,K733)</f>
        <v/>
      </c>
      <c r="AM755" s="4" t="str">
        <f>T1.WELL("",E733,H733,K733)</f>
        <v/>
      </c>
      <c r="AN755" s="4" t="str">
        <f>T1.WELL("",E733,H733,K733)</f>
        <v/>
      </c>
      <c r="AO755" s="4" t="str">
        <f>T1.WELL("",E733,H733,K733)</f>
        <v/>
      </c>
      <c r="AP755" s="4" t="str">
        <f>T1.WELL("",E733,H733,K733)</f>
        <v/>
      </c>
      <c r="AQ755" s="4" t="str">
        <f>T1.WELL("",E733,H733,K733)</f>
        <v/>
      </c>
      <c r="AR755" s="4" t="str">
        <f>T1.WELL("",E733,H733,K733)</f>
        <v/>
      </c>
      <c r="AS755" s="4" t="str">
        <f>T1.WELL("",E733,H733,K733)</f>
        <v/>
      </c>
      <c r="AT755" s="4" t="str">
        <f>T1.WELL("",E733,H733,K733)</f>
        <v/>
      </c>
      <c r="AU755" s="4" t="str">
        <f>T1.WELL("",E733,H733,K733)</f>
        <v/>
      </c>
      <c r="AV755" s="4" t="str">
        <f>T1.WELL("",E733,H733,K733)</f>
        <v/>
      </c>
      <c r="AW755" s="4" t="str">
        <f>T1.WELL("",E733,H733,K733)</f>
        <v/>
      </c>
      <c r="AX755" s="4" t="str">
        <f>T1.WELL("",E733,H733,K733)</f>
        <v/>
      </c>
      <c r="AY755" s="49"/>
      <c r="AZ755" s="49"/>
      <c r="BA755" s="49"/>
    </row>
    <row r="756" spans="2:53" ht="11.25" hidden="1" customHeight="1">
      <c r="B756" s="36" t="s">
        <v>1410</v>
      </c>
      <c r="C756" s="4" t="str">
        <f>T1.WELL("",E733,H733,K733)</f>
        <v/>
      </c>
      <c r="D756" s="4" t="str">
        <f>T1.WELL("",E733,H733,K733)</f>
        <v/>
      </c>
      <c r="E756" s="4" t="str">
        <f>T1.WELL("",E733,H733,K733)</f>
        <v/>
      </c>
      <c r="F756" s="4" t="str">
        <f>T1.WELL("",E733,H733,K733)</f>
        <v/>
      </c>
      <c r="G756" s="4" t="str">
        <f>T1.WELL("",E733,H733,K733)</f>
        <v/>
      </c>
      <c r="H756" s="4" t="str">
        <f>T1.WELL("",E733,H733,K733)</f>
        <v/>
      </c>
      <c r="I756" s="4" t="str">
        <f>T1.WELL("",E733,H733,K733)</f>
        <v/>
      </c>
      <c r="J756" s="4" t="str">
        <f>T1.WELL("",E733,H733,K733)</f>
        <v/>
      </c>
      <c r="K756" s="4" t="str">
        <f>T1.WELL("",E733,H733,K733)</f>
        <v/>
      </c>
      <c r="L756" s="4" t="str">
        <f>T1.WELL("",E733,H733,K733)</f>
        <v/>
      </c>
      <c r="M756" s="4" t="str">
        <f>T1.WELL("",E733,H733,K733)</f>
        <v/>
      </c>
      <c r="N756" s="4" t="str">
        <f>T1.WELL("",E733,H733,K733)</f>
        <v/>
      </c>
      <c r="O756" s="4" t="str">
        <f>T1.WELL("",E733,H733,K733)</f>
        <v/>
      </c>
      <c r="P756" s="4" t="str">
        <f>T1.WELL("",E733,H733,K733)</f>
        <v/>
      </c>
      <c r="Q756" s="4" t="str">
        <f>T1.WELL("",E733,H733,K733)</f>
        <v/>
      </c>
      <c r="R756" s="4" t="str">
        <f>T1.WELL("",E733,H733,K733)</f>
        <v/>
      </c>
      <c r="S756" s="4" t="str">
        <f>T1.WELL("",E733,H733,K733)</f>
        <v/>
      </c>
      <c r="T756" s="4" t="str">
        <f>T1.WELL("",E733,H733,K733)</f>
        <v/>
      </c>
      <c r="U756" s="4" t="str">
        <f>T1.WELL("",E733,H733,K733)</f>
        <v/>
      </c>
      <c r="V756" s="4" t="str">
        <f>T1.WELL("",E733,H733,K733)</f>
        <v/>
      </c>
      <c r="W756" s="4" t="str">
        <f>T1.WELL("",E733,H733,K733)</f>
        <v/>
      </c>
      <c r="X756" s="4" t="str">
        <f>T1.WELL("",E733,H733,K733)</f>
        <v/>
      </c>
      <c r="Y756" s="4" t="str">
        <f>T1.WELL("",E733,H733,K733)</f>
        <v/>
      </c>
      <c r="Z756" s="4" t="str">
        <f>T1.WELL("",E733,H733,K733)</f>
        <v/>
      </c>
      <c r="AA756" s="4" t="str">
        <f>T1.WELL("",E733,H733,K733)</f>
        <v/>
      </c>
      <c r="AB756" s="4" t="str">
        <f>T1.WELL("",E733,H733,K733)</f>
        <v/>
      </c>
      <c r="AC756" s="4" t="str">
        <f>T1.WELL("",E733,H733,K733)</f>
        <v/>
      </c>
      <c r="AD756" s="4" t="str">
        <f>T1.WELL("",E733,H733,K733)</f>
        <v/>
      </c>
      <c r="AE756" s="4" t="str">
        <f>T1.WELL("",E733,H733,K733)</f>
        <v/>
      </c>
      <c r="AF756" s="4" t="str">
        <f>T1.WELL("",E733,H733,K733)</f>
        <v/>
      </c>
      <c r="AG756" s="4" t="str">
        <f>T1.WELL("",E733,H733,K733)</f>
        <v/>
      </c>
      <c r="AH756" s="4" t="str">
        <f>T1.WELL("",E733,H733,K733)</f>
        <v/>
      </c>
      <c r="AI756" s="4" t="str">
        <f>T1.WELL("",E733,H733,K733)</f>
        <v/>
      </c>
      <c r="AJ756" s="4" t="str">
        <f>T1.WELL("",E733,H733,K733)</f>
        <v/>
      </c>
      <c r="AK756" s="4" t="str">
        <f>T1.WELL("",E733,H733,K733)</f>
        <v/>
      </c>
      <c r="AL756" s="4" t="str">
        <f>T1.WELL("",E733,H733,K733)</f>
        <v/>
      </c>
      <c r="AM756" s="4" t="str">
        <f>T1.WELL("",E733,H733,K733)</f>
        <v/>
      </c>
      <c r="AN756" s="4" t="str">
        <f>T1.WELL("",E733,H733,K733)</f>
        <v/>
      </c>
      <c r="AO756" s="4" t="str">
        <f>T1.WELL("",E733,H733,K733)</f>
        <v/>
      </c>
      <c r="AP756" s="4" t="str">
        <f>T1.WELL("",E733,H733,K733)</f>
        <v/>
      </c>
      <c r="AQ756" s="4" t="str">
        <f>T1.WELL("",E733,H733,K733)</f>
        <v/>
      </c>
      <c r="AR756" s="4" t="str">
        <f>T1.WELL("",E733,H733,K733)</f>
        <v/>
      </c>
      <c r="AS756" s="4" t="str">
        <f>T1.WELL("",E733,H733,K733)</f>
        <v/>
      </c>
      <c r="AT756" s="4" t="str">
        <f>T1.WELL("",E733,H733,K733)</f>
        <v/>
      </c>
      <c r="AU756" s="4" t="str">
        <f>T1.WELL("",E733,H733,K733)</f>
        <v/>
      </c>
      <c r="AV756" s="4" t="str">
        <f>T1.WELL("",E733,H733,K733)</f>
        <v/>
      </c>
      <c r="AW756" s="4" t="str">
        <f>T1.WELL("",E733,H733,K733)</f>
        <v/>
      </c>
      <c r="AX756" s="4" t="str">
        <f>T1.WELL("",E733,H733,K733)</f>
        <v/>
      </c>
      <c r="AY756" s="49"/>
      <c r="AZ756" s="49"/>
      <c r="BA756" s="49"/>
    </row>
    <row r="757" spans="2:53" ht="11.25" hidden="1" customHeight="1">
      <c r="B757" s="36" t="s">
        <v>1459</v>
      </c>
      <c r="C757" s="4" t="str">
        <f>T1.WELL("",E733,H733,K733)</f>
        <v/>
      </c>
      <c r="D757" s="4" t="str">
        <f>T1.WELL("",E733,H733,K733)</f>
        <v/>
      </c>
      <c r="E757" s="4" t="str">
        <f>T1.WELL("",E733,H733,K733)</f>
        <v/>
      </c>
      <c r="F757" s="4" t="str">
        <f>T1.WELL("",E733,H733,K733)</f>
        <v/>
      </c>
      <c r="G757" s="4" t="str">
        <f>T1.WELL("",E733,H733,K733)</f>
        <v/>
      </c>
      <c r="H757" s="4" t="str">
        <f>T1.WELL("",E733,H733,K733)</f>
        <v/>
      </c>
      <c r="I757" s="4" t="str">
        <f>T1.WELL("",E733,H733,K733)</f>
        <v/>
      </c>
      <c r="J757" s="4" t="str">
        <f>T1.WELL("",E733,H733,K733)</f>
        <v/>
      </c>
      <c r="K757" s="4" t="str">
        <f>T1.WELL("",E733,H733,K733)</f>
        <v/>
      </c>
      <c r="L757" s="4" t="str">
        <f>T1.WELL("",E733,H733,K733)</f>
        <v/>
      </c>
      <c r="M757" s="4" t="str">
        <f>T1.WELL("",E733,H733,K733)</f>
        <v/>
      </c>
      <c r="N757" s="4" t="str">
        <f>T1.WELL("",E733,H733,K733)</f>
        <v/>
      </c>
      <c r="O757" s="4" t="str">
        <f>T1.WELL("",E733,H733,K733)</f>
        <v/>
      </c>
      <c r="P757" s="4" t="str">
        <f>T1.WELL("",E733,H733,K733)</f>
        <v/>
      </c>
      <c r="Q757" s="4" t="str">
        <f>T1.WELL("",E733,H733,K733)</f>
        <v/>
      </c>
      <c r="R757" s="4" t="str">
        <f>T1.WELL("",E733,H733,K733)</f>
        <v/>
      </c>
      <c r="S757" s="4" t="str">
        <f>T1.WELL("",E733,H733,K733)</f>
        <v/>
      </c>
      <c r="T757" s="4" t="str">
        <f>T1.WELL("",E733,H733,K733)</f>
        <v/>
      </c>
      <c r="U757" s="4" t="str">
        <f>T1.WELL("",E733,H733,K733)</f>
        <v/>
      </c>
      <c r="V757" s="4" t="str">
        <f>T1.WELL("",E733,H733,K733)</f>
        <v/>
      </c>
      <c r="W757" s="4" t="str">
        <f>T1.WELL("",E733,H733,K733)</f>
        <v/>
      </c>
      <c r="X757" s="4" t="str">
        <f>T1.WELL("",E733,H733,K733)</f>
        <v/>
      </c>
      <c r="Y757" s="4" t="str">
        <f>T1.WELL("",E733,H733,K733)</f>
        <v/>
      </c>
      <c r="Z757" s="4" t="str">
        <f>T1.WELL("",E733,H733,K733)</f>
        <v/>
      </c>
      <c r="AA757" s="4" t="str">
        <f>T1.WELL("",E733,H733,K733)</f>
        <v/>
      </c>
      <c r="AB757" s="4" t="str">
        <f>T1.WELL("",E733,H733,K733)</f>
        <v/>
      </c>
      <c r="AC757" s="4" t="str">
        <f>T1.WELL("",E733,H733,K733)</f>
        <v/>
      </c>
      <c r="AD757" s="4" t="str">
        <f>T1.WELL("",E733,H733,K733)</f>
        <v/>
      </c>
      <c r="AE757" s="4" t="str">
        <f>T1.WELL("",E733,H733,K733)</f>
        <v/>
      </c>
      <c r="AF757" s="4" t="str">
        <f>T1.WELL("",E733,H733,K733)</f>
        <v/>
      </c>
      <c r="AG757" s="4" t="str">
        <f>T1.WELL("",E733,H733,K733)</f>
        <v/>
      </c>
      <c r="AH757" s="4" t="str">
        <f>T1.WELL("",E733,H733,K733)</f>
        <v/>
      </c>
      <c r="AI757" s="4" t="str">
        <f>T1.WELL("",E733,H733,K733)</f>
        <v/>
      </c>
      <c r="AJ757" s="4" t="str">
        <f>T1.WELL("",E733,H733,K733)</f>
        <v/>
      </c>
      <c r="AK757" s="4" t="str">
        <f>T1.WELL("",E733,H733,K733)</f>
        <v/>
      </c>
      <c r="AL757" s="4" t="str">
        <f>T1.WELL("",E733,H733,K733)</f>
        <v/>
      </c>
      <c r="AM757" s="4" t="str">
        <f>T1.WELL("",E733,H733,K733)</f>
        <v/>
      </c>
      <c r="AN757" s="4" t="str">
        <f>T1.WELL("",E733,H733,K733)</f>
        <v/>
      </c>
      <c r="AO757" s="4" t="str">
        <f>T1.WELL("",E733,H733,K733)</f>
        <v/>
      </c>
      <c r="AP757" s="4" t="str">
        <f>T1.WELL("",E733,H733,K733)</f>
        <v/>
      </c>
      <c r="AQ757" s="4" t="str">
        <f>T1.WELL("",E733,H733,K733)</f>
        <v/>
      </c>
      <c r="AR757" s="4" t="str">
        <f>T1.WELL("",E733,H733,K733)</f>
        <v/>
      </c>
      <c r="AS757" s="4" t="str">
        <f>T1.WELL("",E733,H733,K733)</f>
        <v/>
      </c>
      <c r="AT757" s="4" t="str">
        <f>T1.WELL("",E733,H733,K733)</f>
        <v/>
      </c>
      <c r="AU757" s="4" t="str">
        <f>T1.WELL("",E733,H733,K733)</f>
        <v/>
      </c>
      <c r="AV757" s="4" t="str">
        <f>T1.WELL("",E733,H733,K733)</f>
        <v/>
      </c>
      <c r="AW757" s="4" t="str">
        <f>T1.WELL("",E733,H733,K733)</f>
        <v/>
      </c>
      <c r="AX757" s="4" t="str">
        <f>T1.WELL("",E733,H733,K733)</f>
        <v/>
      </c>
      <c r="AY757" s="49"/>
      <c r="AZ757" s="49"/>
      <c r="BA757" s="49"/>
    </row>
    <row r="758" spans="2:53" ht="11.25" hidden="1" customHeight="1">
      <c r="B758" s="36" t="s">
        <v>1508</v>
      </c>
      <c r="C758" s="4" t="str">
        <f>T1.WELL("",E733,H733,K733)</f>
        <v/>
      </c>
      <c r="D758" s="4" t="str">
        <f>T1.WELL("",E733,H733,K733)</f>
        <v/>
      </c>
      <c r="E758" s="4" t="str">
        <f>T1.WELL("",E733,H733,K733)</f>
        <v/>
      </c>
      <c r="F758" s="4" t="str">
        <f>T1.WELL("",E733,H733,K733)</f>
        <v/>
      </c>
      <c r="G758" s="4" t="str">
        <f>T1.WELL("",E733,H733,K733)</f>
        <v/>
      </c>
      <c r="H758" s="4" t="str">
        <f>T1.WELL("",E733,H733,K733)</f>
        <v/>
      </c>
      <c r="I758" s="4" t="str">
        <f>T1.WELL("",E733,H733,K733)</f>
        <v/>
      </c>
      <c r="J758" s="4" t="str">
        <f>T1.WELL("",E733,H733,K733)</f>
        <v/>
      </c>
      <c r="K758" s="4" t="str">
        <f>T1.WELL("",E733,H733,K733)</f>
        <v/>
      </c>
      <c r="L758" s="4" t="str">
        <f>T1.WELL("",E733,H733,K733)</f>
        <v/>
      </c>
      <c r="M758" s="4" t="str">
        <f>T1.WELL("",E733,H733,K733)</f>
        <v/>
      </c>
      <c r="N758" s="4" t="str">
        <f>T1.WELL("",E733,H733,K733)</f>
        <v/>
      </c>
      <c r="O758" s="4" t="str">
        <f>T1.WELL("",E733,H733,K733)</f>
        <v/>
      </c>
      <c r="P758" s="4" t="str">
        <f>T1.WELL("",E733,H733,K733)</f>
        <v/>
      </c>
      <c r="Q758" s="4" t="str">
        <f>T1.WELL("",E733,H733,K733)</f>
        <v/>
      </c>
      <c r="R758" s="4" t="str">
        <f>T1.WELL("",E733,H733,K733)</f>
        <v/>
      </c>
      <c r="S758" s="4" t="str">
        <f>T1.WELL("",E733,H733,K733)</f>
        <v/>
      </c>
      <c r="T758" s="4" t="str">
        <f>T1.WELL("",E733,H733,K733)</f>
        <v/>
      </c>
      <c r="U758" s="4" t="str">
        <f>T1.WELL("",E733,H733,K733)</f>
        <v/>
      </c>
      <c r="V758" s="4" t="str">
        <f>T1.WELL("",E733,H733,K733)</f>
        <v/>
      </c>
      <c r="W758" s="4" t="str">
        <f>T1.WELL("",E733,H733,K733)</f>
        <v/>
      </c>
      <c r="X758" s="4" t="str">
        <f>T1.WELL("",E733,H733,K733)</f>
        <v/>
      </c>
      <c r="Y758" s="4" t="str">
        <f>T1.WELL("",E733,H733,K733)</f>
        <v/>
      </c>
      <c r="Z758" s="4" t="str">
        <f>T1.WELL("",E733,H733,K733)</f>
        <v/>
      </c>
      <c r="AA758" s="4" t="str">
        <f>T1.WELL("",E733,H733,K733)</f>
        <v/>
      </c>
      <c r="AB758" s="4" t="str">
        <f>T1.WELL("",E733,H733,K733)</f>
        <v/>
      </c>
      <c r="AC758" s="4" t="str">
        <f>T1.WELL("",E733,H733,K733)</f>
        <v/>
      </c>
      <c r="AD758" s="4" t="str">
        <f>T1.WELL("",E733,H733,K733)</f>
        <v/>
      </c>
      <c r="AE758" s="4" t="str">
        <f>T1.WELL("",E733,H733,K733)</f>
        <v/>
      </c>
      <c r="AF758" s="4" t="str">
        <f>T1.WELL("",E733,H733,K733)</f>
        <v/>
      </c>
      <c r="AG758" s="4" t="str">
        <f>T1.WELL("",E733,H733,K733)</f>
        <v/>
      </c>
      <c r="AH758" s="4" t="str">
        <f>T1.WELL("",E733,H733,K733)</f>
        <v/>
      </c>
      <c r="AI758" s="4" t="str">
        <f>T1.WELL("",E733,H733,K733)</f>
        <v/>
      </c>
      <c r="AJ758" s="4" t="str">
        <f>T1.WELL("",E733,H733,K733)</f>
        <v/>
      </c>
      <c r="AK758" s="4" t="str">
        <f>T1.WELL("",E733,H733,K733)</f>
        <v/>
      </c>
      <c r="AL758" s="4" t="str">
        <f>T1.WELL("",E733,H733,K733)</f>
        <v/>
      </c>
      <c r="AM758" s="4" t="str">
        <f>T1.WELL("",E733,H733,K733)</f>
        <v/>
      </c>
      <c r="AN758" s="4" t="str">
        <f>T1.WELL("",E733,H733,K733)</f>
        <v/>
      </c>
      <c r="AO758" s="4" t="str">
        <f>T1.WELL("",E733,H733,K733)</f>
        <v/>
      </c>
      <c r="AP758" s="4" t="str">
        <f>T1.WELL("",E733,H733,K733)</f>
        <v/>
      </c>
      <c r="AQ758" s="4" t="str">
        <f>T1.WELL("",E733,H733,K733)</f>
        <v/>
      </c>
      <c r="AR758" s="4" t="str">
        <f>T1.WELL("",E733,H733,K733)</f>
        <v/>
      </c>
      <c r="AS758" s="4" t="str">
        <f>T1.WELL("",E733,H733,K733)</f>
        <v/>
      </c>
      <c r="AT758" s="4" t="str">
        <f>T1.WELL("",E733,H733,K733)</f>
        <v/>
      </c>
      <c r="AU758" s="4" t="str">
        <f>T1.WELL("",E733,H733,K733)</f>
        <v/>
      </c>
      <c r="AV758" s="4" t="str">
        <f>T1.WELL("",E733,H733,K733)</f>
        <v/>
      </c>
      <c r="AW758" s="4" t="str">
        <f>T1.WELL("",E733,H733,K733)</f>
        <v/>
      </c>
      <c r="AX758" s="4" t="str">
        <f>T1.WELL("",E733,H733,K733)</f>
        <v/>
      </c>
      <c r="AY758" s="49"/>
      <c r="AZ758" s="49"/>
      <c r="BA758" s="49"/>
    </row>
    <row r="759" spans="2:53" ht="11.25" hidden="1" customHeight="1">
      <c r="B759" s="36" t="s">
        <v>1557</v>
      </c>
      <c r="C759" s="4" t="str">
        <f>T1.WELL("",E733,H733,K733)</f>
        <v/>
      </c>
      <c r="D759" s="4" t="str">
        <f>T1.WELL("",E733,H733,K733)</f>
        <v/>
      </c>
      <c r="E759" s="4" t="str">
        <f>T1.WELL("",E733,H733,K733)</f>
        <v/>
      </c>
      <c r="F759" s="4" t="str">
        <f>T1.WELL("",E733,H733,K733)</f>
        <v/>
      </c>
      <c r="G759" s="4" t="str">
        <f>T1.WELL("",E733,H733,K733)</f>
        <v/>
      </c>
      <c r="H759" s="4" t="str">
        <f>T1.WELL("",E733,H733,K733)</f>
        <v/>
      </c>
      <c r="I759" s="4" t="str">
        <f>T1.WELL("",E733,H733,K733)</f>
        <v/>
      </c>
      <c r="J759" s="4" t="str">
        <f>T1.WELL("",E733,H733,K733)</f>
        <v/>
      </c>
      <c r="K759" s="4" t="str">
        <f>T1.WELL("",E733,H733,K733)</f>
        <v/>
      </c>
      <c r="L759" s="4" t="str">
        <f>T1.WELL("",E733,H733,K733)</f>
        <v/>
      </c>
      <c r="M759" s="4" t="str">
        <f>T1.WELL("",E733,H733,K733)</f>
        <v/>
      </c>
      <c r="N759" s="4" t="str">
        <f>T1.WELL("",E733,H733,K733)</f>
        <v/>
      </c>
      <c r="O759" s="4" t="str">
        <f>T1.WELL("",E733,H733,K733)</f>
        <v/>
      </c>
      <c r="P759" s="4" t="str">
        <f>T1.WELL("",E733,H733,K733)</f>
        <v/>
      </c>
      <c r="Q759" s="4" t="str">
        <f>T1.WELL("",E733,H733,K733)</f>
        <v/>
      </c>
      <c r="R759" s="4" t="str">
        <f>T1.WELL("",E733,H733,K733)</f>
        <v/>
      </c>
      <c r="S759" s="4" t="str">
        <f>T1.WELL("",E733,H733,K733)</f>
        <v/>
      </c>
      <c r="T759" s="4" t="str">
        <f>T1.WELL("",E733,H733,K733)</f>
        <v/>
      </c>
      <c r="U759" s="4" t="str">
        <f>T1.WELL("",E733,H733,K733)</f>
        <v/>
      </c>
      <c r="V759" s="4" t="str">
        <f>T1.WELL("",E733,H733,K733)</f>
        <v/>
      </c>
      <c r="W759" s="4" t="str">
        <f>T1.WELL("",E733,H733,K733)</f>
        <v/>
      </c>
      <c r="X759" s="4" t="str">
        <f>T1.WELL("",E733,H733,K733)</f>
        <v/>
      </c>
      <c r="Y759" s="4" t="str">
        <f>T1.WELL("",E733,H733,K733)</f>
        <v/>
      </c>
      <c r="Z759" s="4" t="str">
        <f>T1.WELL("",E733,H733,K733)</f>
        <v/>
      </c>
      <c r="AA759" s="4" t="str">
        <f>T1.WELL("",E733,H733,K733)</f>
        <v/>
      </c>
      <c r="AB759" s="4" t="str">
        <f>T1.WELL("",E733,H733,K733)</f>
        <v/>
      </c>
      <c r="AC759" s="4" t="str">
        <f>T1.WELL("",E733,H733,K733)</f>
        <v/>
      </c>
      <c r="AD759" s="4" t="str">
        <f>T1.WELL("",E733,H733,K733)</f>
        <v/>
      </c>
      <c r="AE759" s="4" t="str">
        <f>T1.WELL("",E733,H733,K733)</f>
        <v/>
      </c>
      <c r="AF759" s="4" t="str">
        <f>T1.WELL("",E733,H733,K733)</f>
        <v/>
      </c>
      <c r="AG759" s="4" t="str">
        <f>T1.WELL("",E733,H733,K733)</f>
        <v/>
      </c>
      <c r="AH759" s="4" t="str">
        <f>T1.WELL("",E733,H733,K733)</f>
        <v/>
      </c>
      <c r="AI759" s="4" t="str">
        <f>T1.WELL("",E733,H733,K733)</f>
        <v/>
      </c>
      <c r="AJ759" s="4" t="str">
        <f>T1.WELL("",E733,H733,K733)</f>
        <v/>
      </c>
      <c r="AK759" s="4" t="str">
        <f>T1.WELL("",E733,H733,K733)</f>
        <v/>
      </c>
      <c r="AL759" s="4" t="str">
        <f>T1.WELL("",E733,H733,K733)</f>
        <v/>
      </c>
      <c r="AM759" s="4" t="str">
        <f>T1.WELL("",E733,H733,K733)</f>
        <v/>
      </c>
      <c r="AN759" s="4" t="str">
        <f>T1.WELL("",E733,H733,K733)</f>
        <v/>
      </c>
      <c r="AO759" s="4" t="str">
        <f>T1.WELL("",E733,H733,K733)</f>
        <v/>
      </c>
      <c r="AP759" s="4" t="str">
        <f>T1.WELL("",E733,H733,K733)</f>
        <v/>
      </c>
      <c r="AQ759" s="4" t="str">
        <f>T1.WELL("",E733,H733,K733)</f>
        <v/>
      </c>
      <c r="AR759" s="4" t="str">
        <f>T1.WELL("",E733,H733,K733)</f>
        <v/>
      </c>
      <c r="AS759" s="4" t="str">
        <f>T1.WELL("",E733,H733,K733)</f>
        <v/>
      </c>
      <c r="AT759" s="4" t="str">
        <f>T1.WELL("",E733,H733,K733)</f>
        <v/>
      </c>
      <c r="AU759" s="4" t="str">
        <f>T1.WELL("",E733,H733,K733)</f>
        <v/>
      </c>
      <c r="AV759" s="4" t="str">
        <f>T1.WELL("",E733,H733,K733)</f>
        <v/>
      </c>
      <c r="AW759" s="4" t="str">
        <f>T1.WELL("",E733,H733,K733)</f>
        <v/>
      </c>
      <c r="AX759" s="4" t="str">
        <f>T1.WELL("",E733,H733,K733)</f>
        <v/>
      </c>
      <c r="AY759" s="49"/>
      <c r="AZ759" s="49"/>
      <c r="BA759" s="49"/>
    </row>
    <row r="760" spans="2:53" ht="11.25" hidden="1" customHeight="1">
      <c r="B760" s="36" t="s">
        <v>1606</v>
      </c>
      <c r="C760" s="4" t="str">
        <f>T1.WELL("",E733,H733,K733)</f>
        <v/>
      </c>
      <c r="D760" s="4" t="str">
        <f>T1.WELL("",E733,H733,K733)</f>
        <v/>
      </c>
      <c r="E760" s="4" t="str">
        <f>T1.WELL("",E733,H733,K733)</f>
        <v/>
      </c>
      <c r="F760" s="4" t="str">
        <f>T1.WELL("",E733,H733,K733)</f>
        <v/>
      </c>
      <c r="G760" s="4" t="str">
        <f>T1.WELL("",E733,H733,K733)</f>
        <v/>
      </c>
      <c r="H760" s="4" t="str">
        <f>T1.WELL("",E733,H733,K733)</f>
        <v/>
      </c>
      <c r="I760" s="4" t="str">
        <f>T1.WELL("",E733,H733,K733)</f>
        <v/>
      </c>
      <c r="J760" s="4" t="str">
        <f>T1.WELL("",E733,H733,K733)</f>
        <v/>
      </c>
      <c r="K760" s="4" t="str">
        <f>T1.WELL("",E733,H733,K733)</f>
        <v/>
      </c>
      <c r="L760" s="4" t="str">
        <f>T1.WELL("",E733,H733,K733)</f>
        <v/>
      </c>
      <c r="M760" s="4" t="str">
        <f>T1.WELL("",E733,H733,K733)</f>
        <v/>
      </c>
      <c r="N760" s="4" t="str">
        <f>T1.WELL("",E733,H733,K733)</f>
        <v/>
      </c>
      <c r="O760" s="4" t="str">
        <f>T1.WELL("",E733,H733,K733)</f>
        <v/>
      </c>
      <c r="P760" s="4" t="str">
        <f>T1.WELL("",E733,H733,K733)</f>
        <v/>
      </c>
      <c r="Q760" s="4" t="str">
        <f>T1.WELL("",E733,H733,K733)</f>
        <v/>
      </c>
      <c r="R760" s="4" t="str">
        <f>T1.WELL("",E733,H733,K733)</f>
        <v/>
      </c>
      <c r="S760" s="4" t="str">
        <f>T1.WELL("",E733,H733,K733)</f>
        <v/>
      </c>
      <c r="T760" s="4" t="str">
        <f>T1.WELL("",E733,H733,K733)</f>
        <v/>
      </c>
      <c r="U760" s="4" t="str">
        <f>T1.WELL("",E733,H733,K733)</f>
        <v/>
      </c>
      <c r="V760" s="4" t="str">
        <f>T1.WELL("",E733,H733,K733)</f>
        <v/>
      </c>
      <c r="W760" s="4" t="str">
        <f>T1.WELL("",E733,H733,K733)</f>
        <v/>
      </c>
      <c r="X760" s="4" t="str">
        <f>T1.WELL("",E733,H733,K733)</f>
        <v/>
      </c>
      <c r="Y760" s="4" t="str">
        <f>T1.WELL("",E733,H733,K733)</f>
        <v/>
      </c>
      <c r="Z760" s="4" t="str">
        <f>T1.WELL("",E733,H733,K733)</f>
        <v/>
      </c>
      <c r="AA760" s="4" t="str">
        <f>T1.WELL("",E733,H733,K733)</f>
        <v/>
      </c>
      <c r="AB760" s="4" t="str">
        <f>T1.WELL("",E733,H733,K733)</f>
        <v/>
      </c>
      <c r="AC760" s="4" t="str">
        <f>T1.WELL("",E733,H733,K733)</f>
        <v/>
      </c>
      <c r="AD760" s="4" t="str">
        <f>T1.WELL("",E733,H733,K733)</f>
        <v/>
      </c>
      <c r="AE760" s="4" t="str">
        <f>T1.WELL("",E733,H733,K733)</f>
        <v/>
      </c>
      <c r="AF760" s="4" t="str">
        <f>T1.WELL("",E733,H733,K733)</f>
        <v/>
      </c>
      <c r="AG760" s="4" t="str">
        <f>T1.WELL("",E733,H733,K733)</f>
        <v/>
      </c>
      <c r="AH760" s="4" t="str">
        <f>T1.WELL("",E733,H733,K733)</f>
        <v/>
      </c>
      <c r="AI760" s="4" t="str">
        <f>T1.WELL("",E733,H733,K733)</f>
        <v/>
      </c>
      <c r="AJ760" s="4" t="str">
        <f>T1.WELL("",E733,H733,K733)</f>
        <v/>
      </c>
      <c r="AK760" s="4" t="str">
        <f>T1.WELL("",E733,H733,K733)</f>
        <v/>
      </c>
      <c r="AL760" s="4" t="str">
        <f>T1.WELL("",E733,H733,K733)</f>
        <v/>
      </c>
      <c r="AM760" s="4" t="str">
        <f>T1.WELL("",E733,H733,K733)</f>
        <v/>
      </c>
      <c r="AN760" s="4" t="str">
        <f>T1.WELL("",E733,H733,K733)</f>
        <v/>
      </c>
      <c r="AO760" s="4" t="str">
        <f>T1.WELL("",E733,H733,K733)</f>
        <v/>
      </c>
      <c r="AP760" s="4" t="str">
        <f>T1.WELL("",E733,H733,K733)</f>
        <v/>
      </c>
      <c r="AQ760" s="4" t="str">
        <f>T1.WELL("",E733,H733,K733)</f>
        <v/>
      </c>
      <c r="AR760" s="4" t="str">
        <f>T1.WELL("",E733,H733,K733)</f>
        <v/>
      </c>
      <c r="AS760" s="4" t="str">
        <f>T1.WELL("",E733,H733,K733)</f>
        <v/>
      </c>
      <c r="AT760" s="4" t="str">
        <f>T1.WELL("",E733,H733,K733)</f>
        <v/>
      </c>
      <c r="AU760" s="4" t="str">
        <f>T1.WELL("",E733,H733,K733)</f>
        <v/>
      </c>
      <c r="AV760" s="4" t="str">
        <f>T1.WELL("",E733,H733,K733)</f>
        <v/>
      </c>
      <c r="AW760" s="4" t="str">
        <f>T1.WELL("",E733,H733,K733)</f>
        <v/>
      </c>
      <c r="AX760" s="4" t="str">
        <f>T1.WELL("",E733,H733,K733)</f>
        <v/>
      </c>
      <c r="AY760" s="49"/>
      <c r="AZ760" s="49"/>
      <c r="BA760" s="49"/>
    </row>
    <row r="761" spans="2:53" ht="11.25" hidden="1" customHeight="1">
      <c r="B761" s="36" t="s">
        <v>1655</v>
      </c>
      <c r="C761" s="4" t="str">
        <f>T1.WELL("",E733,H733,K733)</f>
        <v/>
      </c>
      <c r="D761" s="4" t="str">
        <f>T1.WELL("",E733,H733,K733)</f>
        <v/>
      </c>
      <c r="E761" s="4" t="str">
        <f>T1.WELL("",E733,H733,K733)</f>
        <v/>
      </c>
      <c r="F761" s="4" t="str">
        <f>T1.WELL("",E733,H733,K733)</f>
        <v/>
      </c>
      <c r="G761" s="4" t="str">
        <f>T1.WELL("",E733,H733,K733)</f>
        <v/>
      </c>
      <c r="H761" s="4" t="str">
        <f>T1.WELL("",E733,H733,K733)</f>
        <v/>
      </c>
      <c r="I761" s="4" t="str">
        <f>T1.WELL("",E733,H733,K733)</f>
        <v/>
      </c>
      <c r="J761" s="4" t="str">
        <f>T1.WELL("",E733,H733,K733)</f>
        <v/>
      </c>
      <c r="K761" s="4" t="str">
        <f>T1.WELL("",E733,H733,K733)</f>
        <v/>
      </c>
      <c r="L761" s="4" t="str">
        <f>T1.WELL("",E733,H733,K733)</f>
        <v/>
      </c>
      <c r="M761" s="4" t="str">
        <f>T1.WELL("",E733,H733,K733)</f>
        <v/>
      </c>
      <c r="N761" s="4" t="str">
        <f>T1.WELL("",E733,H733,K733)</f>
        <v/>
      </c>
      <c r="O761" s="4" t="str">
        <f>T1.WELL("",E733,H733,K733)</f>
        <v/>
      </c>
      <c r="P761" s="4" t="str">
        <f>T1.WELL("",E733,H733,K733)</f>
        <v/>
      </c>
      <c r="Q761" s="4" t="str">
        <f>T1.WELL("",E733,H733,K733)</f>
        <v/>
      </c>
      <c r="R761" s="4" t="str">
        <f>T1.WELL("",E733,H733,K733)</f>
        <v/>
      </c>
      <c r="S761" s="4" t="str">
        <f>T1.WELL("",E733,H733,K733)</f>
        <v/>
      </c>
      <c r="T761" s="4" t="str">
        <f>T1.WELL("",E733,H733,K733)</f>
        <v/>
      </c>
      <c r="U761" s="4" t="str">
        <f>T1.WELL("",E733,H733,K733)</f>
        <v/>
      </c>
      <c r="V761" s="4" t="str">
        <f>T1.WELL("",E733,H733,K733)</f>
        <v/>
      </c>
      <c r="W761" s="4" t="str">
        <f>T1.WELL("",E733,H733,K733)</f>
        <v/>
      </c>
      <c r="X761" s="4" t="str">
        <f>T1.WELL("",E733,H733,K733)</f>
        <v/>
      </c>
      <c r="Y761" s="4" t="str">
        <f>T1.WELL("",E733,H733,K733)</f>
        <v/>
      </c>
      <c r="Z761" s="4" t="str">
        <f>T1.WELL("",E733,H733,K733)</f>
        <v/>
      </c>
      <c r="AA761" s="4" t="str">
        <f>T1.WELL("",E733,H733,K733)</f>
        <v/>
      </c>
      <c r="AB761" s="4" t="str">
        <f>T1.WELL("",E733,H733,K733)</f>
        <v/>
      </c>
      <c r="AC761" s="4" t="str">
        <f>T1.WELL("",E733,H733,K733)</f>
        <v/>
      </c>
      <c r="AD761" s="4" t="str">
        <f>T1.WELL("",E733,H733,K733)</f>
        <v/>
      </c>
      <c r="AE761" s="4" t="str">
        <f>T1.WELL("",E733,H733,K733)</f>
        <v/>
      </c>
      <c r="AF761" s="4" t="str">
        <f>T1.WELL("",E733,H733,K733)</f>
        <v/>
      </c>
      <c r="AG761" s="4" t="str">
        <f>T1.WELL("",E733,H733,K733)</f>
        <v/>
      </c>
      <c r="AH761" s="4" t="str">
        <f>T1.WELL("",E733,H733,K733)</f>
        <v/>
      </c>
      <c r="AI761" s="4" t="str">
        <f>T1.WELL("",E733,H733,K733)</f>
        <v/>
      </c>
      <c r="AJ761" s="4" t="str">
        <f>T1.WELL("",E733,H733,K733)</f>
        <v/>
      </c>
      <c r="AK761" s="4" t="str">
        <f>T1.WELL("",E733,H733,K733)</f>
        <v/>
      </c>
      <c r="AL761" s="4" t="str">
        <f>T1.WELL("",E733,H733,K733)</f>
        <v/>
      </c>
      <c r="AM761" s="4" t="str">
        <f>T1.WELL("",E733,H733,K733)</f>
        <v/>
      </c>
      <c r="AN761" s="4" t="str">
        <f>T1.WELL("",E733,H733,K733)</f>
        <v/>
      </c>
      <c r="AO761" s="4" t="str">
        <f>T1.WELL("",E733,H733,K733)</f>
        <v/>
      </c>
      <c r="AP761" s="4" t="str">
        <f>T1.WELL("",E733,H733,K733)</f>
        <v/>
      </c>
      <c r="AQ761" s="4" t="str">
        <f>T1.WELL("",E733,H733,K733)</f>
        <v/>
      </c>
      <c r="AR761" s="4" t="str">
        <f>T1.WELL("",E733,H733,K733)</f>
        <v/>
      </c>
      <c r="AS761" s="4" t="str">
        <f>T1.WELL("",E733,H733,K733)</f>
        <v/>
      </c>
      <c r="AT761" s="4" t="str">
        <f>T1.WELL("",E733,H733,K733)</f>
        <v/>
      </c>
      <c r="AU761" s="4" t="str">
        <f>T1.WELL("",E733,H733,K733)</f>
        <v/>
      </c>
      <c r="AV761" s="4" t="str">
        <f>T1.WELL("",E733,H733,K733)</f>
        <v/>
      </c>
      <c r="AW761" s="4" t="str">
        <f>T1.WELL("",E733,H733,K733)</f>
        <v/>
      </c>
      <c r="AX761" s="4" t="str">
        <f>T1.WELL("",E733,H733,K733)</f>
        <v/>
      </c>
      <c r="AY761" s="49"/>
      <c r="AZ761" s="49"/>
      <c r="BA761" s="49"/>
    </row>
    <row r="762" spans="2:53" ht="11.25" hidden="1" customHeight="1">
      <c r="B762" s="36" t="s">
        <v>1704</v>
      </c>
      <c r="C762" s="4" t="str">
        <f>T1.WELL("",E733,H733,K733)</f>
        <v/>
      </c>
      <c r="D762" s="4" t="str">
        <f>T1.WELL("",E733,H733,K733)</f>
        <v/>
      </c>
      <c r="E762" s="4" t="str">
        <f>T1.WELL("",E733,H733,K733)</f>
        <v/>
      </c>
      <c r="F762" s="4" t="str">
        <f>T1.WELL("",E733,H733,K733)</f>
        <v/>
      </c>
      <c r="G762" s="4" t="str">
        <f>T1.WELL("",E733,H733,K733)</f>
        <v/>
      </c>
      <c r="H762" s="4" t="str">
        <f>T1.WELL("",E733,H733,K733)</f>
        <v/>
      </c>
      <c r="I762" s="4" t="str">
        <f>T1.WELL("",E733,H733,K733)</f>
        <v/>
      </c>
      <c r="J762" s="4" t="str">
        <f>T1.WELL("",E733,H733,K733)</f>
        <v/>
      </c>
      <c r="K762" s="4" t="str">
        <f>T1.WELL("",E733,H733,K733)</f>
        <v/>
      </c>
      <c r="L762" s="4" t="str">
        <f>T1.WELL("",E733,H733,K733)</f>
        <v/>
      </c>
      <c r="M762" s="4" t="str">
        <f>T1.WELL("",E733,H733,K733)</f>
        <v/>
      </c>
      <c r="N762" s="4" t="str">
        <f>T1.WELL("",E733,H733,K733)</f>
        <v/>
      </c>
      <c r="O762" s="4" t="str">
        <f>T1.WELL("",E733,H733,K733)</f>
        <v/>
      </c>
      <c r="P762" s="4" t="str">
        <f>T1.WELL("",E733,H733,K733)</f>
        <v/>
      </c>
      <c r="Q762" s="4" t="str">
        <f>T1.WELL("",E733,H733,K733)</f>
        <v/>
      </c>
      <c r="R762" s="4" t="str">
        <f>T1.WELL("",E733,H733,K733)</f>
        <v/>
      </c>
      <c r="S762" s="4" t="str">
        <f>T1.WELL("",E733,H733,K733)</f>
        <v/>
      </c>
      <c r="T762" s="4" t="str">
        <f>T1.WELL("",E733,H733,K733)</f>
        <v/>
      </c>
      <c r="U762" s="4" t="str">
        <f>T1.WELL("",E733,H733,K733)</f>
        <v/>
      </c>
      <c r="V762" s="4" t="str">
        <f>T1.WELL("",E733,H733,K733)</f>
        <v/>
      </c>
      <c r="W762" s="84" t="str">
        <f>T1.WELL("",E733,H733,K733)</f>
        <v/>
      </c>
      <c r="X762" s="4" t="str">
        <f>T1.WELL("",E733,H733,K733)</f>
        <v/>
      </c>
      <c r="Y762" s="4" t="str">
        <f>T1.WELL("",E733,H733,K733)</f>
        <v/>
      </c>
      <c r="Z762" s="4" t="str">
        <f>T1.WELL("",E733,H733,K733)</f>
        <v/>
      </c>
      <c r="AA762" s="4" t="str">
        <f>T1.WELL("",E733,H733,K733)</f>
        <v/>
      </c>
      <c r="AB762" s="4" t="str">
        <f>T1.WELL("",E733,H733,K733)</f>
        <v/>
      </c>
      <c r="AC762" s="4" t="str">
        <f>T1.WELL("",E733,H733,K733)</f>
        <v/>
      </c>
      <c r="AD762" s="4" t="str">
        <f>T1.WELL("",E733,H733,K733)</f>
        <v/>
      </c>
      <c r="AE762" s="4" t="str">
        <f>T1.WELL("",E733,H733,K733)</f>
        <v/>
      </c>
      <c r="AF762" s="4" t="str">
        <f>T1.WELL("",E733,H733,K733)</f>
        <v/>
      </c>
      <c r="AG762" s="4" t="str">
        <f>T1.WELL("",E733,H733,K733)</f>
        <v/>
      </c>
      <c r="AH762" s="4" t="str">
        <f>T1.WELL("",E733,H733,K733)</f>
        <v/>
      </c>
      <c r="AI762" s="4" t="str">
        <f>T1.WELL("",E733,H733,K733)</f>
        <v/>
      </c>
      <c r="AJ762" s="4" t="str">
        <f>T1.WELL("",E733,H733,K733)</f>
        <v/>
      </c>
      <c r="AK762" s="4" t="str">
        <f>T1.WELL("",E733,H733,K733)</f>
        <v/>
      </c>
      <c r="AL762" s="4" t="str">
        <f>T1.WELL("",E733,H733,K733)</f>
        <v/>
      </c>
      <c r="AM762" s="4" t="str">
        <f>T1.WELL("",E733,H733,K733)</f>
        <v/>
      </c>
      <c r="AN762" s="4" t="str">
        <f>T1.WELL("",E733,H733,K733)</f>
        <v/>
      </c>
      <c r="AO762" s="4" t="str">
        <f>T1.WELL("",E733,H733,K733)</f>
        <v/>
      </c>
      <c r="AP762" s="4" t="str">
        <f>T1.WELL("",E733,H733,K733)</f>
        <v/>
      </c>
      <c r="AQ762" s="4" t="str">
        <f>T1.WELL("",E733,H733,K733)</f>
        <v/>
      </c>
      <c r="AR762" s="4" t="str">
        <f>T1.WELL("",E733,H733,K733)</f>
        <v/>
      </c>
      <c r="AS762" s="4" t="str">
        <f>T1.WELL("",E733,H733,K733)</f>
        <v/>
      </c>
      <c r="AT762" s="4" t="str">
        <f>T1.WELL("",E733,H733,K733)</f>
        <v/>
      </c>
      <c r="AU762" s="4" t="str">
        <f>T1.WELL("",E733,H733,K733)</f>
        <v/>
      </c>
      <c r="AV762" s="4" t="str">
        <f>T1.WELL("",E733,H733,K733)</f>
        <v/>
      </c>
      <c r="AW762" s="4" t="str">
        <f>T1.WELL("",E733,H733,K733)</f>
        <v/>
      </c>
      <c r="AX762" s="4" t="str">
        <f>T1.WELL("",E733,H733,K733)</f>
        <v/>
      </c>
      <c r="AY762" s="49"/>
      <c r="AZ762" s="49"/>
      <c r="BA762" s="49"/>
    </row>
    <row r="763" spans="2:53" ht="11.25" hidden="1" customHeight="1">
      <c r="B763" s="36" t="s">
        <v>1753</v>
      </c>
      <c r="C763" s="4" t="str">
        <f>T1.WELL("",E733,H733,K733)</f>
        <v/>
      </c>
      <c r="D763" s="4" t="str">
        <f>T1.WELL("",E733,H733,K733)</f>
        <v/>
      </c>
      <c r="E763" s="4" t="str">
        <f>T1.WELL("",E733,H733,K733)</f>
        <v/>
      </c>
      <c r="F763" s="4" t="str">
        <f>T1.WELL("",E733,H733,K733)</f>
        <v/>
      </c>
      <c r="G763" s="4" t="str">
        <f>T1.WELL("",E733,H733,K733)</f>
        <v/>
      </c>
      <c r="H763" s="4" t="str">
        <f>T1.WELL("",E733,H733,K733)</f>
        <v/>
      </c>
      <c r="I763" s="4" t="str">
        <f>T1.WELL("",E733,H733,K733)</f>
        <v/>
      </c>
      <c r="J763" s="4" t="str">
        <f>T1.WELL("",E733,H733,K733)</f>
        <v/>
      </c>
      <c r="K763" s="4" t="str">
        <f>T1.WELL("",E733,H733,K733)</f>
        <v/>
      </c>
      <c r="L763" s="4" t="str">
        <f>T1.WELL("",E733,H733,K733)</f>
        <v/>
      </c>
      <c r="M763" s="4" t="str">
        <f>T1.WELL("",E733,H733,K733)</f>
        <v/>
      </c>
      <c r="N763" s="4" t="str">
        <f>T1.WELL("",E733,H733,K733)</f>
        <v/>
      </c>
      <c r="O763" s="4" t="str">
        <f>T1.WELL("",E733,H733,K733)</f>
        <v/>
      </c>
      <c r="P763" s="4" t="str">
        <f>T1.WELL("",E733,H733,K733)</f>
        <v/>
      </c>
      <c r="Q763" s="4" t="str">
        <f>T1.WELL("",E733,H733,K733)</f>
        <v/>
      </c>
      <c r="R763" s="4" t="str">
        <f>T1.WELL("",E733,H733,K733)</f>
        <v/>
      </c>
      <c r="S763" s="4" t="str">
        <f>T1.WELL("",E733,H733,K733)</f>
        <v/>
      </c>
      <c r="T763" s="4" t="str">
        <f>T1.WELL("",E733,H733,K733)</f>
        <v/>
      </c>
      <c r="U763" s="4" t="str">
        <f>T1.WELL("",E733,H733,K733)</f>
        <v/>
      </c>
      <c r="V763" s="4" t="str">
        <f>T1.WELL("",E733,H733,K733)</f>
        <v/>
      </c>
      <c r="W763" s="4" t="str">
        <f>T1.WELL("",E733,H733,K733)</f>
        <v/>
      </c>
      <c r="X763" s="4" t="str">
        <f>T1.WELL("",E733,H733,K733)</f>
        <v/>
      </c>
      <c r="Y763" s="4" t="str">
        <f>T1.WELL("",E733,H733,K733)</f>
        <v/>
      </c>
      <c r="Z763" s="4" t="str">
        <f>T1.WELL("",E733,H733,K733)</f>
        <v/>
      </c>
      <c r="AA763" s="4" t="str">
        <f>T1.WELL("",E733,H733,K733)</f>
        <v/>
      </c>
      <c r="AB763" s="4" t="str">
        <f>T1.WELL("",E733,H733,K733)</f>
        <v/>
      </c>
      <c r="AC763" s="4" t="str">
        <f>T1.WELL("",E733,H733,K733)</f>
        <v/>
      </c>
      <c r="AD763" s="4" t="str">
        <f>T1.WELL("",E733,H733,K733)</f>
        <v/>
      </c>
      <c r="AE763" s="4" t="str">
        <f>T1.WELL("",E733,H733,K733)</f>
        <v/>
      </c>
      <c r="AF763" s="4" t="str">
        <f>T1.WELL("",E733,H733,K733)</f>
        <v/>
      </c>
      <c r="AG763" s="4" t="str">
        <f>T1.WELL("",E733,H733,K733)</f>
        <v/>
      </c>
      <c r="AH763" s="4" t="str">
        <f>T1.WELL("",E733,H733,K733)</f>
        <v/>
      </c>
      <c r="AI763" s="4" t="str">
        <f>T1.WELL("",E733,H733,K733)</f>
        <v/>
      </c>
      <c r="AJ763" s="4" t="str">
        <f>T1.WELL("",E733,H733,K733)</f>
        <v/>
      </c>
      <c r="AK763" s="4" t="str">
        <f>T1.WELL("",E733,H733,K733)</f>
        <v/>
      </c>
      <c r="AL763" s="4" t="str">
        <f>T1.WELL("",E733,H733,K733)</f>
        <v/>
      </c>
      <c r="AM763" s="4" t="str">
        <f>T1.WELL("",E733,H733,K733)</f>
        <v/>
      </c>
      <c r="AN763" s="4" t="str">
        <f>T1.WELL("",E733,H733,K733)</f>
        <v/>
      </c>
      <c r="AO763" s="4" t="str">
        <f>T1.WELL("",E733,H733,K733)</f>
        <v/>
      </c>
      <c r="AP763" s="4" t="str">
        <f>T1.WELL("",E733,H733,K733)</f>
        <v/>
      </c>
      <c r="AQ763" s="4" t="str">
        <f>T1.WELL("",E733,H733,K733)</f>
        <v/>
      </c>
      <c r="AR763" s="4" t="str">
        <f>T1.WELL("",E733,H733,K733)</f>
        <v/>
      </c>
      <c r="AS763" s="4" t="str">
        <f>T1.WELL("",E733,H733,K733)</f>
        <v/>
      </c>
      <c r="AT763" s="4" t="str">
        <f>T1.WELL("",E733,H733,K733)</f>
        <v/>
      </c>
      <c r="AU763" s="4" t="str">
        <f>T1.WELL("",E733,H733,K733)</f>
        <v/>
      </c>
      <c r="AV763" s="4" t="str">
        <f>T1.WELL("",E733,H733,K733)</f>
        <v/>
      </c>
      <c r="AW763" s="4" t="str">
        <f>T1.WELL("",E733,H733,K733)</f>
        <v/>
      </c>
      <c r="AX763" s="4" t="str">
        <f>T1.WELL("",E733,H733,K733)</f>
        <v/>
      </c>
      <c r="AY763" s="49"/>
      <c r="AZ763" s="49"/>
      <c r="BA763" s="49"/>
    </row>
    <row r="764" spans="2:53" ht="11.25" hidden="1" customHeight="1">
      <c r="B764" s="36" t="s">
        <v>1802</v>
      </c>
      <c r="C764" s="4" t="str">
        <f>T1.WELL("",E733,H733,K733)</f>
        <v/>
      </c>
      <c r="D764" s="4" t="str">
        <f>T1.WELL("",E733,H733,K733)</f>
        <v/>
      </c>
      <c r="E764" s="4" t="str">
        <f>T1.WELL("",E733,H733,K733)</f>
        <v/>
      </c>
      <c r="F764" s="4" t="str">
        <f>T1.WELL("",E733,H733,K733)</f>
        <v/>
      </c>
      <c r="G764" s="4" t="str">
        <f>T1.WELL("",E733,H733,K733)</f>
        <v/>
      </c>
      <c r="H764" s="4" t="str">
        <f>T1.WELL("",E733,H733,K733)</f>
        <v/>
      </c>
      <c r="I764" s="4" t="str">
        <f>T1.WELL("",E733,H733,K733)</f>
        <v/>
      </c>
      <c r="J764" s="4" t="str">
        <f>T1.WELL("",E733,H733,K733)</f>
        <v/>
      </c>
      <c r="K764" s="4" t="str">
        <f>T1.WELL("",E733,H733,K733)</f>
        <v/>
      </c>
      <c r="L764" s="4" t="str">
        <f>T1.WELL("",E733,H733,K733)</f>
        <v/>
      </c>
      <c r="M764" s="4" t="str">
        <f>T1.WELL("",E733,H733,K733)</f>
        <v/>
      </c>
      <c r="N764" s="4" t="str">
        <f>T1.WELL("",E733,H733,K733)</f>
        <v/>
      </c>
      <c r="O764" s="4" t="str">
        <f>T1.WELL("",E733,H733,K733)</f>
        <v/>
      </c>
      <c r="P764" s="4" t="str">
        <f>T1.WELL("",E733,H733,K733)</f>
        <v/>
      </c>
      <c r="Q764" s="4" t="str">
        <f>T1.WELL("",E733,H733,K733)</f>
        <v/>
      </c>
      <c r="R764" s="4" t="str">
        <f>T1.WELL("",E733,H733,K733)</f>
        <v/>
      </c>
      <c r="S764" s="4" t="str">
        <f>T1.WELL("",E733,H733,K733)</f>
        <v/>
      </c>
      <c r="T764" s="4" t="str">
        <f>T1.WELL("",E733,H733,K733)</f>
        <v/>
      </c>
      <c r="U764" s="4" t="str">
        <f>T1.WELL("",E733,H733,K733)</f>
        <v/>
      </c>
      <c r="V764" s="4" t="str">
        <f>T1.WELL("",E733,H733,K733)</f>
        <v/>
      </c>
      <c r="W764" s="4" t="str">
        <f>T1.WELL("",E733,H733,K733)</f>
        <v/>
      </c>
      <c r="X764" s="4" t="str">
        <f>T1.WELL("",E733,H733,K733)</f>
        <v/>
      </c>
      <c r="Y764" s="4" t="str">
        <f>T1.WELL("",E733,H733,K733)</f>
        <v/>
      </c>
      <c r="Z764" s="4" t="str">
        <f>T1.WELL("",E733,H733,K733)</f>
        <v/>
      </c>
      <c r="AA764" s="4" t="str">
        <f>T1.WELL("",E733,H733,K733)</f>
        <v/>
      </c>
      <c r="AB764" s="4" t="str">
        <f>T1.WELL("",E733,H733,K733)</f>
        <v/>
      </c>
      <c r="AC764" s="4" t="str">
        <f>T1.WELL("",E733,H733,K733)</f>
        <v/>
      </c>
      <c r="AD764" s="4" t="str">
        <f>T1.WELL("",E733,H733,K733)</f>
        <v/>
      </c>
      <c r="AE764" s="4" t="str">
        <f>T1.WELL("",E733,H733,K733)</f>
        <v/>
      </c>
      <c r="AF764" s="4" t="str">
        <f>T1.WELL("",E733,H733,K733)</f>
        <v/>
      </c>
      <c r="AG764" s="4" t="str">
        <f>T1.WELL("",E733,H733,K733)</f>
        <v/>
      </c>
      <c r="AH764" s="4" t="str">
        <f>T1.WELL("",E733,H733,K733)</f>
        <v/>
      </c>
      <c r="AI764" s="4" t="str">
        <f>T1.WELL("",E733,H733,K733)</f>
        <v/>
      </c>
      <c r="AJ764" s="4" t="str">
        <f>T1.WELL("",E733,H733,K733)</f>
        <v/>
      </c>
      <c r="AK764" s="4" t="str">
        <f>T1.WELL("",E733,H733,K733)</f>
        <v/>
      </c>
      <c r="AL764" s="4" t="str">
        <f>T1.WELL("",E733,H733,K733)</f>
        <v/>
      </c>
      <c r="AM764" s="4" t="str">
        <f>T1.WELL("",E733,H733,K733)</f>
        <v/>
      </c>
      <c r="AN764" s="4" t="str">
        <f>T1.WELL("",E733,H733,K733)</f>
        <v/>
      </c>
      <c r="AO764" s="4" t="str">
        <f>T1.WELL("",E733,H733,K733)</f>
        <v/>
      </c>
      <c r="AP764" s="4" t="str">
        <f>T1.WELL("",E733,H733,K733)</f>
        <v/>
      </c>
      <c r="AQ764" s="4" t="str">
        <f>T1.WELL("",E733,H733,K733)</f>
        <v/>
      </c>
      <c r="AR764" s="4" t="str">
        <f>T1.WELL("",E733,H733,K733)</f>
        <v/>
      </c>
      <c r="AS764" s="4" t="str">
        <f>T1.WELL("",E733,H733,K733)</f>
        <v/>
      </c>
      <c r="AT764" s="4" t="str">
        <f>T1.WELL("",E733,H733,K733)</f>
        <v/>
      </c>
      <c r="AU764" s="4" t="str">
        <f>T1.WELL("",E733,H733,K733)</f>
        <v/>
      </c>
      <c r="AV764" s="4" t="str">
        <f>T1.WELL("",E733,H733,K733)</f>
        <v/>
      </c>
      <c r="AW764" s="4" t="str">
        <f>T1.WELL("",E733,H733,K733)</f>
        <v/>
      </c>
      <c r="AX764" s="4" t="str">
        <f>T1.WELL("",E733,H733,K733)</f>
        <v/>
      </c>
      <c r="AY764" s="49"/>
      <c r="AZ764" s="49"/>
      <c r="BA764" s="49"/>
    </row>
    <row r="765" spans="2:53" ht="11.25" hidden="1" customHeight="1">
      <c r="B765" s="36" t="s">
        <v>1851</v>
      </c>
      <c r="C765" s="4" t="str">
        <f>T1.WELL("",E733,H733,K733)</f>
        <v/>
      </c>
      <c r="D765" s="4" t="str">
        <f>T1.WELL("",E733,H733,K733)</f>
        <v/>
      </c>
      <c r="E765" s="4" t="str">
        <f>T1.WELL("",E733,H733,K733)</f>
        <v/>
      </c>
      <c r="F765" s="4" t="str">
        <f>T1.WELL("",E733,H733,K733)</f>
        <v/>
      </c>
      <c r="G765" s="4" t="str">
        <f>T1.WELL("",E733,H733,K733)</f>
        <v/>
      </c>
      <c r="H765" s="4" t="str">
        <f>T1.WELL("",E733,H733,K733)</f>
        <v/>
      </c>
      <c r="I765" s="4" t="str">
        <f>T1.WELL("",E733,H733,K733)</f>
        <v/>
      </c>
      <c r="J765" s="4" t="str">
        <f>T1.WELL("",E733,H733,K733)</f>
        <v/>
      </c>
      <c r="K765" s="4" t="str">
        <f>T1.WELL("",E733,H733,K733)</f>
        <v/>
      </c>
      <c r="L765" s="4" t="str">
        <f>T1.WELL("",E733,H733,K733)</f>
        <v/>
      </c>
      <c r="M765" s="4" t="str">
        <f>T1.WELL("",E733,H733,K733)</f>
        <v/>
      </c>
      <c r="N765" s="4" t="str">
        <f>T1.WELL("",E733,H733,K733)</f>
        <v/>
      </c>
      <c r="O765" s="4" t="str">
        <f>T1.WELL("",E733,H733,K733)</f>
        <v/>
      </c>
      <c r="P765" s="4" t="str">
        <f>T1.WELL("",E733,H733,K733)</f>
        <v/>
      </c>
      <c r="Q765" s="4" t="str">
        <f>T1.WELL("",E733,H733,K733)</f>
        <v/>
      </c>
      <c r="R765" s="4" t="str">
        <f>T1.WELL("",E733,H733,K733)</f>
        <v/>
      </c>
      <c r="S765" s="4" t="str">
        <f>T1.WELL("",E733,H733,K733)</f>
        <v/>
      </c>
      <c r="T765" s="4" t="str">
        <f>T1.WELL("",E733,H733,K733)</f>
        <v/>
      </c>
      <c r="U765" s="4" t="str">
        <f>T1.WELL("",E733,H733,K733)</f>
        <v/>
      </c>
      <c r="V765" s="4" t="str">
        <f>T1.WELL("",E733,H733,K733)</f>
        <v/>
      </c>
      <c r="W765" s="4" t="str">
        <f>T1.WELL("",E733,H733,K733)</f>
        <v/>
      </c>
      <c r="X765" s="4" t="str">
        <f>T1.WELL("",E733,H733,K733)</f>
        <v/>
      </c>
      <c r="Y765" s="4" t="str">
        <f>T1.WELL("",E733,H733,K733)</f>
        <v/>
      </c>
      <c r="Z765" s="4" t="str">
        <f>T1.WELL("",E733,H733,K733)</f>
        <v/>
      </c>
      <c r="AA765" s="4" t="str">
        <f>T1.WELL("",E733,H733,K733)</f>
        <v/>
      </c>
      <c r="AB765" s="4" t="str">
        <f>T1.WELL("",E733,H733,K733)</f>
        <v/>
      </c>
      <c r="AC765" s="4" t="str">
        <f>T1.WELL("",E733,H733,K733)</f>
        <v/>
      </c>
      <c r="AD765" s="4" t="str">
        <f>T1.WELL("",E733,H733,K733)</f>
        <v/>
      </c>
      <c r="AE765" s="4" t="str">
        <f>T1.WELL("",E733,H733,K733)</f>
        <v/>
      </c>
      <c r="AF765" s="4" t="str">
        <f>T1.WELL("",E733,H733,K733)</f>
        <v/>
      </c>
      <c r="AG765" s="4" t="str">
        <f>T1.WELL("",E733,H733,K733)</f>
        <v/>
      </c>
      <c r="AH765" s="4" t="str">
        <f>T1.WELL("",E733,H733,K733)</f>
        <v/>
      </c>
      <c r="AI765" s="4" t="str">
        <f>T1.WELL("",E733,H733,K733)</f>
        <v/>
      </c>
      <c r="AJ765" s="4" t="str">
        <f>T1.WELL("",E733,H733,K733)</f>
        <v/>
      </c>
      <c r="AK765" s="4" t="str">
        <f>T1.WELL("",E733,H733,K733)</f>
        <v/>
      </c>
      <c r="AL765" s="4" t="str">
        <f>T1.WELL("",E733,H733,K733)</f>
        <v/>
      </c>
      <c r="AM765" s="4" t="str">
        <f>T1.WELL("",E733,H733,K733)</f>
        <v/>
      </c>
      <c r="AN765" s="4" t="str">
        <f>T1.WELL("",E733,H733,K733)</f>
        <v/>
      </c>
      <c r="AO765" s="4" t="str">
        <f>T1.WELL("",E733,H733,K733)</f>
        <v/>
      </c>
      <c r="AP765" s="4" t="str">
        <f>T1.WELL("",E733,H733,K733)</f>
        <v/>
      </c>
      <c r="AQ765" s="4" t="str">
        <f>T1.WELL("",E733,H733,K733)</f>
        <v/>
      </c>
      <c r="AR765" s="4" t="str">
        <f>T1.WELL("",E733,H733,K733)</f>
        <v/>
      </c>
      <c r="AS765" s="4" t="str">
        <f>T1.WELL("",E733,H733,K733)</f>
        <v/>
      </c>
      <c r="AT765" s="4" t="str">
        <f>T1.WELL("",E733,H733,K733)</f>
        <v/>
      </c>
      <c r="AU765" s="4" t="str">
        <f>T1.WELL("",E733,H733,K733)</f>
        <v/>
      </c>
      <c r="AV765" s="4" t="str">
        <f>T1.WELL("",E733,H733,K733)</f>
        <v/>
      </c>
      <c r="AW765" s="4" t="str">
        <f>T1.WELL("",E733,H733,K733)</f>
        <v/>
      </c>
      <c r="AX765" s="4" t="str">
        <f>T1.WELL("",E733,H733,K733)</f>
        <v/>
      </c>
      <c r="AY765" s="49"/>
      <c r="AZ765" s="49"/>
      <c r="BA765" s="49"/>
    </row>
    <row r="766" spans="2:53" ht="11.25" hidden="1" customHeight="1">
      <c r="B766" s="36" t="s">
        <v>1900</v>
      </c>
      <c r="C766" s="4" t="str">
        <f>T1.WELL("",E733,H733,K733)</f>
        <v/>
      </c>
      <c r="D766" s="4" t="str">
        <f>T1.WELL("",E733,H733,K733)</f>
        <v/>
      </c>
      <c r="E766" s="4" t="str">
        <f>T1.WELL("",E733,H733,K733)</f>
        <v/>
      </c>
      <c r="F766" s="4" t="str">
        <f>T1.WELL("",E733,H733,K733)</f>
        <v/>
      </c>
      <c r="G766" s="4" t="str">
        <f>T1.WELL("",E733,H733,K733)</f>
        <v/>
      </c>
      <c r="H766" s="4" t="str">
        <f>T1.WELL("",E733,H733,K733)</f>
        <v/>
      </c>
      <c r="I766" s="4" t="str">
        <f>T1.WELL("",E733,H733,K733)</f>
        <v/>
      </c>
      <c r="J766" s="4" t="str">
        <f>T1.WELL("",E733,H733,K733)</f>
        <v/>
      </c>
      <c r="K766" s="4" t="str">
        <f>T1.WELL("",E733,H733,K733)</f>
        <v/>
      </c>
      <c r="L766" s="4" t="str">
        <f>T1.WELL("",E733,H733,K733)</f>
        <v/>
      </c>
      <c r="M766" s="4" t="str">
        <f>T1.WELL("",E733,H733,K733)</f>
        <v/>
      </c>
      <c r="N766" s="4" t="str">
        <f>T1.WELL("",E733,H733,K733)</f>
        <v/>
      </c>
      <c r="O766" s="4" t="str">
        <f>T1.WELL("",E733,H733,K733)</f>
        <v/>
      </c>
      <c r="P766" s="4" t="str">
        <f>T1.WELL("",E733,H733,K733)</f>
        <v/>
      </c>
      <c r="Q766" s="4" t="str">
        <f>T1.WELL("",E733,H733,K733)</f>
        <v/>
      </c>
      <c r="R766" s="4" t="str">
        <f>T1.WELL("",E733,H733,K733)</f>
        <v/>
      </c>
      <c r="S766" s="4" t="str">
        <f>T1.WELL("",E733,H733,K733)</f>
        <v/>
      </c>
      <c r="T766" s="4" t="str">
        <f>T1.WELL("",E733,H733,K733)</f>
        <v/>
      </c>
      <c r="U766" s="4" t="str">
        <f>T1.WELL("",E733,H733,K733)</f>
        <v/>
      </c>
      <c r="V766" s="4" t="str">
        <f>T1.WELL("",E733,H733,K733)</f>
        <v/>
      </c>
      <c r="W766" s="4" t="str">
        <f>T1.WELL("",E733,H733,K733)</f>
        <v/>
      </c>
      <c r="X766" s="4" t="str">
        <f>T1.WELL("",E733,H733,K733)</f>
        <v/>
      </c>
      <c r="Y766" s="4" t="str">
        <f>T1.WELL("",E733,H733,K733)</f>
        <v/>
      </c>
      <c r="Z766" s="4" t="str">
        <f>T1.WELL("",E733,H733,K733)</f>
        <v/>
      </c>
      <c r="AA766" s="4" t="str">
        <f>T1.WELL("",E733,H733,K733)</f>
        <v/>
      </c>
      <c r="AB766" s="4" t="str">
        <f>T1.WELL("",E733,H733,K733)</f>
        <v/>
      </c>
      <c r="AC766" s="4" t="str">
        <f>T1.WELL("",E733,H733,K733)</f>
        <v/>
      </c>
      <c r="AD766" s="4" t="str">
        <f>T1.WELL("",E733,H733,K733)</f>
        <v/>
      </c>
      <c r="AE766" s="4" t="str">
        <f>T1.WELL("",E733,H733,K733)</f>
        <v/>
      </c>
      <c r="AF766" s="4" t="str">
        <f>T1.WELL("",E733,H733,K733)</f>
        <v/>
      </c>
      <c r="AG766" s="4" t="str">
        <f>T1.WELL("",E733,H733,K733)</f>
        <v/>
      </c>
      <c r="AH766" s="4" t="str">
        <f>T1.WELL("",E733,H733,K733)</f>
        <v/>
      </c>
      <c r="AI766" s="4" t="str">
        <f>T1.WELL("",E733,H733,K733)</f>
        <v/>
      </c>
      <c r="AJ766" s="4" t="str">
        <f>T1.WELL("",E733,H733,K733)</f>
        <v/>
      </c>
      <c r="AK766" s="4" t="str">
        <f>T1.WELL("",E733,H733,K733)</f>
        <v/>
      </c>
      <c r="AL766" s="4" t="str">
        <f>T1.WELL("",E733,H733,K733)</f>
        <v/>
      </c>
      <c r="AM766" s="4" t="str">
        <f>T1.WELL("",E733,H733,K733)</f>
        <v/>
      </c>
      <c r="AN766" s="4" t="str">
        <f>T1.WELL("",E733,H733,K733)</f>
        <v/>
      </c>
      <c r="AO766" s="4" t="str">
        <f>T1.WELL("",E733,H733,K733)</f>
        <v/>
      </c>
      <c r="AP766" s="4" t="str">
        <f>T1.WELL("",E733,H733,K733)</f>
        <v/>
      </c>
      <c r="AQ766" s="4" t="str">
        <f>T1.WELL("",E733,H733,K733)</f>
        <v/>
      </c>
      <c r="AR766" s="4" t="str">
        <f>T1.WELL("",E733,H733,K733)</f>
        <v/>
      </c>
      <c r="AS766" s="4" t="str">
        <f>T1.WELL("",E733,H733,K733)</f>
        <v/>
      </c>
      <c r="AT766" s="4" t="str">
        <f>T1.WELL("",E733,H733,K733)</f>
        <v/>
      </c>
      <c r="AU766" s="4" t="str">
        <f>T1.WELL("",E733,H733,K733)</f>
        <v/>
      </c>
      <c r="AV766" s="4" t="str">
        <f>T1.WELL("",E733,H733,K733)</f>
        <v/>
      </c>
      <c r="AW766" s="4" t="str">
        <f>T1.WELL("",E733,H733,K733)</f>
        <v/>
      </c>
      <c r="AX766" s="4" t="str">
        <f>T1.WELL("",E733,H733,K733)</f>
        <v/>
      </c>
      <c r="AY766" s="49"/>
      <c r="AZ766" s="49"/>
      <c r="BA766" s="49"/>
    </row>
    <row r="767" spans="2:53" ht="11.25" hidden="1" customHeight="1">
      <c r="B767" s="36" t="s">
        <v>1949</v>
      </c>
      <c r="C767" s="4" t="str">
        <f>T1.WELL("",E733,H733,K733)</f>
        <v/>
      </c>
      <c r="D767" s="4" t="str">
        <f>T1.WELL("",E733,H733,K733)</f>
        <v/>
      </c>
      <c r="E767" s="4" t="str">
        <f>T1.WELL("",E733,H733,K733)</f>
        <v/>
      </c>
      <c r="F767" s="4" t="str">
        <f>T1.WELL("",E733,H733,K733)</f>
        <v/>
      </c>
      <c r="G767" s="4" t="str">
        <f>T1.WELL("",E733,H733,K733)</f>
        <v/>
      </c>
      <c r="H767" s="4" t="str">
        <f>T1.WELL("",E733,H733,K733)</f>
        <v/>
      </c>
      <c r="I767" s="4" t="str">
        <f>T1.WELL("",E733,H733,K733)</f>
        <v/>
      </c>
      <c r="J767" s="4" t="str">
        <f>T1.WELL("",E733,H733,K733)</f>
        <v/>
      </c>
      <c r="K767" s="4" t="str">
        <f>T1.WELL("",E733,H733,K733)</f>
        <v/>
      </c>
      <c r="L767" s="4" t="str">
        <f>T1.WELL("",E733,H733,K733)</f>
        <v/>
      </c>
      <c r="M767" s="4" t="str">
        <f>T1.WELL("",E733,H733,K733)</f>
        <v/>
      </c>
      <c r="N767" s="4" t="str">
        <f>T1.WELL("",E733,H733,K733)</f>
        <v/>
      </c>
      <c r="O767" s="4" t="str">
        <f>T1.WELL("",E733,H733,K733)</f>
        <v/>
      </c>
      <c r="P767" s="4" t="str">
        <f>T1.WELL("",E733,H733,K733)</f>
        <v/>
      </c>
      <c r="Q767" s="4" t="str">
        <f>T1.WELL("",E733,H733,K733)</f>
        <v/>
      </c>
      <c r="R767" s="4" t="str">
        <f>T1.WELL("",E733,H733,K733)</f>
        <v/>
      </c>
      <c r="S767" s="4" t="str">
        <f>T1.WELL("",E733,H733,K733)</f>
        <v/>
      </c>
      <c r="T767" s="4" t="str">
        <f>T1.WELL("",E733,H733,K733)</f>
        <v/>
      </c>
      <c r="U767" s="4" t="str">
        <f>T1.WELL("",E733,H733,K733)</f>
        <v/>
      </c>
      <c r="V767" s="4" t="str">
        <f>T1.WELL("",E733,H733,K733)</f>
        <v/>
      </c>
      <c r="W767" s="4" t="str">
        <f>T1.WELL("",E733,H733,K733)</f>
        <v/>
      </c>
      <c r="X767" s="4" t="str">
        <f>T1.WELL("",E733,H733,K733)</f>
        <v/>
      </c>
      <c r="Y767" s="4" t="str">
        <f>T1.WELL("",E733,H733,K733)</f>
        <v/>
      </c>
      <c r="Z767" s="4" t="str">
        <f>T1.WELL("",E733,H733,K733)</f>
        <v/>
      </c>
      <c r="AA767" s="4" t="str">
        <f>T1.WELL("",E733,H733,K733)</f>
        <v/>
      </c>
      <c r="AB767" s="4" t="str">
        <f>T1.WELL("",E733,H733,K733)</f>
        <v/>
      </c>
      <c r="AC767" s="4" t="str">
        <f>T1.WELL("",E733,H733,K733)</f>
        <v/>
      </c>
      <c r="AD767" s="4" t="str">
        <f>T1.WELL("",E733,H733,K733)</f>
        <v/>
      </c>
      <c r="AE767" s="4" t="str">
        <f>T1.WELL("",E733,H733,K733)</f>
        <v/>
      </c>
      <c r="AF767" s="4" t="str">
        <f>T1.WELL("",E733,H733,K733)</f>
        <v/>
      </c>
      <c r="AG767" s="4" t="str">
        <f>T1.WELL("",E733,H733,K733)</f>
        <v/>
      </c>
      <c r="AH767" s="4" t="str">
        <f>T1.WELL("",E733,H733,K733)</f>
        <v/>
      </c>
      <c r="AI767" s="4" t="str">
        <f>T1.WELL("",E733,H733,K733)</f>
        <v/>
      </c>
      <c r="AJ767" s="4" t="str">
        <f>T1.WELL("",E733,H733,K733)</f>
        <v/>
      </c>
      <c r="AK767" s="4" t="str">
        <f>T1.WELL("",E733,H733,K733)</f>
        <v/>
      </c>
      <c r="AL767" s="4" t="str">
        <f>T1.WELL("",E733,H733,K733)</f>
        <v/>
      </c>
      <c r="AM767" s="4" t="str">
        <f>T1.WELL("",E733,H733,K733)</f>
        <v/>
      </c>
      <c r="AN767" s="4" t="str">
        <f>T1.WELL("",E733,H733,K733)</f>
        <v/>
      </c>
      <c r="AO767" s="4" t="str">
        <f>T1.WELL("",E733,H733,K733)</f>
        <v/>
      </c>
      <c r="AP767" s="4" t="str">
        <f>T1.WELL("",E733,H733,K733)</f>
        <v/>
      </c>
      <c r="AQ767" s="4" t="str">
        <f>T1.WELL("",E733,H733,K733)</f>
        <v/>
      </c>
      <c r="AR767" s="4" t="str">
        <f>T1.WELL("",E733,H733,K733)</f>
        <v/>
      </c>
      <c r="AS767" s="4" t="str">
        <f>T1.WELL("",E733,H733,K733)</f>
        <v/>
      </c>
      <c r="AT767" s="4" t="str">
        <f>T1.WELL("",E733,H733,K733)</f>
        <v/>
      </c>
      <c r="AU767" s="4" t="str">
        <f>T1.WELL("",E733,H733,K733)</f>
        <v/>
      </c>
      <c r="AV767" s="4" t="str">
        <f>T1.WELL("",E733,H733,K733)</f>
        <v/>
      </c>
      <c r="AW767" s="4" t="str">
        <f>T1.WELL("",E733,H733,K733)</f>
        <v/>
      </c>
      <c r="AX767" s="4" t="str">
        <f>T1.WELL("",E733,H733,K733)</f>
        <v/>
      </c>
      <c r="AY767" s="49"/>
      <c r="AZ767" s="49"/>
      <c r="BA767" s="49"/>
    </row>
    <row r="768" spans="2:53" ht="11.25" customHeight="1">
      <c r="AY768" s="49"/>
      <c r="AZ768" s="49"/>
      <c r="BA768" s="49"/>
    </row>
    <row r="769" spans="1:26" s="72" customFormat="1" ht="11.25" customHeight="1">
      <c r="A769" s="71" t="s">
        <v>3036</v>
      </c>
    </row>
    <row r="770" spans="1:26" ht="11.25" hidden="1" customHeight="1">
      <c r="A770" s="49"/>
      <c r="C770" s="49"/>
      <c r="D770" s="49"/>
      <c r="E770" s="49"/>
      <c r="F770" s="49"/>
      <c r="G770" s="49"/>
      <c r="H770" s="49"/>
      <c r="I770" s="49"/>
      <c r="K770" s="49"/>
      <c r="L770" s="49"/>
      <c r="M770" s="49"/>
      <c r="N770" s="49"/>
      <c r="O770" s="49"/>
      <c r="P770" s="49"/>
      <c r="Q770" s="49"/>
      <c r="R770" s="49"/>
      <c r="S770" s="49"/>
      <c r="T770" s="49"/>
      <c r="U770" s="49"/>
      <c r="V770" s="49"/>
      <c r="W770" s="49"/>
      <c r="X770" s="49"/>
      <c r="Y770" s="49"/>
      <c r="Z770" s="49"/>
    </row>
    <row r="771" spans="1:26" ht="11.25" hidden="1" customHeight="1">
      <c r="B771" s="142" t="s">
        <v>813</v>
      </c>
      <c r="C771" s="142"/>
      <c r="D771" s="73" t="s">
        <v>823</v>
      </c>
      <c r="E771" s="141" t="s">
        <v>811</v>
      </c>
      <c r="F771" s="141"/>
      <c r="G771" s="147" t="s">
        <v>818</v>
      </c>
      <c r="H771" s="148"/>
      <c r="I771"/>
      <c r="J771"/>
      <c r="K771"/>
      <c r="M771" s="49"/>
      <c r="N771" s="49"/>
      <c r="O771" s="49"/>
      <c r="P771" s="49"/>
      <c r="Q771" s="49"/>
      <c r="R771" s="49"/>
      <c r="S771" s="49"/>
      <c r="T771" s="49"/>
      <c r="U771" s="49"/>
      <c r="V771" s="49"/>
      <c r="W771" s="49"/>
      <c r="X771" s="49"/>
      <c r="Y771" s="49"/>
    </row>
    <row r="772" spans="1:26" ht="11.25" hidden="1" customHeight="1">
      <c r="B772" s="142" t="s">
        <v>815</v>
      </c>
      <c r="C772" s="142"/>
      <c r="D772" s="73" t="b">
        <f>T1.role(B772,"well")</f>
        <v>0</v>
      </c>
      <c r="E772" s="141" t="str">
        <f>T1.role(B772,"cpdid")</f>
        <v/>
      </c>
      <c r="F772" s="141"/>
      <c r="G772" s="145" t="e">
        <f t="shared" ref="G772:G775" si="0">T1.role(B772,"RAW_DATA","avr")</f>
        <v>#REF!</v>
      </c>
      <c r="H772" s="146"/>
      <c r="I772"/>
      <c r="J772"/>
      <c r="K772"/>
      <c r="M772" s="49"/>
      <c r="N772" s="49"/>
      <c r="O772" s="49"/>
      <c r="P772" s="49"/>
      <c r="Q772" s="49"/>
      <c r="R772" s="49"/>
      <c r="S772" s="49"/>
      <c r="T772" s="49"/>
      <c r="U772" s="49"/>
      <c r="V772" s="49"/>
      <c r="W772" s="49"/>
      <c r="X772" s="49"/>
      <c r="Y772" s="49"/>
    </row>
    <row r="773" spans="1:26" ht="11.25" hidden="1" customHeight="1">
      <c r="A773" s="49"/>
      <c r="B773" s="142" t="s">
        <v>821</v>
      </c>
      <c r="C773" s="142"/>
      <c r="D773" s="73" t="b">
        <f t="shared" ref="D773:D775" si="1">T1.role(B773,"well")</f>
        <v>0</v>
      </c>
      <c r="E773" s="141" t="str">
        <f t="shared" ref="E773:E775" si="2">T1.role(B773,"cpdid")</f>
        <v/>
      </c>
      <c r="F773" s="141"/>
      <c r="G773" s="145" t="e">
        <f t="shared" si="0"/>
        <v>#REF!</v>
      </c>
      <c r="H773" s="146"/>
      <c r="I773"/>
      <c r="J773"/>
      <c r="K773"/>
      <c r="M773" s="49"/>
      <c r="N773" s="49"/>
      <c r="O773" s="49"/>
      <c r="P773" s="49"/>
      <c r="Q773" s="49"/>
      <c r="R773" s="49"/>
      <c r="S773" s="49"/>
      <c r="T773" s="49"/>
      <c r="U773" s="49"/>
      <c r="V773" s="49"/>
      <c r="W773" s="49"/>
      <c r="X773" s="49"/>
      <c r="Y773" s="49"/>
    </row>
    <row r="774" spans="1:26" ht="11.25" hidden="1" customHeight="1">
      <c r="B774" s="142" t="s">
        <v>434</v>
      </c>
      <c r="C774" s="142"/>
      <c r="D774" s="73" t="b">
        <f t="shared" si="1"/>
        <v>0</v>
      </c>
      <c r="E774" s="141" t="str">
        <f t="shared" si="2"/>
        <v/>
      </c>
      <c r="F774" s="141"/>
      <c r="G774" s="145" t="e">
        <f t="shared" si="0"/>
        <v>#REF!</v>
      </c>
      <c r="H774" s="146"/>
      <c r="I774"/>
      <c r="J774"/>
      <c r="K774"/>
      <c r="M774" s="49"/>
      <c r="N774" s="49"/>
      <c r="O774" s="49"/>
      <c r="P774" s="49"/>
      <c r="Q774" s="49"/>
      <c r="R774" s="49"/>
      <c r="S774" s="49"/>
      <c r="T774" s="49"/>
      <c r="U774" s="49"/>
      <c r="V774" s="49"/>
      <c r="W774" s="49"/>
      <c r="X774" s="49"/>
      <c r="Y774" s="49"/>
    </row>
    <row r="775" spans="1:26" ht="11.25" hidden="1" customHeight="1">
      <c r="B775" s="142" t="s">
        <v>435</v>
      </c>
      <c r="C775" s="142"/>
      <c r="D775" s="73" t="b">
        <f t="shared" si="1"/>
        <v>0</v>
      </c>
      <c r="E775" s="141" t="str">
        <f t="shared" si="2"/>
        <v/>
      </c>
      <c r="F775" s="141"/>
      <c r="G775" s="145" t="e">
        <f t="shared" si="0"/>
        <v>#REF!</v>
      </c>
      <c r="H775" s="146"/>
      <c r="I775"/>
      <c r="J775"/>
      <c r="K775"/>
      <c r="M775" s="49"/>
      <c r="N775" s="49"/>
      <c r="O775" s="49"/>
      <c r="P775" s="49"/>
      <c r="Q775" s="49"/>
      <c r="R775" s="49"/>
      <c r="S775" s="49"/>
      <c r="T775" s="49"/>
      <c r="U775" s="49"/>
      <c r="V775" s="49"/>
      <c r="W775" s="49"/>
      <c r="X775" s="49"/>
      <c r="Y775" s="49"/>
    </row>
    <row r="776" spans="1:26" ht="11.25" customHeight="1">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row>
    <row r="777" spans="1:26" s="72" customFormat="1" ht="11.25" customHeight="1">
      <c r="A777" s="71" t="s">
        <v>2049</v>
      </c>
    </row>
    <row r="778" spans="1:26" ht="11.25" hidden="1" customHeight="1">
      <c r="A778" s="49"/>
      <c r="C778" s="49"/>
      <c r="D778" s="49"/>
      <c r="E778" s="49"/>
      <c r="F778" s="49"/>
      <c r="G778" s="49"/>
      <c r="H778" s="49"/>
      <c r="I778" s="49"/>
      <c r="K778" s="49"/>
      <c r="L778" s="49"/>
      <c r="M778" s="49"/>
      <c r="N778" s="49"/>
      <c r="O778" s="49"/>
      <c r="P778" s="49"/>
      <c r="Q778" s="49"/>
      <c r="R778" s="49"/>
      <c r="S778" s="49"/>
      <c r="T778" s="49"/>
      <c r="U778" s="49"/>
      <c r="V778" s="49"/>
      <c r="W778" s="49"/>
      <c r="X778" s="49"/>
      <c r="Y778" s="49"/>
      <c r="Z778" s="49"/>
    </row>
    <row r="779" spans="1:26" ht="11.25" hidden="1" customHeight="1">
      <c r="B779" s="142" t="s">
        <v>813</v>
      </c>
      <c r="C779" s="142"/>
      <c r="D779" s="141" t="s">
        <v>823</v>
      </c>
      <c r="E779" s="141"/>
      <c r="F779" s="141" t="s">
        <v>811</v>
      </c>
      <c r="G779" s="141"/>
      <c r="H779" s="147" t="s">
        <v>818</v>
      </c>
      <c r="I779" s="148"/>
      <c r="J779" s="52" t="s">
        <v>814</v>
      </c>
      <c r="K779" s="52" t="s">
        <v>744</v>
      </c>
      <c r="R779" s="49"/>
      <c r="S779" s="49"/>
      <c r="T779" s="49"/>
      <c r="U779" s="49"/>
      <c r="V779" s="49"/>
      <c r="W779" s="49"/>
      <c r="X779" s="49"/>
      <c r="Y779" s="49"/>
    </row>
    <row r="780" spans="1:26" ht="11.25" hidden="1" customHeight="1">
      <c r="B780" s="142" t="s">
        <v>815</v>
      </c>
      <c r="C780" s="142"/>
      <c r="D780" s="141" t="b">
        <f>T1.role(B780,"well")</f>
        <v>0</v>
      </c>
      <c r="E780" s="141"/>
      <c r="F780" s="141" t="str">
        <f t="shared" ref="F780:F799" si="3">T1.role(B780,"cpdid")</f>
        <v/>
      </c>
      <c r="G780" s="141"/>
      <c r="H780" s="145" t="e">
        <f t="shared" ref="H780:H799" si="4">T1.role(B780,"RAW_DATA","avr")</f>
        <v>#REF!</v>
      </c>
      <c r="I780" s="146"/>
      <c r="J780" s="50" t="e">
        <f t="shared" ref="J780:J799" si="5">T1.role(B780,"CPD_RESULT","avr")</f>
        <v>#REF!</v>
      </c>
      <c r="K780" s="50" t="e">
        <f t="shared" ref="K780:K799" si="6">T1.role(B780,"CPD_HIT","val",1)</f>
        <v>#REF!</v>
      </c>
      <c r="R780" s="49"/>
      <c r="S780" s="49"/>
      <c r="T780" s="49"/>
      <c r="U780" s="49"/>
      <c r="V780" s="49"/>
      <c r="W780" s="49"/>
      <c r="X780" s="49"/>
      <c r="Y780" s="49"/>
    </row>
    <row r="781" spans="1:26" ht="11.25" hidden="1" customHeight="1">
      <c r="A781" s="49"/>
      <c r="B781" s="142" t="s">
        <v>821</v>
      </c>
      <c r="C781" s="142"/>
      <c r="D781" s="141" t="b">
        <f t="shared" ref="D781:D787" si="7">T1.role(B781,"well")</f>
        <v>0</v>
      </c>
      <c r="E781" s="141"/>
      <c r="F781" s="141" t="str">
        <f t="shared" si="3"/>
        <v/>
      </c>
      <c r="G781" s="141"/>
      <c r="H781" s="145" t="e">
        <f t="shared" si="4"/>
        <v>#REF!</v>
      </c>
      <c r="I781" s="146"/>
      <c r="J781" s="50" t="e">
        <f t="shared" si="5"/>
        <v>#REF!</v>
      </c>
      <c r="K781" s="50" t="e">
        <f t="shared" si="6"/>
        <v>#REF!</v>
      </c>
      <c r="R781" s="49"/>
      <c r="S781" s="49"/>
      <c r="T781" s="49"/>
      <c r="U781" s="49"/>
      <c r="V781" s="49"/>
      <c r="W781" s="49"/>
      <c r="X781" s="49"/>
      <c r="Y781" s="49"/>
    </row>
    <row r="782" spans="1:26" ht="11.25" hidden="1" customHeight="1">
      <c r="B782" s="142" t="s">
        <v>434</v>
      </c>
      <c r="C782" s="142"/>
      <c r="D782" s="141" t="b">
        <f t="shared" si="7"/>
        <v>0</v>
      </c>
      <c r="E782" s="141"/>
      <c r="F782" s="141" t="str">
        <f t="shared" si="3"/>
        <v/>
      </c>
      <c r="G782" s="141"/>
      <c r="H782" s="145" t="e">
        <f t="shared" si="4"/>
        <v>#REF!</v>
      </c>
      <c r="I782" s="146"/>
      <c r="J782" s="50" t="e">
        <f t="shared" si="5"/>
        <v>#REF!</v>
      </c>
      <c r="K782" s="50" t="e">
        <f t="shared" si="6"/>
        <v>#REF!</v>
      </c>
      <c r="R782" s="49"/>
      <c r="S782" s="49"/>
      <c r="T782" s="49"/>
      <c r="U782" s="49"/>
      <c r="V782" s="49"/>
      <c r="W782" s="49"/>
      <c r="X782" s="49"/>
      <c r="Y782" s="49"/>
    </row>
    <row r="783" spans="1:26" ht="11.25" hidden="1" customHeight="1">
      <c r="B783" s="142" t="s">
        <v>435</v>
      </c>
      <c r="C783" s="142"/>
      <c r="D783" s="141" t="b">
        <f t="shared" si="7"/>
        <v>0</v>
      </c>
      <c r="E783" s="141"/>
      <c r="F783" s="141" t="str">
        <f t="shared" si="3"/>
        <v/>
      </c>
      <c r="G783" s="141"/>
      <c r="H783" s="145" t="e">
        <f t="shared" si="4"/>
        <v>#REF!</v>
      </c>
      <c r="I783" s="146"/>
      <c r="J783" s="50" t="e">
        <f t="shared" si="5"/>
        <v>#REF!</v>
      </c>
      <c r="K783" s="50" t="e">
        <f t="shared" si="6"/>
        <v>#REF!</v>
      </c>
      <c r="R783" s="49"/>
      <c r="S783" s="49"/>
      <c r="T783" s="49"/>
      <c r="U783" s="49"/>
      <c r="V783" s="49"/>
      <c r="W783" s="49"/>
      <c r="X783" s="49"/>
      <c r="Y783" s="49"/>
    </row>
    <row r="784" spans="1:26" ht="11.25" hidden="1" customHeight="1">
      <c r="B784" s="142" t="s">
        <v>436</v>
      </c>
      <c r="C784" s="142"/>
      <c r="D784" s="141" t="b">
        <f t="shared" si="7"/>
        <v>0</v>
      </c>
      <c r="E784" s="141"/>
      <c r="F784" s="141" t="str">
        <f t="shared" si="3"/>
        <v/>
      </c>
      <c r="G784" s="141"/>
      <c r="H784" s="145" t="e">
        <f t="shared" si="4"/>
        <v>#REF!</v>
      </c>
      <c r="I784" s="146"/>
      <c r="J784" s="50" t="e">
        <f t="shared" si="5"/>
        <v>#REF!</v>
      </c>
      <c r="K784" s="50" t="e">
        <f t="shared" si="6"/>
        <v>#REF!</v>
      </c>
      <c r="R784" s="49"/>
      <c r="S784" s="49"/>
      <c r="T784" s="49"/>
      <c r="U784" s="49"/>
      <c r="V784" s="49"/>
      <c r="W784" s="49"/>
      <c r="X784" s="49"/>
      <c r="Y784" s="49"/>
    </row>
    <row r="785" spans="2:26" ht="11.25" hidden="1" customHeight="1">
      <c r="B785" s="142" t="s">
        <v>437</v>
      </c>
      <c r="C785" s="142"/>
      <c r="D785" s="141" t="b">
        <f t="shared" si="7"/>
        <v>0</v>
      </c>
      <c r="E785" s="141"/>
      <c r="F785" s="141" t="str">
        <f t="shared" si="3"/>
        <v/>
      </c>
      <c r="G785" s="141"/>
      <c r="H785" s="145" t="e">
        <f t="shared" si="4"/>
        <v>#REF!</v>
      </c>
      <c r="I785" s="146"/>
      <c r="J785" s="50" t="e">
        <f t="shared" si="5"/>
        <v>#REF!</v>
      </c>
      <c r="K785" s="50" t="e">
        <f t="shared" si="6"/>
        <v>#REF!</v>
      </c>
      <c r="R785" s="49"/>
      <c r="S785" s="49"/>
      <c r="T785" s="49"/>
      <c r="U785" s="49"/>
      <c r="V785" s="49"/>
      <c r="W785" s="49"/>
      <c r="X785" s="49"/>
      <c r="Y785" s="49"/>
    </row>
    <row r="786" spans="2:26" ht="11.25" hidden="1" customHeight="1">
      <c r="B786" s="142" t="s">
        <v>438</v>
      </c>
      <c r="C786" s="142"/>
      <c r="D786" s="141" t="b">
        <f t="shared" si="7"/>
        <v>0</v>
      </c>
      <c r="E786" s="141"/>
      <c r="F786" s="141" t="str">
        <f t="shared" si="3"/>
        <v/>
      </c>
      <c r="G786" s="141"/>
      <c r="H786" s="145" t="e">
        <f t="shared" si="4"/>
        <v>#REF!</v>
      </c>
      <c r="I786" s="146"/>
      <c r="J786" s="50" t="e">
        <f t="shared" si="5"/>
        <v>#REF!</v>
      </c>
      <c r="K786" s="50" t="e">
        <f t="shared" si="6"/>
        <v>#REF!</v>
      </c>
      <c r="R786" s="49"/>
      <c r="S786" s="49"/>
      <c r="T786" s="49"/>
      <c r="U786" s="49"/>
      <c r="V786" s="49"/>
      <c r="W786" s="49"/>
      <c r="X786" s="49"/>
      <c r="Y786" s="49"/>
    </row>
    <row r="787" spans="2:26" ht="11.25" hidden="1" customHeight="1">
      <c r="B787" s="142" t="s">
        <v>439</v>
      </c>
      <c r="C787" s="142"/>
      <c r="D787" s="141" t="b">
        <f t="shared" si="7"/>
        <v>0</v>
      </c>
      <c r="E787" s="141"/>
      <c r="F787" s="141" t="str">
        <f t="shared" si="3"/>
        <v/>
      </c>
      <c r="G787" s="141"/>
      <c r="H787" s="145" t="e">
        <f t="shared" si="4"/>
        <v>#REF!</v>
      </c>
      <c r="I787" s="146"/>
      <c r="J787" s="50" t="e">
        <f t="shared" si="5"/>
        <v>#REF!</v>
      </c>
      <c r="K787" s="50" t="e">
        <f t="shared" si="6"/>
        <v>#REF!</v>
      </c>
      <c r="R787" s="49"/>
      <c r="S787" s="49"/>
      <c r="T787" s="49"/>
      <c r="U787" s="49"/>
      <c r="V787" s="49"/>
      <c r="W787" s="49"/>
      <c r="X787" s="49"/>
      <c r="Y787" s="49"/>
    </row>
    <row r="788" spans="2:26" ht="11.25" hidden="1" customHeight="1">
      <c r="B788" s="142" t="s">
        <v>440</v>
      </c>
      <c r="C788" s="142"/>
      <c r="D788" s="141" t="b">
        <f>T1.role(B788,"well")</f>
        <v>0</v>
      </c>
      <c r="E788" s="141"/>
      <c r="F788" s="141" t="str">
        <f t="shared" si="3"/>
        <v/>
      </c>
      <c r="G788" s="141"/>
      <c r="H788" s="145" t="e">
        <f t="shared" si="4"/>
        <v>#REF!</v>
      </c>
      <c r="I788" s="146"/>
      <c r="J788" s="50" t="e">
        <f t="shared" si="5"/>
        <v>#REF!</v>
      </c>
      <c r="K788" s="50" t="e">
        <f t="shared" si="6"/>
        <v>#REF!</v>
      </c>
      <c r="R788" s="49"/>
      <c r="S788" s="49"/>
      <c r="T788" s="49"/>
      <c r="U788" s="49"/>
      <c r="V788" s="49"/>
      <c r="W788" s="49"/>
      <c r="X788" s="49"/>
      <c r="Y788" s="49"/>
    </row>
    <row r="789" spans="2:26" ht="11.25" hidden="1" customHeight="1">
      <c r="B789" s="142" t="s">
        <v>2</v>
      </c>
      <c r="C789" s="142"/>
      <c r="D789" s="141" t="b">
        <f t="shared" ref="D789:D799" si="8">T1.role(B789,"well")</f>
        <v>0</v>
      </c>
      <c r="E789" s="141"/>
      <c r="F789" s="141" t="str">
        <f t="shared" si="3"/>
        <v/>
      </c>
      <c r="G789" s="141"/>
      <c r="H789" s="145" t="e">
        <f t="shared" si="4"/>
        <v>#REF!</v>
      </c>
      <c r="I789" s="146"/>
      <c r="J789" s="50" t="e">
        <f t="shared" si="5"/>
        <v>#REF!</v>
      </c>
      <c r="K789" s="50" t="e">
        <f t="shared" si="6"/>
        <v>#REF!</v>
      </c>
      <c r="R789" s="49"/>
      <c r="S789" s="49"/>
      <c r="T789" s="49"/>
      <c r="U789" s="49"/>
      <c r="V789" s="49"/>
      <c r="W789" s="49"/>
      <c r="X789" s="49"/>
      <c r="Y789" s="49"/>
    </row>
    <row r="790" spans="2:26" ht="11.25" hidden="1" customHeight="1">
      <c r="B790" s="142" t="s">
        <v>4</v>
      </c>
      <c r="C790" s="142"/>
      <c r="D790" s="141" t="b">
        <f t="shared" si="8"/>
        <v>0</v>
      </c>
      <c r="E790" s="141"/>
      <c r="F790" s="141" t="str">
        <f t="shared" si="3"/>
        <v/>
      </c>
      <c r="G790" s="141"/>
      <c r="H790" s="145" t="e">
        <f t="shared" si="4"/>
        <v>#REF!</v>
      </c>
      <c r="I790" s="146"/>
      <c r="J790" s="50" t="e">
        <f t="shared" si="5"/>
        <v>#REF!</v>
      </c>
      <c r="K790" s="50" t="e">
        <f t="shared" si="6"/>
        <v>#REF!</v>
      </c>
      <c r="R790" s="49"/>
      <c r="S790" s="49"/>
      <c r="T790" s="49"/>
      <c r="U790" s="49"/>
      <c r="V790" s="49"/>
      <c r="W790" s="49"/>
      <c r="X790" s="49"/>
      <c r="Y790" s="49"/>
    </row>
    <row r="791" spans="2:26" ht="11.25" hidden="1" customHeight="1">
      <c r="B791" s="142" t="s">
        <v>6</v>
      </c>
      <c r="C791" s="142"/>
      <c r="D791" s="141" t="b">
        <f t="shared" si="8"/>
        <v>0</v>
      </c>
      <c r="E791" s="141"/>
      <c r="F791" s="141" t="str">
        <f t="shared" si="3"/>
        <v/>
      </c>
      <c r="G791" s="141"/>
      <c r="H791" s="145" t="e">
        <f t="shared" si="4"/>
        <v>#REF!</v>
      </c>
      <c r="I791" s="146"/>
      <c r="J791" s="50" t="e">
        <f t="shared" si="5"/>
        <v>#REF!</v>
      </c>
      <c r="K791" s="50" t="e">
        <f t="shared" si="6"/>
        <v>#REF!</v>
      </c>
      <c r="R791" s="49"/>
      <c r="S791" s="49"/>
      <c r="T791" s="49"/>
      <c r="U791" s="49"/>
      <c r="V791" s="49"/>
      <c r="W791" s="49"/>
      <c r="X791" s="49"/>
      <c r="Y791" s="49"/>
    </row>
    <row r="792" spans="2:26" ht="11.25" hidden="1" customHeight="1">
      <c r="B792" s="142" t="s">
        <v>1</v>
      </c>
      <c r="C792" s="142"/>
      <c r="D792" s="141" t="b">
        <f t="shared" si="8"/>
        <v>0</v>
      </c>
      <c r="E792" s="141"/>
      <c r="F792" s="141" t="str">
        <f t="shared" si="3"/>
        <v/>
      </c>
      <c r="G792" s="141"/>
      <c r="H792" s="145" t="e">
        <f t="shared" si="4"/>
        <v>#REF!</v>
      </c>
      <c r="I792" s="146"/>
      <c r="J792" s="50" t="e">
        <f t="shared" si="5"/>
        <v>#REF!</v>
      </c>
      <c r="K792" s="50" t="e">
        <f t="shared" si="6"/>
        <v>#REF!</v>
      </c>
      <c r="R792" s="49"/>
      <c r="S792" s="49"/>
      <c r="T792" s="49"/>
      <c r="U792" s="49"/>
      <c r="V792" s="49"/>
      <c r="W792" s="49"/>
      <c r="X792" s="49"/>
      <c r="Y792" s="49"/>
    </row>
    <row r="793" spans="2:26" ht="11.25" hidden="1" customHeight="1">
      <c r="B793" s="142" t="s">
        <v>3</v>
      </c>
      <c r="C793" s="142"/>
      <c r="D793" s="141" t="b">
        <f t="shared" si="8"/>
        <v>0</v>
      </c>
      <c r="E793" s="141"/>
      <c r="F793" s="141" t="str">
        <f t="shared" si="3"/>
        <v/>
      </c>
      <c r="G793" s="141"/>
      <c r="H793" s="145" t="e">
        <f t="shared" si="4"/>
        <v>#REF!</v>
      </c>
      <c r="I793" s="146"/>
      <c r="J793" s="50" t="e">
        <f t="shared" si="5"/>
        <v>#REF!</v>
      </c>
      <c r="K793" s="50" t="e">
        <f t="shared" si="6"/>
        <v>#REF!</v>
      </c>
      <c r="R793" s="49"/>
      <c r="S793" s="49"/>
      <c r="T793" s="49"/>
      <c r="U793" s="49"/>
      <c r="V793" s="49"/>
      <c r="W793" s="49"/>
      <c r="X793" s="49"/>
      <c r="Y793" s="49"/>
    </row>
    <row r="794" spans="2:26" ht="11.25" hidden="1" customHeight="1">
      <c r="B794" s="142" t="s">
        <v>5</v>
      </c>
      <c r="C794" s="142"/>
      <c r="D794" s="141" t="b">
        <f t="shared" si="8"/>
        <v>0</v>
      </c>
      <c r="E794" s="141"/>
      <c r="F794" s="141" t="str">
        <f t="shared" si="3"/>
        <v/>
      </c>
      <c r="G794" s="141"/>
      <c r="H794" s="145" t="e">
        <f t="shared" si="4"/>
        <v>#REF!</v>
      </c>
      <c r="I794" s="146"/>
      <c r="J794" s="50" t="e">
        <f t="shared" si="5"/>
        <v>#REF!</v>
      </c>
      <c r="K794" s="50" t="e">
        <f t="shared" si="6"/>
        <v>#REF!</v>
      </c>
      <c r="R794" s="49"/>
      <c r="S794" s="49"/>
      <c r="T794" s="49"/>
      <c r="U794" s="49"/>
      <c r="V794" s="49"/>
      <c r="W794" s="49"/>
      <c r="X794" s="49"/>
      <c r="Y794" s="49"/>
    </row>
    <row r="795" spans="2:26" ht="11.25" hidden="1" customHeight="1">
      <c r="B795" s="142" t="s">
        <v>7</v>
      </c>
      <c r="C795" s="142"/>
      <c r="D795" s="141" t="b">
        <f t="shared" si="8"/>
        <v>0</v>
      </c>
      <c r="E795" s="141"/>
      <c r="F795" s="141" t="str">
        <f t="shared" si="3"/>
        <v/>
      </c>
      <c r="G795" s="141"/>
      <c r="H795" s="145" t="e">
        <f t="shared" si="4"/>
        <v>#REF!</v>
      </c>
      <c r="I795" s="146"/>
      <c r="J795" s="50" t="e">
        <f t="shared" si="5"/>
        <v>#REF!</v>
      </c>
      <c r="K795" s="50" t="e">
        <f t="shared" si="6"/>
        <v>#REF!</v>
      </c>
      <c r="R795" s="49"/>
      <c r="S795" s="49"/>
      <c r="T795" s="49"/>
      <c r="U795" s="49"/>
      <c r="V795" s="49"/>
      <c r="W795" s="49"/>
      <c r="X795" s="49"/>
      <c r="Y795" s="49"/>
    </row>
    <row r="796" spans="2:26" ht="11.25" hidden="1" customHeight="1">
      <c r="B796" s="142" t="s">
        <v>819</v>
      </c>
      <c r="C796" s="142"/>
      <c r="D796" s="141" t="b">
        <f t="shared" si="8"/>
        <v>0</v>
      </c>
      <c r="E796" s="141"/>
      <c r="F796" s="141" t="str">
        <f t="shared" si="3"/>
        <v/>
      </c>
      <c r="G796" s="141"/>
      <c r="H796" s="145" t="e">
        <f t="shared" si="4"/>
        <v>#REF!</v>
      </c>
      <c r="I796" s="146"/>
      <c r="J796" s="50" t="e">
        <f t="shared" si="5"/>
        <v>#REF!</v>
      </c>
      <c r="K796" s="50" t="e">
        <f t="shared" si="6"/>
        <v>#REF!</v>
      </c>
      <c r="R796" s="49"/>
      <c r="S796" s="49"/>
      <c r="T796" s="49"/>
      <c r="U796" s="49"/>
      <c r="V796" s="49"/>
      <c r="W796" s="49"/>
      <c r="X796" s="49"/>
      <c r="Y796" s="49"/>
    </row>
    <row r="797" spans="2:26" ht="11.25" hidden="1" customHeight="1">
      <c r="B797" s="142" t="s">
        <v>820</v>
      </c>
      <c r="C797" s="142"/>
      <c r="D797" s="141" t="b">
        <f t="shared" si="8"/>
        <v>0</v>
      </c>
      <c r="E797" s="141"/>
      <c r="F797" s="141" t="str">
        <f t="shared" si="3"/>
        <v/>
      </c>
      <c r="G797" s="141"/>
      <c r="H797" s="145" t="e">
        <f t="shared" si="4"/>
        <v>#REF!</v>
      </c>
      <c r="I797" s="146"/>
      <c r="J797" s="50" t="e">
        <f t="shared" si="5"/>
        <v>#REF!</v>
      </c>
      <c r="K797" s="50" t="e">
        <f t="shared" si="6"/>
        <v>#REF!</v>
      </c>
      <c r="R797" s="49"/>
      <c r="S797" s="49"/>
      <c r="T797" s="49"/>
      <c r="U797" s="49"/>
      <c r="V797" s="49"/>
      <c r="W797" s="49"/>
      <c r="X797" s="49"/>
      <c r="Y797" s="49"/>
    </row>
    <row r="798" spans="2:26" ht="11.25" hidden="1" customHeight="1">
      <c r="B798" s="142" t="s">
        <v>478</v>
      </c>
      <c r="C798" s="142"/>
      <c r="D798" s="141" t="b">
        <f t="shared" si="8"/>
        <v>0</v>
      </c>
      <c r="E798" s="141"/>
      <c r="F798" s="141" t="str">
        <f t="shared" si="3"/>
        <v/>
      </c>
      <c r="G798" s="141"/>
      <c r="H798" s="145" t="e">
        <f t="shared" si="4"/>
        <v>#REF!</v>
      </c>
      <c r="I798" s="146"/>
      <c r="J798" s="50" t="e">
        <f t="shared" si="5"/>
        <v>#REF!</v>
      </c>
      <c r="K798" s="50" t="e">
        <f t="shared" si="6"/>
        <v>#REF!</v>
      </c>
      <c r="R798" s="49"/>
      <c r="S798" s="49"/>
      <c r="T798" s="49"/>
      <c r="U798" s="49"/>
      <c r="V798" s="49"/>
      <c r="W798" s="49"/>
      <c r="X798" s="49"/>
      <c r="Y798" s="49"/>
    </row>
    <row r="799" spans="2:26" ht="11.25" hidden="1" customHeight="1">
      <c r="B799" s="142" t="s">
        <v>497</v>
      </c>
      <c r="C799" s="142"/>
      <c r="D799" s="141" t="b">
        <f t="shared" si="8"/>
        <v>0</v>
      </c>
      <c r="E799" s="141"/>
      <c r="F799" s="141" t="str">
        <f t="shared" si="3"/>
        <v/>
      </c>
      <c r="G799" s="141"/>
      <c r="H799" s="145" t="e">
        <f t="shared" si="4"/>
        <v>#REF!</v>
      </c>
      <c r="I799" s="146"/>
      <c r="J799" s="50" t="e">
        <f t="shared" si="5"/>
        <v>#REF!</v>
      </c>
      <c r="K799" s="50" t="e">
        <f t="shared" si="6"/>
        <v>#REF!</v>
      </c>
      <c r="R799" s="49"/>
      <c r="S799" s="49"/>
      <c r="T799" s="49"/>
      <c r="U799" s="49"/>
      <c r="V799" s="49"/>
      <c r="W799" s="49"/>
      <c r="X799" s="49"/>
      <c r="Y799" s="49"/>
    </row>
    <row r="800" spans="2:26" ht="11.25" customHeight="1">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row>
    <row r="801" spans="1:26" s="72" customFormat="1" ht="11.25" customHeight="1">
      <c r="A801" s="71" t="s">
        <v>2041</v>
      </c>
    </row>
    <row r="802" spans="1:26" ht="11.25" hidden="1" customHeight="1">
      <c r="A802" s="49"/>
      <c r="C802" s="49"/>
      <c r="D802" s="49"/>
      <c r="E802" s="49"/>
      <c r="F802" s="49"/>
      <c r="G802" s="49"/>
      <c r="H802" s="49"/>
      <c r="I802" s="49"/>
      <c r="K802" s="49"/>
      <c r="L802" s="49"/>
      <c r="M802" s="49"/>
      <c r="N802" s="49"/>
      <c r="O802" s="49"/>
      <c r="P802" s="49"/>
      <c r="Q802" s="49"/>
      <c r="R802" s="49"/>
      <c r="S802" s="49"/>
      <c r="T802" s="49"/>
      <c r="U802" s="49"/>
      <c r="V802" s="49"/>
      <c r="W802" s="49"/>
      <c r="X802" s="49"/>
      <c r="Y802" s="49"/>
      <c r="Z802" s="49"/>
    </row>
    <row r="803" spans="1:26" ht="11.25" hidden="1" customHeight="1">
      <c r="B803" s="142" t="s">
        <v>813</v>
      </c>
      <c r="C803" s="142"/>
      <c r="D803" s="141" t="s">
        <v>823</v>
      </c>
      <c r="E803" s="141"/>
      <c r="F803" s="141" t="s">
        <v>811</v>
      </c>
      <c r="G803" s="141"/>
      <c r="H803" s="147" t="s">
        <v>818</v>
      </c>
      <c r="I803" s="148"/>
      <c r="J803" s="42" t="s">
        <v>814</v>
      </c>
      <c r="K803" s="42" t="s">
        <v>744</v>
      </c>
      <c r="S803" s="49"/>
      <c r="T803" s="49"/>
      <c r="U803" s="49"/>
      <c r="V803" s="49"/>
      <c r="W803" s="49"/>
      <c r="X803" s="49"/>
      <c r="Y803" s="49"/>
    </row>
    <row r="804" spans="1:26" ht="11.25" hidden="1" customHeight="1">
      <c r="B804" s="142" t="s">
        <v>815</v>
      </c>
      <c r="C804" s="142"/>
      <c r="D804" s="141" t="b">
        <f>T1.role(B804,"well")</f>
        <v>0</v>
      </c>
      <c r="E804" s="141"/>
      <c r="F804" s="141" t="str">
        <f t="shared" ref="F804:F835" si="9">T1.role(B804,"cpdid")</f>
        <v/>
      </c>
      <c r="G804" s="141"/>
      <c r="H804" s="145" t="e">
        <f t="shared" ref="H804:H835" si="10">T1.role(B804,"RAW_DATA","avr")</f>
        <v>#REF!</v>
      </c>
      <c r="I804" s="146"/>
      <c r="J804" s="50" t="e">
        <f t="shared" ref="J804:J835" si="11">T1.role(B804,"CPD_RESULT","avr")</f>
        <v>#REF!</v>
      </c>
      <c r="K804" s="50" t="e">
        <f t="shared" ref="K804:K835" si="12">T1.role(B804,"CPD_HIT","val",1)</f>
        <v>#REF!</v>
      </c>
      <c r="S804" s="49"/>
      <c r="T804" s="49"/>
      <c r="U804" s="49"/>
      <c r="V804" s="49"/>
      <c r="W804" s="49"/>
      <c r="X804" s="49"/>
      <c r="Y804" s="49"/>
    </row>
    <row r="805" spans="1:26" ht="11.25" hidden="1" customHeight="1">
      <c r="A805" s="49"/>
      <c r="B805" s="142" t="s">
        <v>821</v>
      </c>
      <c r="C805" s="142"/>
      <c r="D805" s="141" t="b">
        <f t="shared" ref="D805:D843" si="13">T1.role(B805,"well")</f>
        <v>0</v>
      </c>
      <c r="E805" s="141"/>
      <c r="F805" s="141" t="str">
        <f t="shared" si="9"/>
        <v/>
      </c>
      <c r="G805" s="141"/>
      <c r="H805" s="145" t="e">
        <f t="shared" si="10"/>
        <v>#REF!</v>
      </c>
      <c r="I805" s="146"/>
      <c r="J805" s="50" t="e">
        <f t="shared" si="11"/>
        <v>#REF!</v>
      </c>
      <c r="K805" s="50" t="e">
        <f t="shared" si="12"/>
        <v>#REF!</v>
      </c>
      <c r="S805" s="49"/>
      <c r="T805" s="49"/>
      <c r="U805" s="49"/>
      <c r="V805" s="49"/>
      <c r="W805" s="49"/>
      <c r="X805" s="49"/>
      <c r="Y805" s="49"/>
    </row>
    <row r="806" spans="1:26" ht="11.25" hidden="1" customHeight="1">
      <c r="B806" s="142" t="s">
        <v>434</v>
      </c>
      <c r="C806" s="142"/>
      <c r="D806" s="141" t="b">
        <f t="shared" si="13"/>
        <v>0</v>
      </c>
      <c r="E806" s="141"/>
      <c r="F806" s="141" t="str">
        <f t="shared" si="9"/>
        <v/>
      </c>
      <c r="G806" s="141"/>
      <c r="H806" s="145" t="e">
        <f t="shared" si="10"/>
        <v>#REF!</v>
      </c>
      <c r="I806" s="146"/>
      <c r="J806" s="50" t="e">
        <f t="shared" si="11"/>
        <v>#REF!</v>
      </c>
      <c r="K806" s="50" t="e">
        <f t="shared" si="12"/>
        <v>#REF!</v>
      </c>
      <c r="S806" s="49"/>
      <c r="T806" s="49"/>
      <c r="U806" s="49"/>
      <c r="V806" s="49"/>
      <c r="W806" s="49"/>
      <c r="X806" s="49"/>
      <c r="Y806" s="49"/>
    </row>
    <row r="807" spans="1:26" ht="11.25" hidden="1" customHeight="1">
      <c r="B807" s="142" t="s">
        <v>435</v>
      </c>
      <c r="C807" s="142"/>
      <c r="D807" s="141" t="b">
        <f t="shared" si="13"/>
        <v>0</v>
      </c>
      <c r="E807" s="141"/>
      <c r="F807" s="141" t="str">
        <f t="shared" si="9"/>
        <v/>
      </c>
      <c r="G807" s="141"/>
      <c r="H807" s="145" t="e">
        <f t="shared" si="10"/>
        <v>#REF!</v>
      </c>
      <c r="I807" s="146"/>
      <c r="J807" s="50" t="e">
        <f t="shared" si="11"/>
        <v>#REF!</v>
      </c>
      <c r="K807" s="50" t="e">
        <f t="shared" si="12"/>
        <v>#REF!</v>
      </c>
      <c r="S807" s="49"/>
      <c r="T807" s="49"/>
      <c r="U807" s="49"/>
      <c r="V807" s="49"/>
      <c r="W807" s="49"/>
      <c r="X807" s="49"/>
      <c r="Y807" s="49"/>
    </row>
    <row r="808" spans="1:26" ht="11.25" hidden="1" customHeight="1">
      <c r="B808" s="142" t="s">
        <v>436</v>
      </c>
      <c r="C808" s="142"/>
      <c r="D808" s="141" t="b">
        <f t="shared" si="13"/>
        <v>0</v>
      </c>
      <c r="E808" s="141"/>
      <c r="F808" s="141" t="str">
        <f t="shared" si="9"/>
        <v/>
      </c>
      <c r="G808" s="141"/>
      <c r="H808" s="145" t="e">
        <f t="shared" si="10"/>
        <v>#REF!</v>
      </c>
      <c r="I808" s="146"/>
      <c r="J808" s="50" t="e">
        <f t="shared" si="11"/>
        <v>#REF!</v>
      </c>
      <c r="K808" s="50" t="e">
        <f t="shared" si="12"/>
        <v>#REF!</v>
      </c>
      <c r="S808" s="49"/>
      <c r="T808" s="49"/>
      <c r="U808" s="49"/>
      <c r="V808" s="49"/>
      <c r="W808" s="49"/>
      <c r="X808" s="49"/>
      <c r="Y808" s="49"/>
    </row>
    <row r="809" spans="1:26" ht="11.25" hidden="1" customHeight="1">
      <c r="B809" s="142" t="s">
        <v>437</v>
      </c>
      <c r="C809" s="142"/>
      <c r="D809" s="141" t="b">
        <f t="shared" si="13"/>
        <v>0</v>
      </c>
      <c r="E809" s="141"/>
      <c r="F809" s="141" t="str">
        <f t="shared" si="9"/>
        <v/>
      </c>
      <c r="G809" s="141"/>
      <c r="H809" s="145" t="e">
        <f t="shared" si="10"/>
        <v>#REF!</v>
      </c>
      <c r="I809" s="146"/>
      <c r="J809" s="50" t="e">
        <f t="shared" si="11"/>
        <v>#REF!</v>
      </c>
      <c r="K809" s="50" t="e">
        <f t="shared" si="12"/>
        <v>#REF!</v>
      </c>
      <c r="S809" s="49"/>
      <c r="T809" s="49"/>
      <c r="U809" s="49"/>
      <c r="V809" s="49"/>
      <c r="W809" s="49"/>
      <c r="X809" s="49"/>
      <c r="Y809" s="49"/>
    </row>
    <row r="810" spans="1:26" ht="11.25" hidden="1" customHeight="1">
      <c r="B810" s="142" t="s">
        <v>438</v>
      </c>
      <c r="C810" s="142"/>
      <c r="D810" s="141" t="b">
        <f t="shared" si="13"/>
        <v>0</v>
      </c>
      <c r="E810" s="141"/>
      <c r="F810" s="141" t="str">
        <f t="shared" si="9"/>
        <v/>
      </c>
      <c r="G810" s="141"/>
      <c r="H810" s="145" t="e">
        <f t="shared" si="10"/>
        <v>#REF!</v>
      </c>
      <c r="I810" s="146"/>
      <c r="J810" s="50" t="e">
        <f t="shared" si="11"/>
        <v>#REF!</v>
      </c>
      <c r="K810" s="50" t="e">
        <f t="shared" si="12"/>
        <v>#REF!</v>
      </c>
      <c r="S810" s="49"/>
      <c r="T810" s="49"/>
      <c r="U810" s="49"/>
      <c r="V810" s="49"/>
      <c r="W810" s="49"/>
      <c r="X810" s="49"/>
      <c r="Y810" s="49"/>
    </row>
    <row r="811" spans="1:26" ht="11.25" hidden="1" customHeight="1">
      <c r="B811" s="142" t="s">
        <v>439</v>
      </c>
      <c r="C811" s="142"/>
      <c r="D811" s="141" t="b">
        <f t="shared" si="13"/>
        <v>0</v>
      </c>
      <c r="E811" s="141"/>
      <c r="F811" s="141" t="str">
        <f t="shared" si="9"/>
        <v/>
      </c>
      <c r="G811" s="141"/>
      <c r="H811" s="145" t="e">
        <f t="shared" si="10"/>
        <v>#REF!</v>
      </c>
      <c r="I811" s="146"/>
      <c r="J811" s="50" t="e">
        <f t="shared" si="11"/>
        <v>#REF!</v>
      </c>
      <c r="K811" s="50" t="e">
        <f t="shared" si="12"/>
        <v>#REF!</v>
      </c>
      <c r="S811" s="49"/>
      <c r="T811" s="49"/>
      <c r="U811" s="49"/>
      <c r="V811" s="49"/>
      <c r="W811" s="49"/>
      <c r="X811" s="49"/>
      <c r="Y811" s="49"/>
    </row>
    <row r="812" spans="1:26" ht="11.25" hidden="1" customHeight="1">
      <c r="B812" s="142" t="s">
        <v>440</v>
      </c>
      <c r="C812" s="142"/>
      <c r="D812" s="141" t="b">
        <f>T1.role(B812,"well")</f>
        <v>0</v>
      </c>
      <c r="E812" s="141"/>
      <c r="F812" s="141" t="str">
        <f t="shared" si="9"/>
        <v/>
      </c>
      <c r="G812" s="141"/>
      <c r="H812" s="145" t="e">
        <f t="shared" si="10"/>
        <v>#REF!</v>
      </c>
      <c r="I812" s="146"/>
      <c r="J812" s="50" t="e">
        <f t="shared" si="11"/>
        <v>#REF!</v>
      </c>
      <c r="K812" s="50" t="e">
        <f t="shared" si="12"/>
        <v>#REF!</v>
      </c>
      <c r="S812" s="49"/>
      <c r="T812" s="49"/>
      <c r="U812" s="49"/>
      <c r="V812" s="49"/>
      <c r="W812" s="49"/>
      <c r="X812" s="49"/>
      <c r="Y812" s="49"/>
    </row>
    <row r="813" spans="1:26" ht="11.25" hidden="1" customHeight="1">
      <c r="B813" s="142" t="s">
        <v>2</v>
      </c>
      <c r="C813" s="142"/>
      <c r="D813" s="141" t="b">
        <f t="shared" si="13"/>
        <v>0</v>
      </c>
      <c r="E813" s="141"/>
      <c r="F813" s="141" t="str">
        <f t="shared" si="9"/>
        <v/>
      </c>
      <c r="G813" s="141"/>
      <c r="H813" s="145" t="e">
        <f t="shared" si="10"/>
        <v>#REF!</v>
      </c>
      <c r="I813" s="146"/>
      <c r="J813" s="50" t="e">
        <f t="shared" si="11"/>
        <v>#REF!</v>
      </c>
      <c r="K813" s="50" t="e">
        <f t="shared" si="12"/>
        <v>#REF!</v>
      </c>
      <c r="S813" s="49"/>
      <c r="T813" s="49"/>
      <c r="U813" s="49"/>
      <c r="V813" s="49"/>
      <c r="W813" s="49"/>
      <c r="X813" s="49"/>
      <c r="Y813" s="49"/>
    </row>
    <row r="814" spans="1:26" ht="11.25" hidden="1" customHeight="1">
      <c r="B814" s="142" t="s">
        <v>4</v>
      </c>
      <c r="C814" s="142"/>
      <c r="D814" s="141" t="b">
        <f t="shared" si="13"/>
        <v>0</v>
      </c>
      <c r="E814" s="141"/>
      <c r="F814" s="141" t="str">
        <f t="shared" si="9"/>
        <v/>
      </c>
      <c r="G814" s="141"/>
      <c r="H814" s="145" t="e">
        <f t="shared" si="10"/>
        <v>#REF!</v>
      </c>
      <c r="I814" s="146"/>
      <c r="J814" s="50" t="e">
        <f t="shared" si="11"/>
        <v>#REF!</v>
      </c>
      <c r="K814" s="50" t="e">
        <f t="shared" si="12"/>
        <v>#REF!</v>
      </c>
      <c r="S814" s="49"/>
      <c r="T814" s="49"/>
      <c r="U814" s="49"/>
      <c r="V814" s="49"/>
      <c r="W814" s="49"/>
      <c r="X814" s="49"/>
      <c r="Y814" s="49"/>
    </row>
    <row r="815" spans="1:26" ht="11.25" hidden="1" customHeight="1">
      <c r="B815" s="142" t="s">
        <v>6</v>
      </c>
      <c r="C815" s="142"/>
      <c r="D815" s="141" t="b">
        <f t="shared" si="13"/>
        <v>0</v>
      </c>
      <c r="E815" s="141"/>
      <c r="F815" s="141" t="str">
        <f t="shared" si="9"/>
        <v/>
      </c>
      <c r="G815" s="141"/>
      <c r="H815" s="145" t="e">
        <f t="shared" si="10"/>
        <v>#REF!</v>
      </c>
      <c r="I815" s="146"/>
      <c r="J815" s="50" t="e">
        <f t="shared" si="11"/>
        <v>#REF!</v>
      </c>
      <c r="K815" s="50" t="e">
        <f t="shared" si="12"/>
        <v>#REF!</v>
      </c>
      <c r="S815" s="49"/>
      <c r="T815" s="49"/>
      <c r="U815" s="49"/>
      <c r="V815" s="49"/>
      <c r="W815" s="49"/>
      <c r="X815" s="49"/>
      <c r="Y815" s="49"/>
    </row>
    <row r="816" spans="1:26" ht="11.25" hidden="1" customHeight="1">
      <c r="B816" s="142" t="s">
        <v>1</v>
      </c>
      <c r="C816" s="142"/>
      <c r="D816" s="141" t="b">
        <f t="shared" si="13"/>
        <v>0</v>
      </c>
      <c r="E816" s="141"/>
      <c r="F816" s="141" t="str">
        <f t="shared" si="9"/>
        <v/>
      </c>
      <c r="G816" s="141"/>
      <c r="H816" s="145" t="e">
        <f t="shared" si="10"/>
        <v>#REF!</v>
      </c>
      <c r="I816" s="146"/>
      <c r="J816" s="50" t="e">
        <f t="shared" si="11"/>
        <v>#REF!</v>
      </c>
      <c r="K816" s="50" t="e">
        <f t="shared" si="12"/>
        <v>#REF!</v>
      </c>
      <c r="S816" s="49"/>
      <c r="T816" s="49"/>
      <c r="U816" s="49"/>
      <c r="V816" s="49"/>
      <c r="W816" s="49"/>
      <c r="X816" s="49"/>
      <c r="Y816" s="49"/>
    </row>
    <row r="817" spans="2:25" ht="11.25" hidden="1" customHeight="1">
      <c r="B817" s="142" t="s">
        <v>3</v>
      </c>
      <c r="C817" s="142"/>
      <c r="D817" s="141" t="b">
        <f t="shared" si="13"/>
        <v>0</v>
      </c>
      <c r="E817" s="141"/>
      <c r="F817" s="141" t="str">
        <f t="shared" si="9"/>
        <v/>
      </c>
      <c r="G817" s="141"/>
      <c r="H817" s="145" t="e">
        <f t="shared" si="10"/>
        <v>#REF!</v>
      </c>
      <c r="I817" s="146"/>
      <c r="J817" s="50" t="e">
        <f t="shared" si="11"/>
        <v>#REF!</v>
      </c>
      <c r="K817" s="50" t="e">
        <f t="shared" si="12"/>
        <v>#REF!</v>
      </c>
      <c r="S817" s="49"/>
      <c r="T817" s="49"/>
      <c r="U817" s="49"/>
      <c r="V817" s="49"/>
      <c r="W817" s="49"/>
      <c r="X817" s="49"/>
      <c r="Y817" s="49"/>
    </row>
    <row r="818" spans="2:25" ht="11.25" hidden="1" customHeight="1">
      <c r="B818" s="142" t="s">
        <v>5</v>
      </c>
      <c r="C818" s="142"/>
      <c r="D818" s="141" t="b">
        <f t="shared" si="13"/>
        <v>0</v>
      </c>
      <c r="E818" s="141"/>
      <c r="F818" s="141" t="str">
        <f t="shared" si="9"/>
        <v/>
      </c>
      <c r="G818" s="141"/>
      <c r="H818" s="145" t="e">
        <f t="shared" si="10"/>
        <v>#REF!</v>
      </c>
      <c r="I818" s="146"/>
      <c r="J818" s="50" t="e">
        <f t="shared" si="11"/>
        <v>#REF!</v>
      </c>
      <c r="K818" s="50" t="e">
        <f t="shared" si="12"/>
        <v>#REF!</v>
      </c>
      <c r="S818" s="49"/>
      <c r="T818" s="49"/>
      <c r="U818" s="49"/>
      <c r="V818" s="49"/>
      <c r="W818" s="49"/>
      <c r="X818" s="49"/>
      <c r="Y818" s="49"/>
    </row>
    <row r="819" spans="2:25" ht="11.25" hidden="1" customHeight="1">
      <c r="B819" s="142" t="s">
        <v>7</v>
      </c>
      <c r="C819" s="142"/>
      <c r="D819" s="141" t="b">
        <f t="shared" si="13"/>
        <v>0</v>
      </c>
      <c r="E819" s="141"/>
      <c r="F819" s="141" t="str">
        <f t="shared" si="9"/>
        <v/>
      </c>
      <c r="G819" s="141"/>
      <c r="H819" s="145" t="e">
        <f t="shared" si="10"/>
        <v>#REF!</v>
      </c>
      <c r="I819" s="146"/>
      <c r="J819" s="50" t="e">
        <f t="shared" si="11"/>
        <v>#REF!</v>
      </c>
      <c r="K819" s="50" t="e">
        <f t="shared" si="12"/>
        <v>#REF!</v>
      </c>
      <c r="S819" s="49"/>
      <c r="T819" s="49"/>
      <c r="U819" s="49"/>
      <c r="V819" s="49"/>
      <c r="W819" s="49"/>
      <c r="X819" s="49"/>
      <c r="Y819" s="49"/>
    </row>
    <row r="820" spans="2:25" ht="11.25" hidden="1" customHeight="1">
      <c r="B820" s="142" t="s">
        <v>819</v>
      </c>
      <c r="C820" s="142"/>
      <c r="D820" s="141" t="b">
        <f t="shared" si="13"/>
        <v>0</v>
      </c>
      <c r="E820" s="141"/>
      <c r="F820" s="141" t="str">
        <f t="shared" si="9"/>
        <v/>
      </c>
      <c r="G820" s="141"/>
      <c r="H820" s="145" t="e">
        <f t="shared" si="10"/>
        <v>#REF!</v>
      </c>
      <c r="I820" s="146"/>
      <c r="J820" s="50" t="e">
        <f t="shared" si="11"/>
        <v>#REF!</v>
      </c>
      <c r="K820" s="50" t="e">
        <f t="shared" si="12"/>
        <v>#REF!</v>
      </c>
      <c r="S820" s="49"/>
      <c r="T820" s="49"/>
      <c r="U820" s="49"/>
      <c r="V820" s="49"/>
      <c r="W820" s="49"/>
      <c r="X820" s="49"/>
      <c r="Y820" s="49"/>
    </row>
    <row r="821" spans="2:25" ht="11.25" hidden="1" customHeight="1">
      <c r="B821" s="142" t="s">
        <v>820</v>
      </c>
      <c r="C821" s="142"/>
      <c r="D821" s="141" t="b">
        <f t="shared" si="13"/>
        <v>0</v>
      </c>
      <c r="E821" s="141"/>
      <c r="F821" s="141" t="str">
        <f t="shared" si="9"/>
        <v/>
      </c>
      <c r="G821" s="141"/>
      <c r="H821" s="145" t="e">
        <f t="shared" si="10"/>
        <v>#REF!</v>
      </c>
      <c r="I821" s="146"/>
      <c r="J821" s="50" t="e">
        <f t="shared" si="11"/>
        <v>#REF!</v>
      </c>
      <c r="K821" s="50" t="e">
        <f t="shared" si="12"/>
        <v>#REF!</v>
      </c>
      <c r="S821" s="49"/>
      <c r="T821" s="49"/>
      <c r="U821" s="49"/>
      <c r="V821" s="49"/>
      <c r="W821" s="49"/>
      <c r="X821" s="49"/>
      <c r="Y821" s="49"/>
    </row>
    <row r="822" spans="2:25" ht="11.25" hidden="1" customHeight="1">
      <c r="B822" s="142" t="s">
        <v>478</v>
      </c>
      <c r="C822" s="142"/>
      <c r="D822" s="141" t="b">
        <f t="shared" si="13"/>
        <v>0</v>
      </c>
      <c r="E822" s="141"/>
      <c r="F822" s="141" t="str">
        <f t="shared" si="9"/>
        <v/>
      </c>
      <c r="G822" s="141"/>
      <c r="H822" s="145" t="e">
        <f t="shared" si="10"/>
        <v>#REF!</v>
      </c>
      <c r="I822" s="146"/>
      <c r="J822" s="50" t="e">
        <f t="shared" si="11"/>
        <v>#REF!</v>
      </c>
      <c r="K822" s="50" t="e">
        <f t="shared" si="12"/>
        <v>#REF!</v>
      </c>
      <c r="S822" s="49"/>
      <c r="T822" s="49"/>
      <c r="U822" s="49"/>
      <c r="V822" s="49"/>
      <c r="W822" s="49"/>
      <c r="X822" s="49"/>
      <c r="Y822" s="49"/>
    </row>
    <row r="823" spans="2:25" ht="11.25" hidden="1" customHeight="1">
      <c r="B823" s="142" t="s">
        <v>497</v>
      </c>
      <c r="C823" s="142"/>
      <c r="D823" s="141" t="b">
        <f t="shared" si="13"/>
        <v>0</v>
      </c>
      <c r="E823" s="141"/>
      <c r="F823" s="141" t="str">
        <f t="shared" si="9"/>
        <v/>
      </c>
      <c r="G823" s="141"/>
      <c r="H823" s="145" t="e">
        <f t="shared" si="10"/>
        <v>#REF!</v>
      </c>
      <c r="I823" s="146"/>
      <c r="J823" s="50" t="e">
        <f t="shared" si="11"/>
        <v>#REF!</v>
      </c>
      <c r="K823" s="50" t="e">
        <f t="shared" si="12"/>
        <v>#REF!</v>
      </c>
      <c r="S823" s="49"/>
      <c r="T823" s="49"/>
      <c r="U823" s="49"/>
      <c r="V823" s="49"/>
      <c r="W823" s="49"/>
      <c r="X823" s="49"/>
      <c r="Y823" s="49"/>
    </row>
    <row r="824" spans="2:25" ht="11.25" hidden="1" customHeight="1">
      <c r="B824" s="142" t="s">
        <v>516</v>
      </c>
      <c r="C824" s="142"/>
      <c r="D824" s="141" t="b">
        <f t="shared" si="13"/>
        <v>0</v>
      </c>
      <c r="E824" s="141"/>
      <c r="F824" s="141" t="str">
        <f t="shared" si="9"/>
        <v/>
      </c>
      <c r="G824" s="141"/>
      <c r="H824" s="145" t="e">
        <f t="shared" si="10"/>
        <v>#REF!</v>
      </c>
      <c r="I824" s="146"/>
      <c r="J824" s="50" t="e">
        <f t="shared" si="11"/>
        <v>#REF!</v>
      </c>
      <c r="K824" s="50" t="e">
        <f t="shared" si="12"/>
        <v>#REF!</v>
      </c>
      <c r="S824" s="49"/>
      <c r="T824" s="49"/>
      <c r="U824" s="49"/>
      <c r="V824" s="49"/>
      <c r="W824" s="49"/>
      <c r="X824" s="49"/>
      <c r="Y824" s="49"/>
    </row>
    <row r="825" spans="2:25" ht="11.25" hidden="1" customHeight="1">
      <c r="B825" s="142" t="s">
        <v>535</v>
      </c>
      <c r="C825" s="142"/>
      <c r="D825" s="141" t="b">
        <f t="shared" si="13"/>
        <v>0</v>
      </c>
      <c r="E825" s="141"/>
      <c r="F825" s="141" t="str">
        <f t="shared" si="9"/>
        <v/>
      </c>
      <c r="G825" s="141"/>
      <c r="H825" s="145" t="e">
        <f t="shared" si="10"/>
        <v>#REF!</v>
      </c>
      <c r="I825" s="146"/>
      <c r="J825" s="50" t="e">
        <f t="shared" si="11"/>
        <v>#REF!</v>
      </c>
      <c r="K825" s="50" t="e">
        <f t="shared" si="12"/>
        <v>#REF!</v>
      </c>
      <c r="S825" s="49"/>
      <c r="T825" s="49"/>
      <c r="U825" s="49"/>
      <c r="V825" s="49"/>
      <c r="W825" s="49"/>
      <c r="X825" s="49"/>
      <c r="Y825" s="49"/>
    </row>
    <row r="826" spans="2:25" ht="11.25" hidden="1" customHeight="1">
      <c r="B826" s="142" t="s">
        <v>554</v>
      </c>
      <c r="C826" s="142"/>
      <c r="D826" s="141" t="b">
        <f t="shared" si="13"/>
        <v>0</v>
      </c>
      <c r="E826" s="141"/>
      <c r="F826" s="141" t="str">
        <f t="shared" si="9"/>
        <v/>
      </c>
      <c r="G826" s="141"/>
      <c r="H826" s="145" t="e">
        <f t="shared" si="10"/>
        <v>#REF!</v>
      </c>
      <c r="I826" s="146"/>
      <c r="J826" s="50" t="e">
        <f t="shared" si="11"/>
        <v>#REF!</v>
      </c>
      <c r="K826" s="50" t="e">
        <f t="shared" si="12"/>
        <v>#REF!</v>
      </c>
      <c r="S826" s="49"/>
      <c r="T826" s="49"/>
      <c r="U826" s="49"/>
      <c r="V826" s="49"/>
      <c r="W826" s="49"/>
      <c r="X826" s="49"/>
      <c r="Y826" s="49"/>
    </row>
    <row r="827" spans="2:25" ht="11.25" hidden="1" customHeight="1">
      <c r="B827" s="142" t="s">
        <v>573</v>
      </c>
      <c r="C827" s="142"/>
      <c r="D827" s="141" t="b">
        <f t="shared" si="13"/>
        <v>0</v>
      </c>
      <c r="E827" s="141"/>
      <c r="F827" s="141" t="str">
        <f t="shared" si="9"/>
        <v/>
      </c>
      <c r="G827" s="141"/>
      <c r="H827" s="145" t="e">
        <f t="shared" si="10"/>
        <v>#REF!</v>
      </c>
      <c r="I827" s="146"/>
      <c r="J827" s="50" t="e">
        <f t="shared" si="11"/>
        <v>#REF!</v>
      </c>
      <c r="K827" s="50" t="e">
        <f t="shared" si="12"/>
        <v>#REF!</v>
      </c>
      <c r="S827" s="49"/>
      <c r="T827" s="49"/>
      <c r="U827" s="49"/>
      <c r="V827" s="49"/>
      <c r="W827" s="49"/>
      <c r="X827" s="49"/>
      <c r="Y827" s="49"/>
    </row>
    <row r="828" spans="2:25" ht="11.25" hidden="1" customHeight="1">
      <c r="B828" s="142" t="s">
        <v>749</v>
      </c>
      <c r="C828" s="142"/>
      <c r="D828" s="141" t="b">
        <f t="shared" si="13"/>
        <v>0</v>
      </c>
      <c r="E828" s="141"/>
      <c r="F828" s="141" t="str">
        <f t="shared" si="9"/>
        <v/>
      </c>
      <c r="G828" s="141"/>
      <c r="H828" s="145" t="e">
        <f t="shared" si="10"/>
        <v>#REF!</v>
      </c>
      <c r="I828" s="146"/>
      <c r="J828" s="50" t="e">
        <f t="shared" si="11"/>
        <v>#REF!</v>
      </c>
      <c r="K828" s="50" t="e">
        <f t="shared" si="12"/>
        <v>#REF!</v>
      </c>
      <c r="S828" s="49"/>
      <c r="T828" s="49"/>
      <c r="U828" s="49"/>
      <c r="V828" s="49"/>
      <c r="W828" s="49"/>
      <c r="X828" s="49"/>
      <c r="Y828" s="49"/>
    </row>
    <row r="829" spans="2:25" ht="11.25" hidden="1" customHeight="1">
      <c r="B829" s="142" t="s">
        <v>609</v>
      </c>
      <c r="C829" s="142"/>
      <c r="D829" s="141" t="b">
        <f t="shared" si="13"/>
        <v>0</v>
      </c>
      <c r="E829" s="141"/>
      <c r="F829" s="141" t="str">
        <f t="shared" si="9"/>
        <v/>
      </c>
      <c r="G829" s="141"/>
      <c r="H829" s="145" t="e">
        <f t="shared" si="10"/>
        <v>#REF!</v>
      </c>
      <c r="I829" s="146"/>
      <c r="J829" s="50" t="e">
        <f t="shared" si="11"/>
        <v>#REF!</v>
      </c>
      <c r="K829" s="50" t="e">
        <f t="shared" si="12"/>
        <v>#REF!</v>
      </c>
      <c r="S829" s="49"/>
      <c r="T829" s="49"/>
      <c r="U829" s="49"/>
      <c r="V829" s="49"/>
      <c r="W829" s="49"/>
      <c r="X829" s="49"/>
      <c r="Y829" s="49"/>
    </row>
    <row r="830" spans="2:25" ht="11.25" hidden="1" customHeight="1">
      <c r="B830" s="142" t="s">
        <v>628</v>
      </c>
      <c r="C830" s="142"/>
      <c r="D830" s="141" t="b">
        <f t="shared" si="13"/>
        <v>0</v>
      </c>
      <c r="E830" s="141"/>
      <c r="F830" s="141" t="str">
        <f t="shared" si="9"/>
        <v/>
      </c>
      <c r="G830" s="141"/>
      <c r="H830" s="145" t="e">
        <f t="shared" si="10"/>
        <v>#REF!</v>
      </c>
      <c r="I830" s="146"/>
      <c r="J830" s="50" t="e">
        <f t="shared" si="11"/>
        <v>#REF!</v>
      </c>
      <c r="K830" s="50" t="e">
        <f t="shared" si="12"/>
        <v>#REF!</v>
      </c>
      <c r="S830" s="49"/>
      <c r="T830" s="49"/>
      <c r="U830" s="49"/>
      <c r="V830" s="49"/>
      <c r="W830" s="49"/>
      <c r="X830" s="49"/>
      <c r="Y830" s="49"/>
    </row>
    <row r="831" spans="2:25" ht="11.25" hidden="1" customHeight="1">
      <c r="B831" s="142" t="s">
        <v>647</v>
      </c>
      <c r="C831" s="142"/>
      <c r="D831" s="141" t="b">
        <f t="shared" si="13"/>
        <v>0</v>
      </c>
      <c r="E831" s="141"/>
      <c r="F831" s="141" t="str">
        <f t="shared" si="9"/>
        <v/>
      </c>
      <c r="G831" s="141"/>
      <c r="H831" s="145" t="e">
        <f t="shared" si="10"/>
        <v>#REF!</v>
      </c>
      <c r="I831" s="146"/>
      <c r="J831" s="50" t="e">
        <f t="shared" si="11"/>
        <v>#REF!</v>
      </c>
      <c r="K831" s="50" t="e">
        <f t="shared" si="12"/>
        <v>#REF!</v>
      </c>
      <c r="S831" s="49"/>
      <c r="T831" s="49"/>
      <c r="U831" s="49"/>
      <c r="V831" s="49"/>
      <c r="W831" s="49"/>
      <c r="X831" s="49"/>
      <c r="Y831" s="49"/>
    </row>
    <row r="832" spans="2:25" ht="11.25" hidden="1" customHeight="1">
      <c r="B832" s="142" t="s">
        <v>665</v>
      </c>
      <c r="C832" s="142"/>
      <c r="D832" s="141" t="b">
        <f t="shared" si="13"/>
        <v>0</v>
      </c>
      <c r="E832" s="141"/>
      <c r="F832" s="141" t="str">
        <f t="shared" si="9"/>
        <v/>
      </c>
      <c r="G832" s="141"/>
      <c r="H832" s="145" t="e">
        <f t="shared" si="10"/>
        <v>#REF!</v>
      </c>
      <c r="I832" s="146"/>
      <c r="J832" s="50" t="e">
        <f t="shared" si="11"/>
        <v>#REF!</v>
      </c>
      <c r="K832" s="50" t="e">
        <f t="shared" si="12"/>
        <v>#REF!</v>
      </c>
      <c r="S832" s="49"/>
      <c r="T832" s="49"/>
      <c r="U832" s="49"/>
      <c r="V832" s="49"/>
      <c r="W832" s="49"/>
      <c r="X832" s="49"/>
      <c r="Y832" s="49"/>
    </row>
    <row r="833" spans="1:25" ht="11.25" hidden="1" customHeight="1">
      <c r="B833" s="142" t="s">
        <v>684</v>
      </c>
      <c r="C833" s="142"/>
      <c r="D833" s="141" t="b">
        <f t="shared" si="13"/>
        <v>0</v>
      </c>
      <c r="E833" s="141"/>
      <c r="F833" s="141" t="str">
        <f t="shared" si="9"/>
        <v/>
      </c>
      <c r="G833" s="141"/>
      <c r="H833" s="145" t="e">
        <f t="shared" si="10"/>
        <v>#REF!</v>
      </c>
      <c r="I833" s="146"/>
      <c r="J833" s="50" t="e">
        <f t="shared" si="11"/>
        <v>#REF!</v>
      </c>
      <c r="K833" s="50" t="e">
        <f t="shared" si="12"/>
        <v>#REF!</v>
      </c>
      <c r="S833" s="49"/>
      <c r="T833" s="49"/>
      <c r="U833" s="49"/>
      <c r="V833" s="49"/>
      <c r="W833" s="49"/>
      <c r="X833" s="49"/>
      <c r="Y833" s="49"/>
    </row>
    <row r="834" spans="1:25" ht="11.25" hidden="1" customHeight="1">
      <c r="B834" s="142" t="s">
        <v>703</v>
      </c>
      <c r="C834" s="142"/>
      <c r="D834" s="141" t="b">
        <f t="shared" si="13"/>
        <v>0</v>
      </c>
      <c r="E834" s="141"/>
      <c r="F834" s="141" t="str">
        <f t="shared" si="9"/>
        <v/>
      </c>
      <c r="G834" s="141"/>
      <c r="H834" s="145" t="e">
        <f t="shared" si="10"/>
        <v>#REF!</v>
      </c>
      <c r="I834" s="146"/>
      <c r="J834" s="50" t="e">
        <f t="shared" si="11"/>
        <v>#REF!</v>
      </c>
      <c r="K834" s="50" t="e">
        <f t="shared" si="12"/>
        <v>#REF!</v>
      </c>
      <c r="S834" s="49"/>
      <c r="T834" s="49"/>
      <c r="U834" s="49"/>
      <c r="V834" s="49"/>
      <c r="W834" s="49"/>
      <c r="X834" s="49"/>
      <c r="Y834" s="49"/>
    </row>
    <row r="835" spans="1:25" ht="11.25" hidden="1" customHeight="1">
      <c r="B835" s="142" t="s">
        <v>722</v>
      </c>
      <c r="C835" s="142"/>
      <c r="D835" s="141" t="b">
        <f t="shared" si="13"/>
        <v>0</v>
      </c>
      <c r="E835" s="141"/>
      <c r="F835" s="141" t="str">
        <f t="shared" si="9"/>
        <v/>
      </c>
      <c r="G835" s="141"/>
      <c r="H835" s="145" t="e">
        <f t="shared" si="10"/>
        <v>#REF!</v>
      </c>
      <c r="I835" s="146"/>
      <c r="J835" s="50" t="e">
        <f t="shared" si="11"/>
        <v>#REF!</v>
      </c>
      <c r="K835" s="50" t="e">
        <f t="shared" si="12"/>
        <v>#REF!</v>
      </c>
      <c r="S835" s="49"/>
      <c r="T835" s="49"/>
      <c r="U835" s="49"/>
      <c r="V835" s="49"/>
      <c r="W835" s="49"/>
      <c r="X835" s="49"/>
      <c r="Y835" s="49"/>
    </row>
    <row r="836" spans="1:25" ht="11.25" hidden="1" customHeight="1">
      <c r="B836" s="142" t="s">
        <v>443</v>
      </c>
      <c r="C836" s="142"/>
      <c r="D836" s="141" t="b">
        <f t="shared" si="13"/>
        <v>0</v>
      </c>
      <c r="E836" s="141"/>
      <c r="F836" s="141" t="str">
        <f t="shared" ref="F836:F867" si="14">T1.role(B836,"cpdid")</f>
        <v/>
      </c>
      <c r="G836" s="141"/>
      <c r="H836" s="145" t="e">
        <f t="shared" ref="H836:H867" si="15">T1.role(B836,"RAW_DATA","avr")</f>
        <v>#REF!</v>
      </c>
      <c r="I836" s="146"/>
      <c r="J836" s="50" t="e">
        <f t="shared" ref="J836:J867" si="16">T1.role(B836,"CPD_RESULT","avr")</f>
        <v>#REF!</v>
      </c>
      <c r="K836" s="50" t="e">
        <f t="shared" ref="K836:K867" si="17">T1.role(B836,"CPD_HIT","val",1)</f>
        <v>#REF!</v>
      </c>
      <c r="S836" s="49"/>
      <c r="T836" s="49"/>
      <c r="U836" s="49"/>
      <c r="V836" s="49"/>
      <c r="W836" s="49"/>
      <c r="X836" s="49"/>
      <c r="Y836" s="49"/>
    </row>
    <row r="837" spans="1:25" ht="11.25" hidden="1" customHeight="1">
      <c r="B837" s="142" t="s">
        <v>460</v>
      </c>
      <c r="C837" s="142"/>
      <c r="D837" s="141" t="b">
        <f t="shared" si="13"/>
        <v>0</v>
      </c>
      <c r="E837" s="141"/>
      <c r="F837" s="141" t="str">
        <f t="shared" si="14"/>
        <v/>
      </c>
      <c r="G837" s="141"/>
      <c r="H837" s="145" t="e">
        <f t="shared" si="15"/>
        <v>#REF!</v>
      </c>
      <c r="I837" s="146"/>
      <c r="J837" s="50" t="e">
        <f t="shared" si="16"/>
        <v>#REF!</v>
      </c>
      <c r="K837" s="50" t="e">
        <f t="shared" si="17"/>
        <v>#REF!</v>
      </c>
      <c r="S837" s="49"/>
      <c r="T837" s="49"/>
      <c r="U837" s="49"/>
      <c r="V837" s="49"/>
      <c r="W837" s="49"/>
      <c r="X837" s="49"/>
      <c r="Y837" s="49"/>
    </row>
    <row r="838" spans="1:25" ht="11.25" hidden="1" customHeight="1">
      <c r="B838" s="142" t="s">
        <v>479</v>
      </c>
      <c r="C838" s="142"/>
      <c r="D838" s="141" t="b">
        <f t="shared" si="13"/>
        <v>0</v>
      </c>
      <c r="E838" s="141"/>
      <c r="F838" s="141" t="str">
        <f t="shared" si="14"/>
        <v/>
      </c>
      <c r="G838" s="141"/>
      <c r="H838" s="145" t="e">
        <f t="shared" si="15"/>
        <v>#REF!</v>
      </c>
      <c r="I838" s="146"/>
      <c r="J838" s="50" t="e">
        <f t="shared" si="16"/>
        <v>#REF!</v>
      </c>
      <c r="K838" s="50" t="e">
        <f t="shared" si="17"/>
        <v>#REF!</v>
      </c>
      <c r="S838" s="49"/>
      <c r="T838" s="49"/>
      <c r="U838" s="49"/>
      <c r="V838" s="49"/>
      <c r="W838" s="49"/>
      <c r="X838" s="49"/>
      <c r="Y838" s="49"/>
    </row>
    <row r="839" spans="1:25" ht="11.25" hidden="1" customHeight="1">
      <c r="B839" s="142" t="s">
        <v>498</v>
      </c>
      <c r="C839" s="142"/>
      <c r="D839" s="141" t="b">
        <f t="shared" si="13"/>
        <v>0</v>
      </c>
      <c r="E839" s="141"/>
      <c r="F839" s="141" t="str">
        <f t="shared" si="14"/>
        <v/>
      </c>
      <c r="G839" s="141"/>
      <c r="H839" s="145" t="e">
        <f t="shared" si="15"/>
        <v>#REF!</v>
      </c>
      <c r="I839" s="146"/>
      <c r="J839" s="50" t="e">
        <f t="shared" si="16"/>
        <v>#REF!</v>
      </c>
      <c r="K839" s="50" t="e">
        <f t="shared" si="17"/>
        <v>#REF!</v>
      </c>
      <c r="S839" s="49"/>
      <c r="T839" s="49"/>
      <c r="U839" s="49"/>
      <c r="V839" s="49"/>
      <c r="W839" s="49"/>
      <c r="X839" s="49"/>
      <c r="Y839" s="49"/>
    </row>
    <row r="840" spans="1:25" ht="11.25" hidden="1" customHeight="1">
      <c r="B840" s="142" t="s">
        <v>517</v>
      </c>
      <c r="C840" s="142"/>
      <c r="D840" s="141" t="b">
        <f t="shared" si="13"/>
        <v>0</v>
      </c>
      <c r="E840" s="141"/>
      <c r="F840" s="141" t="str">
        <f t="shared" si="14"/>
        <v/>
      </c>
      <c r="G840" s="141"/>
      <c r="H840" s="145" t="e">
        <f t="shared" si="15"/>
        <v>#REF!</v>
      </c>
      <c r="I840" s="146"/>
      <c r="J840" s="50" t="e">
        <f t="shared" si="16"/>
        <v>#REF!</v>
      </c>
      <c r="K840" s="50" t="e">
        <f t="shared" si="17"/>
        <v>#REF!</v>
      </c>
      <c r="S840" s="49"/>
      <c r="T840" s="49"/>
      <c r="U840" s="49"/>
      <c r="V840" s="49"/>
      <c r="W840" s="49"/>
      <c r="X840" s="49"/>
      <c r="Y840" s="49"/>
    </row>
    <row r="841" spans="1:25" ht="11.25" hidden="1" customHeight="1">
      <c r="B841" s="142" t="s">
        <v>536</v>
      </c>
      <c r="C841" s="142"/>
      <c r="D841" s="141" t="b">
        <f>T1.role(B841,"well")</f>
        <v>0</v>
      </c>
      <c r="E841" s="141"/>
      <c r="F841" s="141" t="str">
        <f t="shared" si="14"/>
        <v/>
      </c>
      <c r="G841" s="141"/>
      <c r="H841" s="145" t="e">
        <f t="shared" si="15"/>
        <v>#REF!</v>
      </c>
      <c r="I841" s="146"/>
      <c r="J841" s="50" t="e">
        <f t="shared" si="16"/>
        <v>#REF!</v>
      </c>
      <c r="K841" s="50" t="e">
        <f t="shared" si="17"/>
        <v>#REF!</v>
      </c>
      <c r="S841" s="49"/>
      <c r="T841" s="49"/>
      <c r="U841" s="49"/>
      <c r="V841" s="49"/>
      <c r="W841" s="49"/>
      <c r="X841" s="49"/>
      <c r="Y841" s="49"/>
    </row>
    <row r="842" spans="1:25" ht="11.25" hidden="1" customHeight="1">
      <c r="B842" s="142" t="s">
        <v>555</v>
      </c>
      <c r="C842" s="142"/>
      <c r="D842" s="141" t="b">
        <f t="shared" si="13"/>
        <v>0</v>
      </c>
      <c r="E842" s="141"/>
      <c r="F842" s="141" t="str">
        <f t="shared" si="14"/>
        <v/>
      </c>
      <c r="G842" s="141"/>
      <c r="H842" s="145" t="e">
        <f t="shared" si="15"/>
        <v>#REF!</v>
      </c>
      <c r="I842" s="146"/>
      <c r="J842" s="50" t="e">
        <f t="shared" si="16"/>
        <v>#REF!</v>
      </c>
      <c r="K842" s="50" t="e">
        <f t="shared" si="17"/>
        <v>#REF!</v>
      </c>
      <c r="S842" s="49"/>
      <c r="T842" s="49"/>
      <c r="U842" s="49"/>
      <c r="V842" s="49"/>
      <c r="W842" s="49"/>
      <c r="X842" s="49"/>
      <c r="Y842" s="49"/>
    </row>
    <row r="843" spans="1:25" ht="11.25" hidden="1" customHeight="1">
      <c r="B843" s="142" t="s">
        <v>574</v>
      </c>
      <c r="C843" s="142"/>
      <c r="D843" s="141" t="b">
        <f t="shared" si="13"/>
        <v>0</v>
      </c>
      <c r="E843" s="141"/>
      <c r="F843" s="141" t="str">
        <f t="shared" si="14"/>
        <v/>
      </c>
      <c r="G843" s="141"/>
      <c r="H843" s="145" t="e">
        <f t="shared" si="15"/>
        <v>#REF!</v>
      </c>
      <c r="I843" s="146"/>
      <c r="J843" s="50" t="e">
        <f t="shared" si="16"/>
        <v>#REF!</v>
      </c>
      <c r="K843" s="50" t="e">
        <f t="shared" si="17"/>
        <v>#REF!</v>
      </c>
      <c r="S843" s="49"/>
      <c r="T843" s="49"/>
      <c r="U843" s="49"/>
      <c r="V843" s="49"/>
      <c r="W843" s="49"/>
      <c r="X843" s="49"/>
      <c r="Y843" s="49"/>
    </row>
    <row r="844" spans="1:25" ht="11.25" hidden="1" customHeight="1">
      <c r="B844" s="142" t="s">
        <v>591</v>
      </c>
      <c r="C844" s="142"/>
      <c r="D844" s="141" t="b">
        <f>T1.role(B844,"well")</f>
        <v>0</v>
      </c>
      <c r="E844" s="141"/>
      <c r="F844" s="141" t="str">
        <f t="shared" si="14"/>
        <v/>
      </c>
      <c r="G844" s="141"/>
      <c r="H844" s="145" t="e">
        <f t="shared" si="15"/>
        <v>#REF!</v>
      </c>
      <c r="I844" s="146"/>
      <c r="J844" s="50" t="e">
        <f t="shared" si="16"/>
        <v>#REF!</v>
      </c>
      <c r="K844" s="50" t="e">
        <f t="shared" si="17"/>
        <v>#REF!</v>
      </c>
      <c r="S844" s="49"/>
      <c r="T844" s="49"/>
      <c r="U844" s="49"/>
      <c r="V844" s="49"/>
      <c r="W844" s="49"/>
      <c r="X844" s="49"/>
      <c r="Y844" s="49"/>
    </row>
    <row r="845" spans="1:25" ht="11.25" hidden="1" customHeight="1">
      <c r="A845" s="49"/>
      <c r="B845" s="142" t="s">
        <v>610</v>
      </c>
      <c r="C845" s="142"/>
      <c r="D845" s="141" t="b">
        <f t="shared" ref="D845:D883" si="18">T1.role(B845,"well")</f>
        <v>0</v>
      </c>
      <c r="E845" s="141"/>
      <c r="F845" s="141" t="str">
        <f t="shared" si="14"/>
        <v/>
      </c>
      <c r="G845" s="141"/>
      <c r="H845" s="145" t="e">
        <f t="shared" si="15"/>
        <v>#REF!</v>
      </c>
      <c r="I845" s="146"/>
      <c r="J845" s="50" t="e">
        <f t="shared" si="16"/>
        <v>#REF!</v>
      </c>
      <c r="K845" s="50" t="e">
        <f t="shared" si="17"/>
        <v>#REF!</v>
      </c>
      <c r="S845" s="49"/>
      <c r="T845" s="49"/>
      <c r="U845" s="49"/>
      <c r="V845" s="49"/>
      <c r="W845" s="49"/>
      <c r="X845" s="49"/>
      <c r="Y845" s="49"/>
    </row>
    <row r="846" spans="1:25" ht="11.25" hidden="1" customHeight="1">
      <c r="B846" s="142" t="s">
        <v>629</v>
      </c>
      <c r="C846" s="142"/>
      <c r="D846" s="141" t="b">
        <f t="shared" si="18"/>
        <v>0</v>
      </c>
      <c r="E846" s="141"/>
      <c r="F846" s="141" t="str">
        <f t="shared" si="14"/>
        <v/>
      </c>
      <c r="G846" s="141"/>
      <c r="H846" s="145" t="e">
        <f t="shared" si="15"/>
        <v>#REF!</v>
      </c>
      <c r="I846" s="146"/>
      <c r="J846" s="50" t="e">
        <f t="shared" si="16"/>
        <v>#REF!</v>
      </c>
      <c r="K846" s="50" t="e">
        <f t="shared" si="17"/>
        <v>#REF!</v>
      </c>
      <c r="S846" s="49"/>
      <c r="T846" s="49"/>
      <c r="U846" s="49"/>
      <c r="V846" s="49"/>
      <c r="W846" s="49"/>
      <c r="X846" s="49"/>
      <c r="Y846" s="49"/>
    </row>
    <row r="847" spans="1:25" ht="11.25" hidden="1" customHeight="1">
      <c r="B847" s="142" t="s">
        <v>648</v>
      </c>
      <c r="C847" s="142"/>
      <c r="D847" s="141" t="b">
        <f t="shared" si="18"/>
        <v>0</v>
      </c>
      <c r="E847" s="141"/>
      <c r="F847" s="141" t="str">
        <f t="shared" si="14"/>
        <v/>
      </c>
      <c r="G847" s="141"/>
      <c r="H847" s="145" t="e">
        <f t="shared" si="15"/>
        <v>#REF!</v>
      </c>
      <c r="I847" s="146"/>
      <c r="J847" s="50" t="e">
        <f t="shared" si="16"/>
        <v>#REF!</v>
      </c>
      <c r="K847" s="50" t="e">
        <f t="shared" si="17"/>
        <v>#REF!</v>
      </c>
      <c r="S847" s="49"/>
      <c r="T847" s="49"/>
      <c r="U847" s="49"/>
      <c r="V847" s="49"/>
      <c r="W847" s="49"/>
      <c r="X847" s="49"/>
      <c r="Y847" s="49"/>
    </row>
    <row r="848" spans="1:25" ht="11.25" hidden="1" customHeight="1">
      <c r="B848" s="142" t="s">
        <v>666</v>
      </c>
      <c r="C848" s="142"/>
      <c r="D848" s="141" t="b">
        <f t="shared" si="18"/>
        <v>0</v>
      </c>
      <c r="E848" s="141"/>
      <c r="F848" s="141" t="str">
        <f t="shared" si="14"/>
        <v/>
      </c>
      <c r="G848" s="141"/>
      <c r="H848" s="145" t="e">
        <f t="shared" si="15"/>
        <v>#REF!</v>
      </c>
      <c r="I848" s="146"/>
      <c r="J848" s="50" t="e">
        <f t="shared" si="16"/>
        <v>#REF!</v>
      </c>
      <c r="K848" s="50" t="e">
        <f t="shared" si="17"/>
        <v>#REF!</v>
      </c>
      <c r="S848" s="49"/>
      <c r="T848" s="49"/>
      <c r="U848" s="49"/>
      <c r="V848" s="49"/>
      <c r="W848" s="49"/>
      <c r="X848" s="49"/>
      <c r="Y848" s="49"/>
    </row>
    <row r="849" spans="2:25" ht="11.25" hidden="1" customHeight="1">
      <c r="B849" s="142" t="s">
        <v>685</v>
      </c>
      <c r="C849" s="142"/>
      <c r="D849" s="141" t="b">
        <f t="shared" si="18"/>
        <v>0</v>
      </c>
      <c r="E849" s="141"/>
      <c r="F849" s="141" t="str">
        <f t="shared" si="14"/>
        <v/>
      </c>
      <c r="G849" s="141"/>
      <c r="H849" s="145" t="e">
        <f t="shared" si="15"/>
        <v>#REF!</v>
      </c>
      <c r="I849" s="146"/>
      <c r="J849" s="50" t="e">
        <f t="shared" si="16"/>
        <v>#REF!</v>
      </c>
      <c r="K849" s="50" t="e">
        <f t="shared" si="17"/>
        <v>#REF!</v>
      </c>
      <c r="S849" s="49"/>
      <c r="T849" s="49"/>
      <c r="U849" s="49"/>
      <c r="V849" s="49"/>
      <c r="W849" s="49"/>
      <c r="X849" s="49"/>
      <c r="Y849" s="49"/>
    </row>
    <row r="850" spans="2:25" ht="11.25" hidden="1" customHeight="1">
      <c r="B850" s="142" t="s">
        <v>704</v>
      </c>
      <c r="C850" s="142"/>
      <c r="D850" s="141" t="b">
        <f t="shared" si="18"/>
        <v>0</v>
      </c>
      <c r="E850" s="141"/>
      <c r="F850" s="141" t="str">
        <f t="shared" si="14"/>
        <v/>
      </c>
      <c r="G850" s="141"/>
      <c r="H850" s="145" t="e">
        <f t="shared" si="15"/>
        <v>#REF!</v>
      </c>
      <c r="I850" s="146"/>
      <c r="J850" s="50" t="e">
        <f t="shared" si="16"/>
        <v>#REF!</v>
      </c>
      <c r="K850" s="50" t="e">
        <f t="shared" si="17"/>
        <v>#REF!</v>
      </c>
      <c r="S850" s="49"/>
      <c r="T850" s="49"/>
      <c r="U850" s="49"/>
      <c r="V850" s="49"/>
      <c r="W850" s="49"/>
      <c r="X850" s="49"/>
      <c r="Y850" s="49"/>
    </row>
    <row r="851" spans="2:25" ht="11.25" hidden="1" customHeight="1">
      <c r="B851" s="142" t="s">
        <v>723</v>
      </c>
      <c r="C851" s="142"/>
      <c r="D851" s="141" t="b">
        <f t="shared" si="18"/>
        <v>0</v>
      </c>
      <c r="E851" s="141"/>
      <c r="F851" s="141" t="str">
        <f t="shared" si="14"/>
        <v/>
      </c>
      <c r="G851" s="141"/>
      <c r="H851" s="145" t="e">
        <f t="shared" si="15"/>
        <v>#REF!</v>
      </c>
      <c r="I851" s="146"/>
      <c r="J851" s="50" t="e">
        <f t="shared" si="16"/>
        <v>#REF!</v>
      </c>
      <c r="K851" s="50" t="e">
        <f t="shared" si="17"/>
        <v>#REF!</v>
      </c>
      <c r="S851" s="49"/>
      <c r="T851" s="49"/>
      <c r="U851" s="49"/>
      <c r="V851" s="49"/>
      <c r="W851" s="49"/>
      <c r="X851" s="49"/>
      <c r="Y851" s="49"/>
    </row>
    <row r="852" spans="2:25" ht="11.25" hidden="1" customHeight="1">
      <c r="B852" s="142" t="s">
        <v>444</v>
      </c>
      <c r="C852" s="142"/>
      <c r="D852" s="141" t="b">
        <f t="shared" si="18"/>
        <v>0</v>
      </c>
      <c r="E852" s="141"/>
      <c r="F852" s="141" t="str">
        <f t="shared" si="14"/>
        <v/>
      </c>
      <c r="G852" s="141"/>
      <c r="H852" s="145" t="e">
        <f t="shared" si="15"/>
        <v>#REF!</v>
      </c>
      <c r="I852" s="146"/>
      <c r="J852" s="50" t="e">
        <f t="shared" si="16"/>
        <v>#REF!</v>
      </c>
      <c r="K852" s="50" t="e">
        <f t="shared" si="17"/>
        <v>#REF!</v>
      </c>
      <c r="S852" s="49"/>
      <c r="T852" s="49"/>
      <c r="U852" s="49"/>
      <c r="V852" s="49"/>
      <c r="W852" s="49"/>
      <c r="X852" s="49"/>
      <c r="Y852" s="49"/>
    </row>
    <row r="853" spans="2:25" ht="11.25" hidden="1" customHeight="1">
      <c r="B853" s="142" t="s">
        <v>461</v>
      </c>
      <c r="C853" s="142"/>
      <c r="D853" s="141" t="b">
        <f t="shared" si="18"/>
        <v>0</v>
      </c>
      <c r="E853" s="141"/>
      <c r="F853" s="141" t="str">
        <f t="shared" si="14"/>
        <v/>
      </c>
      <c r="G853" s="141"/>
      <c r="H853" s="145" t="e">
        <f t="shared" si="15"/>
        <v>#REF!</v>
      </c>
      <c r="I853" s="146"/>
      <c r="J853" s="50" t="e">
        <f t="shared" si="16"/>
        <v>#REF!</v>
      </c>
      <c r="K853" s="50" t="e">
        <f t="shared" si="17"/>
        <v>#REF!</v>
      </c>
      <c r="S853" s="49"/>
      <c r="T853" s="49"/>
      <c r="U853" s="49"/>
      <c r="V853" s="49"/>
      <c r="W853" s="49"/>
      <c r="X853" s="49"/>
      <c r="Y853" s="49"/>
    </row>
    <row r="854" spans="2:25" ht="11.25" hidden="1" customHeight="1">
      <c r="B854" s="142" t="s">
        <v>480</v>
      </c>
      <c r="C854" s="142"/>
      <c r="D854" s="141" t="b">
        <f t="shared" si="18"/>
        <v>0</v>
      </c>
      <c r="E854" s="141"/>
      <c r="F854" s="141" t="str">
        <f t="shared" si="14"/>
        <v/>
      </c>
      <c r="G854" s="141"/>
      <c r="H854" s="145" t="e">
        <f t="shared" si="15"/>
        <v>#REF!</v>
      </c>
      <c r="I854" s="146"/>
      <c r="J854" s="50" t="e">
        <f t="shared" si="16"/>
        <v>#REF!</v>
      </c>
      <c r="K854" s="50" t="e">
        <f t="shared" si="17"/>
        <v>#REF!</v>
      </c>
      <c r="S854" s="49"/>
      <c r="T854" s="49"/>
      <c r="U854" s="49"/>
      <c r="V854" s="49"/>
      <c r="W854" s="49"/>
      <c r="X854" s="49"/>
      <c r="Y854" s="49"/>
    </row>
    <row r="855" spans="2:25" ht="11.25" hidden="1" customHeight="1">
      <c r="B855" s="142" t="s">
        <v>499</v>
      </c>
      <c r="C855" s="142"/>
      <c r="D855" s="141" t="b">
        <f t="shared" si="18"/>
        <v>0</v>
      </c>
      <c r="E855" s="141"/>
      <c r="F855" s="141" t="str">
        <f t="shared" si="14"/>
        <v/>
      </c>
      <c r="G855" s="141"/>
      <c r="H855" s="145" t="e">
        <f t="shared" si="15"/>
        <v>#REF!</v>
      </c>
      <c r="I855" s="146"/>
      <c r="J855" s="50" t="e">
        <f t="shared" si="16"/>
        <v>#REF!</v>
      </c>
      <c r="K855" s="50" t="e">
        <f t="shared" si="17"/>
        <v>#REF!</v>
      </c>
      <c r="S855" s="49"/>
      <c r="T855" s="49"/>
      <c r="U855" s="49"/>
      <c r="V855" s="49"/>
      <c r="W855" s="49"/>
      <c r="X855" s="49"/>
      <c r="Y855" s="49"/>
    </row>
    <row r="856" spans="2:25" ht="11.25" hidden="1" customHeight="1">
      <c r="B856" s="142" t="s">
        <v>518</v>
      </c>
      <c r="C856" s="142"/>
      <c r="D856" s="141" t="b">
        <f t="shared" si="18"/>
        <v>0</v>
      </c>
      <c r="E856" s="141"/>
      <c r="F856" s="141" t="str">
        <f t="shared" si="14"/>
        <v/>
      </c>
      <c r="G856" s="141"/>
      <c r="H856" s="145" t="e">
        <f t="shared" si="15"/>
        <v>#REF!</v>
      </c>
      <c r="I856" s="146"/>
      <c r="J856" s="50" t="e">
        <f t="shared" si="16"/>
        <v>#REF!</v>
      </c>
      <c r="K856" s="50" t="e">
        <f t="shared" si="17"/>
        <v>#REF!</v>
      </c>
      <c r="S856" s="49"/>
      <c r="T856" s="49"/>
      <c r="U856" s="49"/>
      <c r="V856" s="49"/>
      <c r="W856" s="49"/>
      <c r="X856" s="49"/>
      <c r="Y856" s="49"/>
    </row>
    <row r="857" spans="2:25" ht="11.25" hidden="1" customHeight="1">
      <c r="B857" s="142" t="s">
        <v>537</v>
      </c>
      <c r="C857" s="142"/>
      <c r="D857" s="141" t="b">
        <f t="shared" si="18"/>
        <v>0</v>
      </c>
      <c r="E857" s="141"/>
      <c r="F857" s="141" t="str">
        <f t="shared" si="14"/>
        <v/>
      </c>
      <c r="G857" s="141"/>
      <c r="H857" s="145" t="e">
        <f t="shared" si="15"/>
        <v>#REF!</v>
      </c>
      <c r="I857" s="146"/>
      <c r="J857" s="50" t="e">
        <f t="shared" si="16"/>
        <v>#REF!</v>
      </c>
      <c r="K857" s="50" t="e">
        <f t="shared" si="17"/>
        <v>#REF!</v>
      </c>
      <c r="S857" s="49"/>
      <c r="T857" s="49"/>
      <c r="U857" s="49"/>
      <c r="V857" s="49"/>
      <c r="W857" s="49"/>
      <c r="X857" s="49"/>
      <c r="Y857" s="49"/>
    </row>
    <row r="858" spans="2:25" ht="11.25" hidden="1" customHeight="1">
      <c r="B858" s="142" t="s">
        <v>556</v>
      </c>
      <c r="C858" s="142"/>
      <c r="D858" s="141" t="b">
        <f t="shared" si="18"/>
        <v>0</v>
      </c>
      <c r="E858" s="141"/>
      <c r="F858" s="141" t="str">
        <f t="shared" si="14"/>
        <v/>
      </c>
      <c r="G858" s="141"/>
      <c r="H858" s="145" t="e">
        <f t="shared" si="15"/>
        <v>#REF!</v>
      </c>
      <c r="I858" s="146"/>
      <c r="J858" s="50" t="e">
        <f t="shared" si="16"/>
        <v>#REF!</v>
      </c>
      <c r="K858" s="50" t="e">
        <f t="shared" si="17"/>
        <v>#REF!</v>
      </c>
      <c r="S858" s="49"/>
      <c r="T858" s="49"/>
      <c r="U858" s="49"/>
      <c r="V858" s="49"/>
      <c r="W858" s="49"/>
      <c r="X858" s="49"/>
      <c r="Y858" s="49"/>
    </row>
    <row r="859" spans="2:25" ht="11.25" hidden="1" customHeight="1">
      <c r="B859" s="142" t="s">
        <v>575</v>
      </c>
      <c r="C859" s="142"/>
      <c r="D859" s="141" t="b">
        <f t="shared" si="18"/>
        <v>0</v>
      </c>
      <c r="E859" s="141"/>
      <c r="F859" s="141" t="str">
        <f t="shared" si="14"/>
        <v/>
      </c>
      <c r="G859" s="141"/>
      <c r="H859" s="145" t="e">
        <f t="shared" si="15"/>
        <v>#REF!</v>
      </c>
      <c r="I859" s="146"/>
      <c r="J859" s="50" t="e">
        <f t="shared" si="16"/>
        <v>#REF!</v>
      </c>
      <c r="K859" s="50" t="e">
        <f t="shared" si="17"/>
        <v>#REF!</v>
      </c>
      <c r="S859" s="49"/>
      <c r="T859" s="49"/>
      <c r="U859" s="49"/>
      <c r="V859" s="49"/>
      <c r="W859" s="49"/>
      <c r="X859" s="49"/>
      <c r="Y859" s="49"/>
    </row>
    <row r="860" spans="2:25" ht="11.25" hidden="1" customHeight="1">
      <c r="B860" s="142" t="s">
        <v>592</v>
      </c>
      <c r="C860" s="142"/>
      <c r="D860" s="141" t="b">
        <f t="shared" si="18"/>
        <v>0</v>
      </c>
      <c r="E860" s="141"/>
      <c r="F860" s="141" t="str">
        <f t="shared" si="14"/>
        <v/>
      </c>
      <c r="G860" s="141"/>
      <c r="H860" s="145" t="e">
        <f t="shared" si="15"/>
        <v>#REF!</v>
      </c>
      <c r="I860" s="146"/>
      <c r="J860" s="50" t="e">
        <f t="shared" si="16"/>
        <v>#REF!</v>
      </c>
      <c r="K860" s="50" t="e">
        <f t="shared" si="17"/>
        <v>#REF!</v>
      </c>
      <c r="S860" s="49"/>
      <c r="T860" s="49"/>
      <c r="U860" s="49"/>
      <c r="V860" s="49"/>
      <c r="W860" s="49"/>
      <c r="X860" s="49"/>
      <c r="Y860" s="49"/>
    </row>
    <row r="861" spans="2:25" ht="11.25" hidden="1" customHeight="1">
      <c r="B861" s="142" t="s">
        <v>611</v>
      </c>
      <c r="C861" s="142"/>
      <c r="D861" s="141" t="b">
        <f t="shared" si="18"/>
        <v>0</v>
      </c>
      <c r="E861" s="141"/>
      <c r="F861" s="141" t="str">
        <f t="shared" si="14"/>
        <v/>
      </c>
      <c r="G861" s="141"/>
      <c r="H861" s="145" t="e">
        <f t="shared" si="15"/>
        <v>#REF!</v>
      </c>
      <c r="I861" s="146"/>
      <c r="J861" s="50" t="e">
        <f t="shared" si="16"/>
        <v>#REF!</v>
      </c>
      <c r="K861" s="50" t="e">
        <f t="shared" si="17"/>
        <v>#REF!</v>
      </c>
      <c r="S861" s="49"/>
      <c r="T861" s="49"/>
      <c r="U861" s="49"/>
      <c r="V861" s="49"/>
      <c r="W861" s="49"/>
      <c r="X861" s="49"/>
      <c r="Y861" s="49"/>
    </row>
    <row r="862" spans="2:25" ht="11.25" hidden="1" customHeight="1">
      <c r="B862" s="142" t="s">
        <v>630</v>
      </c>
      <c r="C862" s="142"/>
      <c r="D862" s="141" t="b">
        <f t="shared" si="18"/>
        <v>0</v>
      </c>
      <c r="E862" s="141"/>
      <c r="F862" s="141" t="str">
        <f t="shared" si="14"/>
        <v/>
      </c>
      <c r="G862" s="141"/>
      <c r="H862" s="145" t="e">
        <f t="shared" si="15"/>
        <v>#REF!</v>
      </c>
      <c r="I862" s="146"/>
      <c r="J862" s="50" t="e">
        <f t="shared" si="16"/>
        <v>#REF!</v>
      </c>
      <c r="K862" s="50" t="e">
        <f t="shared" si="17"/>
        <v>#REF!</v>
      </c>
      <c r="S862" s="49"/>
      <c r="T862" s="49"/>
      <c r="U862" s="49"/>
      <c r="V862" s="49"/>
      <c r="W862" s="49"/>
      <c r="X862" s="49"/>
      <c r="Y862" s="49"/>
    </row>
    <row r="863" spans="2:25" ht="11.25" hidden="1" customHeight="1">
      <c r="B863" s="142" t="s">
        <v>649</v>
      </c>
      <c r="C863" s="142"/>
      <c r="D863" s="141" t="b">
        <f t="shared" si="18"/>
        <v>0</v>
      </c>
      <c r="E863" s="141"/>
      <c r="F863" s="141" t="str">
        <f t="shared" si="14"/>
        <v/>
      </c>
      <c r="G863" s="141"/>
      <c r="H863" s="145" t="e">
        <f t="shared" si="15"/>
        <v>#REF!</v>
      </c>
      <c r="I863" s="146"/>
      <c r="J863" s="50" t="e">
        <f t="shared" si="16"/>
        <v>#REF!</v>
      </c>
      <c r="K863" s="50" t="e">
        <f t="shared" si="17"/>
        <v>#REF!</v>
      </c>
      <c r="S863" s="49"/>
      <c r="T863" s="49"/>
      <c r="U863" s="49"/>
      <c r="V863" s="49"/>
      <c r="W863" s="49"/>
      <c r="X863" s="49"/>
      <c r="Y863" s="49"/>
    </row>
    <row r="864" spans="2:25" ht="11.25" hidden="1" customHeight="1">
      <c r="B864" s="142" t="s">
        <v>667</v>
      </c>
      <c r="C864" s="142"/>
      <c r="D864" s="141" t="b">
        <f t="shared" si="18"/>
        <v>0</v>
      </c>
      <c r="E864" s="141"/>
      <c r="F864" s="141" t="str">
        <f t="shared" si="14"/>
        <v/>
      </c>
      <c r="G864" s="141"/>
      <c r="H864" s="145" t="e">
        <f t="shared" si="15"/>
        <v>#REF!</v>
      </c>
      <c r="I864" s="146"/>
      <c r="J864" s="50" t="e">
        <f t="shared" si="16"/>
        <v>#REF!</v>
      </c>
      <c r="K864" s="50" t="e">
        <f t="shared" si="17"/>
        <v>#REF!</v>
      </c>
      <c r="S864" s="49"/>
      <c r="T864" s="49"/>
      <c r="U864" s="49"/>
      <c r="V864" s="49"/>
      <c r="W864" s="49"/>
      <c r="X864" s="49"/>
      <c r="Y864" s="49"/>
    </row>
    <row r="865" spans="2:25" ht="11.25" hidden="1" customHeight="1">
      <c r="B865" s="142" t="s">
        <v>686</v>
      </c>
      <c r="C865" s="142"/>
      <c r="D865" s="141" t="b">
        <f t="shared" si="18"/>
        <v>0</v>
      </c>
      <c r="E865" s="141"/>
      <c r="F865" s="141" t="str">
        <f t="shared" si="14"/>
        <v/>
      </c>
      <c r="G865" s="141"/>
      <c r="H865" s="145" t="e">
        <f t="shared" si="15"/>
        <v>#REF!</v>
      </c>
      <c r="I865" s="146"/>
      <c r="J865" s="50" t="e">
        <f t="shared" si="16"/>
        <v>#REF!</v>
      </c>
      <c r="K865" s="50" t="e">
        <f t="shared" si="17"/>
        <v>#REF!</v>
      </c>
      <c r="S865" s="49"/>
      <c r="T865" s="49"/>
      <c r="U865" s="49"/>
      <c r="V865" s="49"/>
      <c r="W865" s="49"/>
      <c r="X865" s="49"/>
      <c r="Y865" s="49"/>
    </row>
    <row r="866" spans="2:25" ht="11.25" hidden="1" customHeight="1">
      <c r="B866" s="142" t="s">
        <v>705</v>
      </c>
      <c r="C866" s="142"/>
      <c r="D866" s="141" t="b">
        <f t="shared" si="18"/>
        <v>0</v>
      </c>
      <c r="E866" s="141"/>
      <c r="F866" s="141" t="str">
        <f t="shared" si="14"/>
        <v/>
      </c>
      <c r="G866" s="141"/>
      <c r="H866" s="145" t="e">
        <f t="shared" si="15"/>
        <v>#REF!</v>
      </c>
      <c r="I866" s="146"/>
      <c r="J866" s="50" t="e">
        <f t="shared" si="16"/>
        <v>#REF!</v>
      </c>
      <c r="K866" s="50" t="e">
        <f t="shared" si="17"/>
        <v>#REF!</v>
      </c>
      <c r="S866" s="49"/>
      <c r="T866" s="49"/>
      <c r="U866" s="49"/>
      <c r="V866" s="49"/>
      <c r="W866" s="49"/>
      <c r="X866" s="49"/>
      <c r="Y866" s="49"/>
    </row>
    <row r="867" spans="2:25" ht="11.25" hidden="1" customHeight="1">
      <c r="B867" s="142" t="s">
        <v>724</v>
      </c>
      <c r="C867" s="142"/>
      <c r="D867" s="141" t="b">
        <f t="shared" si="18"/>
        <v>0</v>
      </c>
      <c r="E867" s="141"/>
      <c r="F867" s="141" t="str">
        <f t="shared" si="14"/>
        <v/>
      </c>
      <c r="G867" s="141"/>
      <c r="H867" s="145" t="e">
        <f t="shared" si="15"/>
        <v>#REF!</v>
      </c>
      <c r="I867" s="146"/>
      <c r="J867" s="50" t="e">
        <f t="shared" si="16"/>
        <v>#REF!</v>
      </c>
      <c r="K867" s="50" t="e">
        <f t="shared" si="17"/>
        <v>#REF!</v>
      </c>
      <c r="S867" s="49"/>
      <c r="T867" s="49"/>
      <c r="U867" s="49"/>
      <c r="V867" s="49"/>
      <c r="W867" s="49"/>
      <c r="X867" s="49"/>
      <c r="Y867" s="49"/>
    </row>
    <row r="868" spans="2:25" ht="11.25" hidden="1" customHeight="1">
      <c r="B868" s="142" t="s">
        <v>445</v>
      </c>
      <c r="C868" s="142"/>
      <c r="D868" s="141" t="b">
        <f t="shared" si="18"/>
        <v>0</v>
      </c>
      <c r="E868" s="141"/>
      <c r="F868" s="141" t="str">
        <f t="shared" ref="F868:F883" si="19">T1.role(B868,"cpdid")</f>
        <v/>
      </c>
      <c r="G868" s="141"/>
      <c r="H868" s="145" t="e">
        <f t="shared" ref="H868:H883" si="20">T1.role(B868,"RAW_DATA","avr")</f>
        <v>#REF!</v>
      </c>
      <c r="I868" s="146"/>
      <c r="J868" s="50" t="e">
        <f t="shared" ref="J868:J883" si="21">T1.role(B868,"CPD_RESULT","avr")</f>
        <v>#REF!</v>
      </c>
      <c r="K868" s="50" t="e">
        <f t="shared" ref="K868:K883" si="22">T1.role(B868,"CPD_HIT","val",1)</f>
        <v>#REF!</v>
      </c>
      <c r="S868" s="49"/>
      <c r="T868" s="49"/>
      <c r="U868" s="49"/>
      <c r="V868" s="49"/>
      <c r="W868" s="49"/>
      <c r="X868" s="49"/>
      <c r="Y868" s="49"/>
    </row>
    <row r="869" spans="2:25" ht="11.25" hidden="1" customHeight="1">
      <c r="B869" s="142" t="s">
        <v>462</v>
      </c>
      <c r="C869" s="142"/>
      <c r="D869" s="141" t="b">
        <f t="shared" si="18"/>
        <v>0</v>
      </c>
      <c r="E869" s="141"/>
      <c r="F869" s="141" t="str">
        <f t="shared" si="19"/>
        <v/>
      </c>
      <c r="G869" s="141"/>
      <c r="H869" s="145" t="e">
        <f t="shared" si="20"/>
        <v>#REF!</v>
      </c>
      <c r="I869" s="146"/>
      <c r="J869" s="50" t="e">
        <f t="shared" si="21"/>
        <v>#REF!</v>
      </c>
      <c r="K869" s="50" t="e">
        <f t="shared" si="22"/>
        <v>#REF!</v>
      </c>
      <c r="S869" s="49"/>
      <c r="T869" s="49"/>
      <c r="U869" s="49"/>
      <c r="V869" s="49"/>
      <c r="W869" s="49"/>
      <c r="X869" s="49"/>
      <c r="Y869" s="49"/>
    </row>
    <row r="870" spans="2:25" ht="11.25" hidden="1" customHeight="1">
      <c r="B870" s="142" t="s">
        <v>481</v>
      </c>
      <c r="C870" s="142"/>
      <c r="D870" s="141" t="b">
        <f t="shared" si="18"/>
        <v>0</v>
      </c>
      <c r="E870" s="141"/>
      <c r="F870" s="141" t="str">
        <f t="shared" si="19"/>
        <v/>
      </c>
      <c r="G870" s="141"/>
      <c r="H870" s="145" t="e">
        <f t="shared" si="20"/>
        <v>#REF!</v>
      </c>
      <c r="I870" s="146"/>
      <c r="J870" s="50" t="e">
        <f t="shared" si="21"/>
        <v>#REF!</v>
      </c>
      <c r="K870" s="50" t="e">
        <f t="shared" si="22"/>
        <v>#REF!</v>
      </c>
      <c r="S870" s="49"/>
      <c r="T870" s="49"/>
      <c r="U870" s="49"/>
      <c r="V870" s="49"/>
      <c r="W870" s="49"/>
      <c r="X870" s="49"/>
      <c r="Y870" s="49"/>
    </row>
    <row r="871" spans="2:25" ht="11.25" hidden="1" customHeight="1">
      <c r="B871" s="142" t="s">
        <v>500</v>
      </c>
      <c r="C871" s="142"/>
      <c r="D871" s="141" t="b">
        <f t="shared" si="18"/>
        <v>0</v>
      </c>
      <c r="E871" s="141"/>
      <c r="F871" s="141" t="str">
        <f t="shared" si="19"/>
        <v/>
      </c>
      <c r="G871" s="141"/>
      <c r="H871" s="145" t="e">
        <f t="shared" si="20"/>
        <v>#REF!</v>
      </c>
      <c r="I871" s="146"/>
      <c r="J871" s="50" t="e">
        <f t="shared" si="21"/>
        <v>#REF!</v>
      </c>
      <c r="K871" s="50" t="e">
        <f t="shared" si="22"/>
        <v>#REF!</v>
      </c>
      <c r="S871" s="49"/>
      <c r="T871" s="49"/>
      <c r="U871" s="49"/>
      <c r="V871" s="49"/>
      <c r="W871" s="49"/>
      <c r="X871" s="49"/>
      <c r="Y871" s="49"/>
    </row>
    <row r="872" spans="2:25" ht="11.25" hidden="1" customHeight="1">
      <c r="B872" s="142" t="s">
        <v>519</v>
      </c>
      <c r="C872" s="142"/>
      <c r="D872" s="141" t="b">
        <f t="shared" si="18"/>
        <v>0</v>
      </c>
      <c r="E872" s="141"/>
      <c r="F872" s="141" t="str">
        <f t="shared" si="19"/>
        <v/>
      </c>
      <c r="G872" s="141"/>
      <c r="H872" s="145" t="e">
        <f t="shared" si="20"/>
        <v>#REF!</v>
      </c>
      <c r="I872" s="146"/>
      <c r="J872" s="50" t="e">
        <f t="shared" si="21"/>
        <v>#REF!</v>
      </c>
      <c r="K872" s="50" t="e">
        <f t="shared" si="22"/>
        <v>#REF!</v>
      </c>
      <c r="S872" s="49"/>
      <c r="T872" s="49"/>
      <c r="U872" s="49"/>
      <c r="V872" s="49"/>
      <c r="W872" s="49"/>
      <c r="X872" s="49"/>
      <c r="Y872" s="49"/>
    </row>
    <row r="873" spans="2:25" ht="11.25" hidden="1" customHeight="1">
      <c r="B873" s="142" t="s">
        <v>538</v>
      </c>
      <c r="C873" s="142"/>
      <c r="D873" s="141" t="b">
        <f t="shared" si="18"/>
        <v>0</v>
      </c>
      <c r="E873" s="141"/>
      <c r="F873" s="141" t="str">
        <f t="shared" si="19"/>
        <v/>
      </c>
      <c r="G873" s="141"/>
      <c r="H873" s="145" t="e">
        <f t="shared" si="20"/>
        <v>#REF!</v>
      </c>
      <c r="I873" s="146"/>
      <c r="J873" s="50" t="e">
        <f t="shared" si="21"/>
        <v>#REF!</v>
      </c>
      <c r="K873" s="50" t="e">
        <f t="shared" si="22"/>
        <v>#REF!</v>
      </c>
      <c r="S873" s="49"/>
      <c r="T873" s="49"/>
      <c r="U873" s="49"/>
      <c r="V873" s="49"/>
      <c r="W873" s="49"/>
      <c r="X873" s="49"/>
      <c r="Y873" s="49"/>
    </row>
    <row r="874" spans="2:25" ht="11.25" hidden="1" customHeight="1">
      <c r="B874" s="142" t="s">
        <v>557</v>
      </c>
      <c r="C874" s="142"/>
      <c r="D874" s="141" t="b">
        <f t="shared" si="18"/>
        <v>0</v>
      </c>
      <c r="E874" s="141"/>
      <c r="F874" s="141" t="str">
        <f t="shared" si="19"/>
        <v/>
      </c>
      <c r="G874" s="141"/>
      <c r="H874" s="145" t="e">
        <f t="shared" si="20"/>
        <v>#REF!</v>
      </c>
      <c r="I874" s="146"/>
      <c r="J874" s="50" t="e">
        <f t="shared" si="21"/>
        <v>#REF!</v>
      </c>
      <c r="K874" s="50" t="e">
        <f t="shared" si="22"/>
        <v>#REF!</v>
      </c>
      <c r="S874" s="49"/>
      <c r="T874" s="49"/>
      <c r="U874" s="49"/>
      <c r="V874" s="49"/>
      <c r="W874" s="49"/>
      <c r="X874" s="49"/>
      <c r="Y874" s="49"/>
    </row>
    <row r="875" spans="2:25" ht="11.25" hidden="1" customHeight="1">
      <c r="B875" s="142" t="s">
        <v>576</v>
      </c>
      <c r="C875" s="142"/>
      <c r="D875" s="141" t="b">
        <f t="shared" si="18"/>
        <v>0</v>
      </c>
      <c r="E875" s="141"/>
      <c r="F875" s="141" t="str">
        <f t="shared" si="19"/>
        <v/>
      </c>
      <c r="G875" s="141"/>
      <c r="H875" s="145" t="e">
        <f t="shared" si="20"/>
        <v>#REF!</v>
      </c>
      <c r="I875" s="146"/>
      <c r="J875" s="50" t="e">
        <f t="shared" si="21"/>
        <v>#REF!</v>
      </c>
      <c r="K875" s="50" t="e">
        <f t="shared" si="22"/>
        <v>#REF!</v>
      </c>
      <c r="S875" s="49"/>
      <c r="T875" s="49"/>
      <c r="U875" s="49"/>
      <c r="V875" s="49"/>
      <c r="W875" s="49"/>
      <c r="X875" s="49"/>
      <c r="Y875" s="49"/>
    </row>
    <row r="876" spans="2:25" ht="11.25" hidden="1" customHeight="1">
      <c r="B876" s="142" t="s">
        <v>593</v>
      </c>
      <c r="C876" s="142"/>
      <c r="D876" s="141" t="b">
        <f t="shared" si="18"/>
        <v>0</v>
      </c>
      <c r="E876" s="141"/>
      <c r="F876" s="141" t="str">
        <f t="shared" si="19"/>
        <v/>
      </c>
      <c r="G876" s="141"/>
      <c r="H876" s="145" t="e">
        <f t="shared" si="20"/>
        <v>#REF!</v>
      </c>
      <c r="I876" s="146"/>
      <c r="J876" s="50" t="e">
        <f t="shared" si="21"/>
        <v>#REF!</v>
      </c>
      <c r="K876" s="50" t="e">
        <f t="shared" si="22"/>
        <v>#REF!</v>
      </c>
      <c r="S876" s="49"/>
      <c r="T876" s="49"/>
      <c r="U876" s="49"/>
      <c r="V876" s="49"/>
      <c r="W876" s="49"/>
      <c r="X876" s="49"/>
      <c r="Y876" s="49"/>
    </row>
    <row r="877" spans="2:25" ht="11.25" hidden="1" customHeight="1">
      <c r="B877" s="142" t="s">
        <v>612</v>
      </c>
      <c r="C877" s="142"/>
      <c r="D877" s="141" t="b">
        <f t="shared" si="18"/>
        <v>0</v>
      </c>
      <c r="E877" s="141"/>
      <c r="F877" s="141" t="str">
        <f t="shared" si="19"/>
        <v/>
      </c>
      <c r="G877" s="141"/>
      <c r="H877" s="145" t="e">
        <f t="shared" si="20"/>
        <v>#REF!</v>
      </c>
      <c r="I877" s="146"/>
      <c r="J877" s="50" t="e">
        <f t="shared" si="21"/>
        <v>#REF!</v>
      </c>
      <c r="K877" s="50" t="e">
        <f t="shared" si="22"/>
        <v>#REF!</v>
      </c>
      <c r="S877" s="49"/>
      <c r="T877" s="49"/>
      <c r="U877" s="49"/>
      <c r="V877" s="49"/>
      <c r="W877" s="49"/>
      <c r="X877" s="49"/>
      <c r="Y877" s="49"/>
    </row>
    <row r="878" spans="2:25" ht="11.25" hidden="1" customHeight="1">
      <c r="B878" s="142" t="s">
        <v>631</v>
      </c>
      <c r="C878" s="142"/>
      <c r="D878" s="141" t="b">
        <f t="shared" si="18"/>
        <v>0</v>
      </c>
      <c r="E878" s="141"/>
      <c r="F878" s="141" t="str">
        <f t="shared" si="19"/>
        <v/>
      </c>
      <c r="G878" s="141"/>
      <c r="H878" s="145" t="e">
        <f t="shared" si="20"/>
        <v>#REF!</v>
      </c>
      <c r="I878" s="146"/>
      <c r="J878" s="50" t="e">
        <f t="shared" si="21"/>
        <v>#REF!</v>
      </c>
      <c r="K878" s="50" t="e">
        <f t="shared" si="22"/>
        <v>#REF!</v>
      </c>
      <c r="S878" s="49"/>
      <c r="T878" s="49"/>
      <c r="U878" s="49"/>
      <c r="V878" s="49"/>
      <c r="W878" s="49"/>
      <c r="X878" s="49"/>
      <c r="Y878" s="49"/>
    </row>
    <row r="879" spans="2:25" ht="11.25" hidden="1" customHeight="1">
      <c r="B879" s="142" t="s">
        <v>650</v>
      </c>
      <c r="C879" s="142"/>
      <c r="D879" s="141" t="b">
        <f t="shared" si="18"/>
        <v>0</v>
      </c>
      <c r="E879" s="141"/>
      <c r="F879" s="141" t="str">
        <f t="shared" si="19"/>
        <v/>
      </c>
      <c r="G879" s="141"/>
      <c r="H879" s="145" t="e">
        <f t="shared" si="20"/>
        <v>#REF!</v>
      </c>
      <c r="I879" s="146"/>
      <c r="J879" s="50" t="e">
        <f t="shared" si="21"/>
        <v>#REF!</v>
      </c>
      <c r="K879" s="50" t="e">
        <f t="shared" si="22"/>
        <v>#REF!</v>
      </c>
      <c r="S879" s="49"/>
      <c r="T879" s="49"/>
      <c r="U879" s="49"/>
      <c r="V879" s="49"/>
      <c r="W879" s="49"/>
      <c r="X879" s="49"/>
      <c r="Y879" s="49"/>
    </row>
    <row r="880" spans="2:25" ht="11.25" hidden="1" customHeight="1">
      <c r="B880" s="142" t="s">
        <v>668</v>
      </c>
      <c r="C880" s="142"/>
      <c r="D880" s="141" t="b">
        <f t="shared" si="18"/>
        <v>0</v>
      </c>
      <c r="E880" s="141"/>
      <c r="F880" s="141" t="str">
        <f t="shared" si="19"/>
        <v/>
      </c>
      <c r="G880" s="141"/>
      <c r="H880" s="145" t="e">
        <f t="shared" si="20"/>
        <v>#REF!</v>
      </c>
      <c r="I880" s="146"/>
      <c r="J880" s="50" t="e">
        <f t="shared" si="21"/>
        <v>#REF!</v>
      </c>
      <c r="K880" s="50" t="e">
        <f t="shared" si="22"/>
        <v>#REF!</v>
      </c>
      <c r="S880" s="49"/>
      <c r="T880" s="49"/>
      <c r="U880" s="49"/>
      <c r="V880" s="49"/>
      <c r="W880" s="49"/>
      <c r="X880" s="49"/>
      <c r="Y880" s="49"/>
    </row>
    <row r="881" spans="1:26" ht="11.25" hidden="1" customHeight="1">
      <c r="B881" s="142" t="s">
        <v>687</v>
      </c>
      <c r="C881" s="142"/>
      <c r="D881" s="141" t="b">
        <f t="shared" si="18"/>
        <v>0</v>
      </c>
      <c r="E881" s="141"/>
      <c r="F881" s="141" t="str">
        <f t="shared" si="19"/>
        <v/>
      </c>
      <c r="G881" s="141"/>
      <c r="H881" s="145" t="e">
        <f t="shared" si="20"/>
        <v>#REF!</v>
      </c>
      <c r="I881" s="146"/>
      <c r="J881" s="50" t="e">
        <f t="shared" si="21"/>
        <v>#REF!</v>
      </c>
      <c r="K881" s="50" t="e">
        <f t="shared" si="22"/>
        <v>#REF!</v>
      </c>
      <c r="S881" s="49"/>
      <c r="T881" s="49"/>
      <c r="U881" s="49"/>
      <c r="V881" s="49"/>
      <c r="W881" s="49"/>
      <c r="X881" s="49"/>
      <c r="Y881" s="49"/>
    </row>
    <row r="882" spans="1:26" ht="11.25" hidden="1" customHeight="1">
      <c r="B882" s="142" t="s">
        <v>706</v>
      </c>
      <c r="C882" s="142"/>
      <c r="D882" s="141" t="b">
        <f t="shared" si="18"/>
        <v>0</v>
      </c>
      <c r="E882" s="141"/>
      <c r="F882" s="141" t="str">
        <f t="shared" si="19"/>
        <v/>
      </c>
      <c r="G882" s="141"/>
      <c r="H882" s="145" t="e">
        <f t="shared" si="20"/>
        <v>#REF!</v>
      </c>
      <c r="I882" s="146"/>
      <c r="J882" s="50" t="e">
        <f t="shared" si="21"/>
        <v>#REF!</v>
      </c>
      <c r="K882" s="50" t="e">
        <f t="shared" si="22"/>
        <v>#REF!</v>
      </c>
      <c r="S882" s="49"/>
      <c r="T882" s="49"/>
      <c r="U882" s="49"/>
      <c r="V882" s="49"/>
      <c r="W882" s="49"/>
      <c r="X882" s="49"/>
      <c r="Y882" s="49"/>
    </row>
    <row r="883" spans="1:26" ht="11.25" hidden="1" customHeight="1">
      <c r="B883" s="142" t="s">
        <v>725</v>
      </c>
      <c r="C883" s="142"/>
      <c r="D883" s="141" t="b">
        <f t="shared" si="18"/>
        <v>0</v>
      </c>
      <c r="E883" s="141"/>
      <c r="F883" s="141" t="str">
        <f t="shared" si="19"/>
        <v/>
      </c>
      <c r="G883" s="141"/>
      <c r="H883" s="145" t="e">
        <f t="shared" si="20"/>
        <v>#REF!</v>
      </c>
      <c r="I883" s="146"/>
      <c r="J883" s="50" t="e">
        <f t="shared" si="21"/>
        <v>#REF!</v>
      </c>
      <c r="K883" s="50" t="e">
        <f t="shared" si="22"/>
        <v>#REF!</v>
      </c>
      <c r="S883" s="49"/>
      <c r="T883" s="49"/>
      <c r="U883" s="49"/>
      <c r="V883" s="49"/>
      <c r="W883" s="49"/>
      <c r="X883" s="49"/>
      <c r="Y883" s="49"/>
    </row>
    <row r="884" spans="1:26" ht="11.25" customHeight="1">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row>
    <row r="885" spans="1:26" s="72" customFormat="1" ht="11.25" customHeight="1">
      <c r="A885" s="71" t="s">
        <v>2042</v>
      </c>
    </row>
    <row r="886" spans="1:26" ht="11.25" hidden="1" customHeight="1">
      <c r="A886" s="49"/>
      <c r="C886" s="49"/>
      <c r="D886" s="49"/>
      <c r="E886" s="49"/>
      <c r="F886" s="49"/>
      <c r="G886" s="49"/>
      <c r="H886" s="49"/>
      <c r="I886" s="49"/>
      <c r="K886" s="49"/>
      <c r="L886" s="49"/>
      <c r="M886" s="49"/>
      <c r="N886" s="49"/>
      <c r="O886" s="49"/>
      <c r="P886" s="49"/>
      <c r="Q886" s="49"/>
      <c r="R886" s="49"/>
      <c r="S886" s="49"/>
      <c r="T886" s="49"/>
      <c r="U886" s="49"/>
      <c r="V886" s="49"/>
      <c r="W886" s="49"/>
      <c r="X886" s="49"/>
      <c r="Y886" s="49"/>
      <c r="Z886" s="49"/>
    </row>
    <row r="887" spans="1:26" ht="11.25" hidden="1" customHeight="1">
      <c r="B887" s="142" t="s">
        <v>813</v>
      </c>
      <c r="C887" s="142"/>
      <c r="D887" s="143" t="s">
        <v>811</v>
      </c>
      <c r="E887" s="144"/>
      <c r="F887" s="2">
        <v>20</v>
      </c>
      <c r="G887" s="2">
        <v>6</v>
      </c>
      <c r="H887" s="2">
        <v>2</v>
      </c>
      <c r="I887" s="2">
        <v>0.6</v>
      </c>
      <c r="J887" s="2">
        <v>0.2</v>
      </c>
      <c r="K887" s="9" t="s">
        <v>2037</v>
      </c>
      <c r="L887" s="49"/>
      <c r="M887" s="49"/>
      <c r="N887" s="49"/>
      <c r="O887" s="49"/>
      <c r="P887" s="49"/>
      <c r="Q887" s="49"/>
      <c r="R887" s="49"/>
      <c r="S887" s="49"/>
      <c r="T887" s="49"/>
      <c r="U887" s="49"/>
      <c r="V887" s="49"/>
      <c r="W887" s="49"/>
      <c r="X887" s="49"/>
      <c r="Y887" s="49"/>
    </row>
    <row r="888" spans="1:26" ht="11.25" hidden="1" customHeight="1">
      <c r="B888" s="142" t="s">
        <v>815</v>
      </c>
      <c r="C888" s="142"/>
      <c r="D888" s="143" t="str">
        <f>T1.role(B888,"cpdid")</f>
        <v/>
      </c>
      <c r="E888" s="144"/>
      <c r="F888" s="51" t="e">
        <f>T1.role(B888&amp;"@"&amp;F887,"CPD_RESULT","avr")</f>
        <v>#REF!</v>
      </c>
      <c r="G888" s="51" t="e">
        <f>T1.role(B888&amp;"@"&amp;G887,"CPD_RESULT","avr")</f>
        <v>#REF!</v>
      </c>
      <c r="H888" s="51" t="e">
        <f>T1.role(B888&amp;"@"&amp;H887,"CPD_RESULT","avr")</f>
        <v>#REF!</v>
      </c>
      <c r="I888" s="51" t="e">
        <f>T1.role(B888&amp;"@"&amp;I887,"CPD_RESULT","avr")</f>
        <v>#REF!</v>
      </c>
      <c r="J888" s="51" t="e">
        <f>T1.role(B888&amp;"@"&amp;J887,"CPD_RESULT","avr")</f>
        <v>#REF!</v>
      </c>
      <c r="K888" s="9" t="e">
        <f>T1.RD_HALF(F887:J887,F888:J888)</f>
        <v>#VALUE!</v>
      </c>
      <c r="L888" s="49"/>
      <c r="M888" s="49"/>
      <c r="N888" s="49"/>
      <c r="O888" s="49"/>
      <c r="P888" s="49"/>
      <c r="Q888" s="49"/>
      <c r="R888" s="49"/>
      <c r="S888" s="49"/>
      <c r="T888" s="49"/>
      <c r="U888" s="49"/>
      <c r="V888" s="49"/>
      <c r="W888" s="49"/>
      <c r="X888" s="49"/>
      <c r="Y888" s="49"/>
    </row>
    <row r="889" spans="1:26" ht="11.25" hidden="1" customHeight="1">
      <c r="A889" s="49"/>
      <c r="B889" s="142" t="s">
        <v>821</v>
      </c>
      <c r="C889" s="142"/>
      <c r="D889" s="143" t="str">
        <f>T1.role(B889,"cpdid")</f>
        <v/>
      </c>
      <c r="E889" s="144"/>
      <c r="F889" s="51" t="e">
        <f>T1.role(B889&amp;"@"&amp;F887,"CPD_RESULT","avr")</f>
        <v>#REF!</v>
      </c>
      <c r="G889" s="51" t="e">
        <f>T1.role(B889&amp;"@"&amp;G887,"CPD_RESULT","avr")</f>
        <v>#REF!</v>
      </c>
      <c r="H889" s="51" t="e">
        <f>T1.role(B889&amp;"@"&amp;H887,"CPD_RESULT","avr")</f>
        <v>#REF!</v>
      </c>
      <c r="I889" s="51" t="e">
        <f>T1.role(B889&amp;"@"&amp;I887,"CPD_RESULT","avr")</f>
        <v>#REF!</v>
      </c>
      <c r="J889" s="51" t="e">
        <f>T1.role(B889&amp;"@"&amp;J887,"CPD_RESULT","avr")</f>
        <v>#REF!</v>
      </c>
      <c r="K889" s="9" t="e">
        <f>T1.RD_HALF(F887:J887,F889:J889)</f>
        <v>#VALUE!</v>
      </c>
      <c r="L889" s="49"/>
      <c r="M889" s="49"/>
      <c r="N889" s="49"/>
      <c r="O889" s="49"/>
      <c r="P889" s="49"/>
      <c r="Q889" s="49"/>
      <c r="R889" s="49"/>
      <c r="S889" s="49"/>
      <c r="T889" s="49"/>
      <c r="U889" s="49"/>
      <c r="V889" s="49"/>
      <c r="W889" s="49"/>
      <c r="X889" s="49"/>
      <c r="Y889" s="49"/>
    </row>
    <row r="890" spans="1:26" ht="11.25" hidden="1" customHeight="1">
      <c r="B890" s="142" t="s">
        <v>434</v>
      </c>
      <c r="C890" s="142"/>
      <c r="D890" s="143" t="str">
        <f t="shared" ref="D890:D903" si="23">T1.role(B890,"cpdid")</f>
        <v/>
      </c>
      <c r="E890" s="144"/>
      <c r="F890" s="51" t="e">
        <f>T1.role(B890&amp;"@"&amp;F887,"CPD_RESULT","avr")</f>
        <v>#REF!</v>
      </c>
      <c r="G890" s="51" t="e">
        <f>T1.role(B890&amp;"@"&amp;G887,"CPD_RESULT","avr")</f>
        <v>#REF!</v>
      </c>
      <c r="H890" s="51" t="e">
        <f>T1.role(B890&amp;"@"&amp;H887,"CPD_RESULT","avr")</f>
        <v>#REF!</v>
      </c>
      <c r="I890" s="51" t="e">
        <f>T1.role(B890&amp;"@"&amp;I887,"CPD_RESULT","avr")</f>
        <v>#REF!</v>
      </c>
      <c r="J890" s="51" t="e">
        <f>T1.role(B890&amp;"@"&amp;J887,"CPD_RESULT","avr")</f>
        <v>#REF!</v>
      </c>
      <c r="K890" s="9" t="e">
        <f>T1.RD_HALF(F887:J887,F890:J890)</f>
        <v>#VALUE!</v>
      </c>
      <c r="L890" s="49"/>
      <c r="M890" s="49"/>
      <c r="N890" s="49"/>
      <c r="O890" s="49"/>
      <c r="P890" s="49"/>
      <c r="Q890" s="49"/>
      <c r="R890" s="49"/>
      <c r="S890" s="49"/>
      <c r="T890" s="49"/>
      <c r="U890" s="49"/>
      <c r="V890" s="49"/>
      <c r="W890" s="49"/>
      <c r="X890" s="49"/>
      <c r="Y890" s="49"/>
    </row>
    <row r="891" spans="1:26" ht="11.25" hidden="1" customHeight="1">
      <c r="B891" s="142" t="s">
        <v>435</v>
      </c>
      <c r="C891" s="142"/>
      <c r="D891" s="143" t="str">
        <f>T1.role(B891,"cpdid")</f>
        <v/>
      </c>
      <c r="E891" s="144"/>
      <c r="F891" s="51" t="e">
        <f>T1.role(B891&amp;"@"&amp;F887,"CPD_RESULT","avr")</f>
        <v>#REF!</v>
      </c>
      <c r="G891" s="51" t="e">
        <f>T1.role(B891&amp;"@"&amp;G887,"CPD_RESULT","avr")</f>
        <v>#REF!</v>
      </c>
      <c r="H891" s="51" t="e">
        <f>T1.role(B891&amp;"@"&amp;H887,"CPD_RESULT","avr")</f>
        <v>#REF!</v>
      </c>
      <c r="I891" s="51" t="e">
        <f>T1.role(B891&amp;"@"&amp;I887,"CPD_RESULT","avr")</f>
        <v>#REF!</v>
      </c>
      <c r="J891" s="51" t="e">
        <f>T1.role(B891&amp;"@"&amp;J887,"CPD_RESULT","avr")</f>
        <v>#REF!</v>
      </c>
      <c r="K891" s="9" t="e">
        <f>T1.RD_HALF(F887:J887,F891:J891)</f>
        <v>#VALUE!</v>
      </c>
      <c r="L891" s="49"/>
      <c r="M891" s="49"/>
      <c r="N891" s="49"/>
      <c r="O891" s="49"/>
      <c r="P891" s="49"/>
      <c r="Q891" s="49"/>
      <c r="R891" s="49"/>
      <c r="S891" s="49"/>
      <c r="T891" s="49"/>
      <c r="U891" s="49"/>
      <c r="V891" s="49"/>
      <c r="W891" s="49"/>
      <c r="X891" s="49"/>
      <c r="Y891" s="49"/>
    </row>
    <row r="892" spans="1:26" ht="11.25" hidden="1" customHeight="1">
      <c r="B892" s="142" t="s">
        <v>436</v>
      </c>
      <c r="C892" s="142"/>
      <c r="D892" s="143" t="str">
        <f t="shared" si="23"/>
        <v/>
      </c>
      <c r="E892" s="144"/>
      <c r="F892" s="51" t="e">
        <f>T1.role(B892&amp;"@"&amp;F887,"CPD_RESULT","avr")</f>
        <v>#REF!</v>
      </c>
      <c r="G892" s="51" t="e">
        <f>T1.role(B892&amp;"@"&amp;G887,"CPD_RESULT","avr")</f>
        <v>#REF!</v>
      </c>
      <c r="H892" s="51" t="e">
        <f>T1.role(B892&amp;"@"&amp;H887,"CPD_RESULT","avr")</f>
        <v>#REF!</v>
      </c>
      <c r="I892" s="51" t="e">
        <f>T1.role(B892&amp;"@"&amp;I887,"CPD_RESULT","avr")</f>
        <v>#REF!</v>
      </c>
      <c r="J892" s="51" t="e">
        <f>T1.role(B892&amp;"@"&amp;J887,"CPD_RESULT","avr")</f>
        <v>#REF!</v>
      </c>
      <c r="K892" s="9" t="e">
        <f>T1.RD_HALF(F887:J887,F892:J892)</f>
        <v>#VALUE!</v>
      </c>
      <c r="L892" s="49"/>
      <c r="M892" s="49"/>
      <c r="N892" s="49"/>
      <c r="O892" s="49"/>
      <c r="P892" s="49"/>
      <c r="Q892" s="49"/>
      <c r="R892" s="49"/>
      <c r="S892" s="49"/>
      <c r="T892" s="49"/>
      <c r="U892" s="49"/>
      <c r="V892" s="49"/>
      <c r="W892" s="49"/>
      <c r="X892" s="49"/>
      <c r="Y892" s="49"/>
    </row>
    <row r="893" spans="1:26" ht="11.25" hidden="1" customHeight="1">
      <c r="B893" s="142" t="s">
        <v>437</v>
      </c>
      <c r="C893" s="142"/>
      <c r="D893" s="143" t="str">
        <f t="shared" si="23"/>
        <v/>
      </c>
      <c r="E893" s="144"/>
      <c r="F893" s="51" t="e">
        <f>T1.role(B893&amp;"@"&amp;F887,"CPD_RESULT","avr")</f>
        <v>#REF!</v>
      </c>
      <c r="G893" s="51" t="e">
        <f>T1.role(B893&amp;"@"&amp;G887,"CPD_RESULT","avr")</f>
        <v>#REF!</v>
      </c>
      <c r="H893" s="51" t="e">
        <f>T1.role(B893&amp;"@"&amp;H887,"CPD_RESULT","avr")</f>
        <v>#REF!</v>
      </c>
      <c r="I893" s="51" t="e">
        <f>T1.role(B893&amp;"@"&amp;I887,"CPD_RESULT","avr")</f>
        <v>#REF!</v>
      </c>
      <c r="J893" s="51" t="e">
        <f>T1.role(B893&amp;"@"&amp;J887,"CPD_RESULT","avr")</f>
        <v>#REF!</v>
      </c>
      <c r="K893" s="9" t="e">
        <f>T1.RD_HALF(F887:J887,F893:J893)</f>
        <v>#VALUE!</v>
      </c>
      <c r="L893" s="49"/>
      <c r="M893" s="49"/>
      <c r="N893" s="49"/>
      <c r="O893" s="49"/>
      <c r="P893" s="49"/>
      <c r="Q893" s="49"/>
      <c r="R893" s="49"/>
      <c r="S893" s="49"/>
      <c r="T893" s="49"/>
      <c r="U893" s="49"/>
      <c r="V893" s="49"/>
      <c r="W893" s="49"/>
      <c r="X893" s="49"/>
      <c r="Y893" s="49"/>
    </row>
    <row r="894" spans="1:26" ht="11.25" hidden="1" customHeight="1">
      <c r="B894" s="142" t="s">
        <v>438</v>
      </c>
      <c r="C894" s="142"/>
      <c r="D894" s="143" t="str">
        <f t="shared" si="23"/>
        <v/>
      </c>
      <c r="E894" s="144"/>
      <c r="F894" s="51" t="e">
        <f>T1.role(B894&amp;"@"&amp;F887,"CPD_RESULT","avr")</f>
        <v>#REF!</v>
      </c>
      <c r="G894" s="51" t="e">
        <f>T1.role(B894&amp;"@"&amp;G887,"CPD_RESULT","avr")</f>
        <v>#REF!</v>
      </c>
      <c r="H894" s="51" t="e">
        <f>T1.role(B894&amp;"@"&amp;H887,"CPD_RESULT","avr")</f>
        <v>#REF!</v>
      </c>
      <c r="I894" s="51" t="e">
        <f>T1.role(B894&amp;"@"&amp;I887,"CPD_RESULT","avr")</f>
        <v>#REF!</v>
      </c>
      <c r="J894" s="51" t="e">
        <f>T1.role(B894&amp;"@"&amp;J887,"CPD_RESULT","avr")</f>
        <v>#REF!</v>
      </c>
      <c r="K894" s="9" t="e">
        <f>T1.RD_HALF(F887:J887,F894:J894)</f>
        <v>#VALUE!</v>
      </c>
      <c r="L894" s="49"/>
      <c r="M894" s="49"/>
      <c r="N894" s="49"/>
      <c r="O894" s="49"/>
      <c r="P894" s="49"/>
      <c r="Q894" s="49"/>
      <c r="R894" s="49"/>
      <c r="S894" s="49"/>
      <c r="T894" s="49"/>
      <c r="U894" s="49"/>
      <c r="V894" s="49"/>
      <c r="W894" s="49"/>
      <c r="X894" s="49"/>
      <c r="Y894" s="49"/>
    </row>
    <row r="895" spans="1:26" ht="11.25" hidden="1" customHeight="1">
      <c r="B895" s="142" t="s">
        <v>439</v>
      </c>
      <c r="C895" s="142"/>
      <c r="D895" s="143" t="str">
        <f t="shared" si="23"/>
        <v/>
      </c>
      <c r="E895" s="144"/>
      <c r="F895" s="51" t="e">
        <f>T1.role(B895&amp;"@"&amp;F887,"CPD_RESULT","avr")</f>
        <v>#REF!</v>
      </c>
      <c r="G895" s="51" t="e">
        <f>T1.role(B895&amp;"@"&amp;G887,"CPD_RESULT","avr")</f>
        <v>#REF!</v>
      </c>
      <c r="H895" s="51" t="e">
        <f>T1.role(B895&amp;"@"&amp;H887,"CPD_RESULT","avr")</f>
        <v>#REF!</v>
      </c>
      <c r="I895" s="51" t="e">
        <f>T1.role(B895&amp;"@"&amp;I887,"CPD_RESULT","avr")</f>
        <v>#REF!</v>
      </c>
      <c r="J895" s="51" t="e">
        <f>T1.role(B895&amp;"@"&amp;J887,"CPD_RESULT","avr")</f>
        <v>#REF!</v>
      </c>
      <c r="K895" s="9" t="e">
        <f>T1.RD_HALF(F887:J887,F895:J895)</f>
        <v>#VALUE!</v>
      </c>
      <c r="L895" s="49"/>
      <c r="M895" s="49"/>
      <c r="N895" s="49"/>
      <c r="O895" s="49"/>
      <c r="P895" s="49"/>
      <c r="Q895" s="49"/>
      <c r="R895" s="49"/>
      <c r="S895" s="49"/>
      <c r="T895" s="49"/>
      <c r="U895" s="49"/>
      <c r="V895" s="49"/>
      <c r="W895" s="49"/>
      <c r="X895" s="49"/>
      <c r="Y895" s="49"/>
    </row>
    <row r="896" spans="1:26" ht="11.25" hidden="1" customHeight="1">
      <c r="B896" s="142" t="s">
        <v>440</v>
      </c>
      <c r="C896" s="142"/>
      <c r="D896" s="143" t="str">
        <f t="shared" si="23"/>
        <v/>
      </c>
      <c r="E896" s="144"/>
      <c r="F896" s="51" t="e">
        <f>T1.role(B896&amp;"@"&amp;F887,"CPD_RESULT","avr")</f>
        <v>#REF!</v>
      </c>
      <c r="G896" s="51" t="e">
        <f>T1.role(B896&amp;"@"&amp;G887,"CPD_RESULT","avr")</f>
        <v>#REF!</v>
      </c>
      <c r="H896" s="51" t="e">
        <f>T1.role(B896&amp;"@"&amp;H887,"CPD_RESULT","avr")</f>
        <v>#REF!</v>
      </c>
      <c r="I896" s="51" t="e">
        <f>T1.role(B896&amp;"@"&amp;I887,"CPD_RESULT","avr")</f>
        <v>#REF!</v>
      </c>
      <c r="J896" s="51" t="e">
        <f>T1.role(B896&amp;"@"&amp;J887,"CPD_RESULT","avr")</f>
        <v>#REF!</v>
      </c>
      <c r="K896" s="9" t="e">
        <f>T1.RD_HALF(F887:J887,F896:J896)</f>
        <v>#VALUE!</v>
      </c>
      <c r="L896" s="49"/>
      <c r="M896" s="49"/>
      <c r="N896" s="49"/>
      <c r="O896" s="49"/>
      <c r="P896" s="49"/>
      <c r="Q896" s="49"/>
      <c r="R896" s="49"/>
      <c r="S896" s="49"/>
      <c r="T896" s="49"/>
      <c r="U896" s="49"/>
      <c r="V896" s="49"/>
      <c r="W896" s="49"/>
      <c r="X896" s="49"/>
      <c r="Y896" s="49"/>
    </row>
    <row r="897" spans="1:26" ht="11.25" hidden="1" customHeight="1">
      <c r="B897" s="142" t="s">
        <v>2</v>
      </c>
      <c r="C897" s="142"/>
      <c r="D897" s="143" t="str">
        <f t="shared" si="23"/>
        <v/>
      </c>
      <c r="E897" s="144"/>
      <c r="F897" s="51" t="e">
        <f>T1.role(B897&amp;"@"&amp;F887,"CPD_RESULT","avr")</f>
        <v>#REF!</v>
      </c>
      <c r="G897" s="51" t="e">
        <f>T1.role(B897&amp;"@"&amp;G887,"CPD_RESULT","avr")</f>
        <v>#REF!</v>
      </c>
      <c r="H897" s="51" t="e">
        <f>T1.role(B897&amp;"@"&amp;H887,"CPD_RESULT","avr")</f>
        <v>#REF!</v>
      </c>
      <c r="I897" s="51" t="e">
        <f>T1.role(B897&amp;"@"&amp;I887,"CPD_RESULT","avr")</f>
        <v>#REF!</v>
      </c>
      <c r="J897" s="51" t="e">
        <f>T1.role(B897&amp;"@"&amp;J887,"CPD_RESULT","avr")</f>
        <v>#REF!</v>
      </c>
      <c r="K897" s="9" t="e">
        <f>T1.RD_HALF(F887:J887,F897:J897)</f>
        <v>#VALUE!</v>
      </c>
      <c r="L897" s="49"/>
      <c r="M897" s="49"/>
      <c r="N897" s="49"/>
      <c r="O897" s="49"/>
      <c r="P897" s="49"/>
      <c r="Q897" s="49"/>
      <c r="R897" s="49"/>
      <c r="S897" s="49"/>
      <c r="T897" s="49"/>
      <c r="U897" s="49"/>
      <c r="V897" s="49"/>
      <c r="W897" s="49"/>
      <c r="X897" s="49"/>
      <c r="Y897" s="49"/>
    </row>
    <row r="898" spans="1:26" ht="11.25" hidden="1" customHeight="1">
      <c r="B898" s="142" t="s">
        <v>4</v>
      </c>
      <c r="C898" s="142"/>
      <c r="D898" s="143" t="str">
        <f t="shared" si="23"/>
        <v/>
      </c>
      <c r="E898" s="144"/>
      <c r="F898" s="51" t="e">
        <f>T1.role(B898&amp;"@"&amp;F887,"CPD_RESULT","avr")</f>
        <v>#REF!</v>
      </c>
      <c r="G898" s="51" t="e">
        <f>T1.role(B898&amp;"@"&amp;G887,"CPD_RESULT","avr")</f>
        <v>#REF!</v>
      </c>
      <c r="H898" s="51" t="e">
        <f>T1.role(B898&amp;"@"&amp;H887,"CPD_RESULT","avr")</f>
        <v>#REF!</v>
      </c>
      <c r="I898" s="51" t="e">
        <f>T1.role(B898&amp;"@"&amp;I887,"CPD_RESULT","avr")</f>
        <v>#REF!</v>
      </c>
      <c r="J898" s="51" t="e">
        <f>T1.role(B898&amp;"@"&amp;J887,"CPD_RESULT","avr")</f>
        <v>#REF!</v>
      </c>
      <c r="K898" s="9" t="e">
        <f>T1.RD_HALF(F887:J887,F898:J898)</f>
        <v>#VALUE!</v>
      </c>
      <c r="L898" s="49"/>
      <c r="M898" s="49"/>
      <c r="N898" s="49"/>
      <c r="O898" s="49"/>
      <c r="P898" s="49"/>
      <c r="Q898" s="49"/>
      <c r="R898" s="49"/>
      <c r="S898" s="49"/>
      <c r="T898" s="49"/>
      <c r="U898" s="49"/>
      <c r="V898" s="49"/>
      <c r="W898" s="49"/>
      <c r="X898" s="49"/>
      <c r="Y898" s="49"/>
    </row>
    <row r="899" spans="1:26" ht="11.25" hidden="1" customHeight="1">
      <c r="B899" s="142" t="s">
        <v>6</v>
      </c>
      <c r="C899" s="142"/>
      <c r="D899" s="143" t="str">
        <f t="shared" si="23"/>
        <v/>
      </c>
      <c r="E899" s="144"/>
      <c r="F899" s="51" t="e">
        <f>T1.role(B899&amp;"@"&amp;F887,"CPD_RESULT","avr")</f>
        <v>#REF!</v>
      </c>
      <c r="G899" s="51" t="e">
        <f>T1.role(B899&amp;"@"&amp;G887,"CPD_RESULT","avr")</f>
        <v>#REF!</v>
      </c>
      <c r="H899" s="51" t="e">
        <f>T1.role(B899&amp;"@"&amp;H887,"CPD_RESULT","avr")</f>
        <v>#REF!</v>
      </c>
      <c r="I899" s="51" t="e">
        <f>T1.role(B899&amp;"@"&amp;I887,"CPD_RESULT","avr")</f>
        <v>#REF!</v>
      </c>
      <c r="J899" s="51" t="e">
        <f>T1.role(B899&amp;"@"&amp;J887,"CPD_RESULT","avr")</f>
        <v>#REF!</v>
      </c>
      <c r="K899" s="9" t="e">
        <f>T1.RD_HALF(F887:J887,F899:J899)</f>
        <v>#VALUE!</v>
      </c>
      <c r="L899" s="49"/>
      <c r="M899" s="49"/>
      <c r="N899" s="49"/>
      <c r="O899" s="49"/>
      <c r="P899" s="49"/>
      <c r="Q899" s="49"/>
      <c r="R899" s="49"/>
      <c r="S899" s="49"/>
      <c r="T899" s="49"/>
      <c r="U899" s="49"/>
      <c r="V899" s="49"/>
      <c r="W899" s="49"/>
      <c r="X899" s="49"/>
      <c r="Y899" s="49"/>
    </row>
    <row r="900" spans="1:26" ht="11.25" hidden="1" customHeight="1">
      <c r="B900" s="142" t="s">
        <v>1</v>
      </c>
      <c r="C900" s="142"/>
      <c r="D900" s="143" t="str">
        <f t="shared" si="23"/>
        <v/>
      </c>
      <c r="E900" s="144"/>
      <c r="F900" s="51" t="e">
        <f>T1.role(B900&amp;"@"&amp;F887,"CPD_RESULT","avr")</f>
        <v>#REF!</v>
      </c>
      <c r="G900" s="51" t="e">
        <f>T1.role(B900&amp;"@"&amp;G887,"CPD_RESULT","avr")</f>
        <v>#REF!</v>
      </c>
      <c r="H900" s="51" t="e">
        <f>T1.role(B900&amp;"@"&amp;H887,"CPD_RESULT","avr")</f>
        <v>#REF!</v>
      </c>
      <c r="I900" s="51" t="e">
        <f>T1.role(B900&amp;"@"&amp;I887,"CPD_RESULT","avr")</f>
        <v>#REF!</v>
      </c>
      <c r="J900" s="51" t="e">
        <f>T1.role(B900&amp;"@"&amp;J887,"CPD_RESULT","avr")</f>
        <v>#REF!</v>
      </c>
      <c r="K900" s="9" t="e">
        <f>T1.RD_HALF(F887:J887,F900:J900)</f>
        <v>#VALUE!</v>
      </c>
      <c r="L900" s="49"/>
      <c r="M900" s="49"/>
      <c r="N900" s="49"/>
      <c r="O900" s="49"/>
      <c r="P900" s="49"/>
      <c r="Q900" s="49"/>
      <c r="R900" s="49"/>
      <c r="S900" s="49"/>
      <c r="T900" s="49"/>
      <c r="U900" s="49"/>
      <c r="V900" s="49"/>
      <c r="W900" s="49"/>
      <c r="X900" s="49"/>
      <c r="Y900" s="49"/>
    </row>
    <row r="901" spans="1:26" ht="11.25" hidden="1" customHeight="1">
      <c r="B901" s="142" t="s">
        <v>3</v>
      </c>
      <c r="C901" s="142"/>
      <c r="D901" s="143" t="str">
        <f t="shared" si="23"/>
        <v/>
      </c>
      <c r="E901" s="144"/>
      <c r="F901" s="51" t="e">
        <f>T1.role(B901&amp;"@"&amp;F887,"CPD_RESULT","avr")</f>
        <v>#REF!</v>
      </c>
      <c r="G901" s="51" t="e">
        <f>T1.role(B901&amp;"@"&amp;G887,"CPD_RESULT","avr")</f>
        <v>#REF!</v>
      </c>
      <c r="H901" s="51" t="e">
        <f>T1.role(B901&amp;"@"&amp;H887,"CPD_RESULT","avr")</f>
        <v>#REF!</v>
      </c>
      <c r="I901" s="51" t="e">
        <f>T1.role(B901&amp;"@"&amp;I887,"CPD_RESULT","avr")</f>
        <v>#REF!</v>
      </c>
      <c r="J901" s="51" t="e">
        <f>T1.role(B901&amp;"@"&amp;J887,"CPD_RESULT","avr")</f>
        <v>#REF!</v>
      </c>
      <c r="K901" s="9" t="e">
        <f>T1.RD_HALF(F887:J887,F901:J901)</f>
        <v>#VALUE!</v>
      </c>
      <c r="L901" s="49"/>
      <c r="M901" s="49"/>
      <c r="N901" s="49"/>
      <c r="O901" s="49"/>
      <c r="P901" s="49"/>
      <c r="Q901" s="49"/>
      <c r="R901" s="49"/>
      <c r="S901" s="49"/>
      <c r="T901" s="49"/>
      <c r="U901" s="49"/>
      <c r="V901" s="49"/>
      <c r="W901" s="49"/>
      <c r="X901" s="49"/>
      <c r="Y901" s="49"/>
    </row>
    <row r="902" spans="1:26" ht="11.25" hidden="1" customHeight="1">
      <c r="B902" s="142" t="s">
        <v>5</v>
      </c>
      <c r="C902" s="142"/>
      <c r="D902" s="143" t="str">
        <f t="shared" si="23"/>
        <v/>
      </c>
      <c r="E902" s="144"/>
      <c r="F902" s="51" t="e">
        <f>T1.role(B902&amp;"@"&amp;F887,"CPD_RESULT","avr")</f>
        <v>#REF!</v>
      </c>
      <c r="G902" s="51" t="e">
        <f>T1.role(B902&amp;"@"&amp;G887,"CPD_RESULT","avr")</f>
        <v>#REF!</v>
      </c>
      <c r="H902" s="51" t="e">
        <f>T1.role(B902&amp;"@"&amp;H887,"CPD_RESULT","avr")</f>
        <v>#REF!</v>
      </c>
      <c r="I902" s="51" t="e">
        <f>T1.role(B902&amp;"@"&amp;I887,"CPD_RESULT","avr")</f>
        <v>#REF!</v>
      </c>
      <c r="J902" s="51" t="e">
        <f>T1.role(B902&amp;"@"&amp;J887,"CPD_RESULT","avr")</f>
        <v>#REF!</v>
      </c>
      <c r="K902" s="9" t="e">
        <f>T1.RD_HALF(F887:J887,F902:J902)</f>
        <v>#VALUE!</v>
      </c>
      <c r="L902" s="49"/>
      <c r="M902" s="49"/>
      <c r="N902" s="49"/>
      <c r="O902" s="49"/>
      <c r="P902" s="49"/>
      <c r="Q902" s="49"/>
      <c r="R902" s="49"/>
      <c r="S902" s="49"/>
      <c r="T902" s="49"/>
      <c r="U902" s="49"/>
      <c r="V902" s="49"/>
      <c r="W902" s="49"/>
      <c r="X902" s="49"/>
      <c r="Y902" s="49"/>
    </row>
    <row r="903" spans="1:26" ht="11.25" hidden="1" customHeight="1">
      <c r="B903" s="142" t="s">
        <v>7</v>
      </c>
      <c r="C903" s="142"/>
      <c r="D903" s="143" t="str">
        <f t="shared" si="23"/>
        <v/>
      </c>
      <c r="E903" s="144"/>
      <c r="F903" s="51" t="e">
        <f>T1.role(B903&amp;"@"&amp;F887,"CPD_RESULT","avr")</f>
        <v>#REF!</v>
      </c>
      <c r="G903" s="51" t="e">
        <f>T1.role(B903&amp;"@"&amp;G887,"CPD_RESULT","avr")</f>
        <v>#REF!</v>
      </c>
      <c r="H903" s="51" t="e">
        <f>T1.role(B903&amp;"@"&amp;H887,"CPD_RESULT","avr")</f>
        <v>#REF!</v>
      </c>
      <c r="I903" s="51" t="e">
        <f>T1.role(B903&amp;"@"&amp;I887,"CPD_RESULT","avr")</f>
        <v>#REF!</v>
      </c>
      <c r="J903" s="51" t="e">
        <f>T1.role(B903&amp;"@"&amp;J887,"CPD_RESULT","avr")</f>
        <v>#REF!</v>
      </c>
      <c r="K903" s="9" t="e">
        <f>T1.RD_HALF(F887:J887,F903:J903)</f>
        <v>#VALUE!</v>
      </c>
      <c r="L903" s="49"/>
      <c r="M903" s="49"/>
      <c r="N903" s="49"/>
      <c r="O903" s="49"/>
      <c r="P903" s="49"/>
      <c r="Q903" s="49"/>
      <c r="R903" s="49"/>
      <c r="S903" s="49"/>
      <c r="T903" s="49"/>
      <c r="U903" s="49"/>
      <c r="V903" s="49"/>
      <c r="W903" s="49"/>
      <c r="X903" s="49"/>
      <c r="Y903" s="49"/>
    </row>
    <row r="904" spans="1:26" ht="11.25" customHeight="1">
      <c r="B904" s="23"/>
      <c r="C904" s="23"/>
      <c r="D904" s="23"/>
      <c r="E904" s="23"/>
      <c r="F904" s="23"/>
      <c r="G904" s="23"/>
      <c r="H904" s="23"/>
      <c r="I904" s="23"/>
      <c r="J904" s="23"/>
      <c r="K904" s="23"/>
      <c r="L904" s="23"/>
      <c r="M904" s="23"/>
      <c r="N904" s="23"/>
      <c r="O904" s="23"/>
      <c r="P904" s="23"/>
      <c r="Q904" s="23"/>
      <c r="R904" s="23"/>
      <c r="S904" s="23"/>
      <c r="T904" s="23"/>
      <c r="U904" s="23"/>
      <c r="V904" s="23"/>
      <c r="W904" s="23"/>
      <c r="X904" s="23"/>
      <c r="Y904" s="23"/>
      <c r="Z904" s="23"/>
    </row>
    <row r="905" spans="1:26" s="72" customFormat="1" ht="11.25" customHeight="1">
      <c r="A905" s="71" t="s">
        <v>2064</v>
      </c>
    </row>
    <row r="906" spans="1:26" ht="11.25" hidden="1" customHeight="1">
      <c r="A906" s="49"/>
      <c r="C906" s="49"/>
      <c r="D906" s="49"/>
      <c r="E906" s="49"/>
      <c r="F906" s="49"/>
      <c r="G906" s="49"/>
      <c r="H906" s="49"/>
      <c r="I906" s="49"/>
      <c r="K906" s="49"/>
      <c r="L906" s="49"/>
      <c r="M906" s="49"/>
      <c r="N906" s="49"/>
      <c r="O906" s="49"/>
      <c r="P906" s="49"/>
      <c r="Q906" s="49"/>
      <c r="R906" s="49"/>
      <c r="S906" s="49"/>
      <c r="T906" s="49"/>
      <c r="U906" s="49"/>
      <c r="V906" s="49"/>
      <c r="W906" s="49"/>
      <c r="X906" s="49"/>
      <c r="Y906" s="49"/>
      <c r="Z906" s="49"/>
    </row>
    <row r="907" spans="1:26" ht="11.25" hidden="1" customHeight="1">
      <c r="B907" s="142" t="s">
        <v>813</v>
      </c>
      <c r="C907" s="142"/>
      <c r="D907" s="143" t="s">
        <v>811</v>
      </c>
      <c r="E907" s="144"/>
      <c r="F907" s="2">
        <v>20</v>
      </c>
      <c r="G907" s="2">
        <v>6</v>
      </c>
      <c r="H907" s="2">
        <v>2</v>
      </c>
      <c r="I907" s="2">
        <v>0.6</v>
      </c>
      <c r="J907" s="2">
        <v>0.2</v>
      </c>
      <c r="K907" s="53" t="s">
        <v>799</v>
      </c>
      <c r="L907" s="49"/>
      <c r="M907" s="49"/>
      <c r="N907" s="49"/>
      <c r="O907" s="49"/>
      <c r="P907" s="49"/>
      <c r="Q907" s="49"/>
      <c r="R907" s="49"/>
      <c r="S907" s="49"/>
      <c r="T907" s="49"/>
      <c r="U907" s="49"/>
      <c r="V907" s="49"/>
      <c r="W907" s="49"/>
      <c r="X907" s="49"/>
      <c r="Y907" s="49"/>
    </row>
    <row r="908" spans="1:26" ht="11.25" hidden="1" customHeight="1">
      <c r="B908" s="142" t="s">
        <v>815</v>
      </c>
      <c r="C908" s="142"/>
      <c r="D908" s="143" t="str">
        <f t="shared" ref="D908:D923" si="24">T1.role(B908,"cpdid")</f>
        <v/>
      </c>
      <c r="E908" s="144"/>
      <c r="F908" s="51" t="e">
        <f>T1.role(B908&amp;"@"&amp;F907,"CPD_RESULT","avr")</f>
        <v>#REF!</v>
      </c>
      <c r="G908" s="51" t="e">
        <f>T1.role(B908&amp;"@"&amp;G907,"CPD_RESULT","avr")</f>
        <v>#REF!</v>
      </c>
      <c r="H908" s="51" t="e">
        <f>T1.role(B908&amp;"@"&amp;H907,"CPD_RESULT","avr")</f>
        <v>#REF!</v>
      </c>
      <c r="I908" s="51" t="e">
        <f>T1.role(B908&amp;"@"&amp;I907,"CPD_RESULT","avr")</f>
        <v>#REF!</v>
      </c>
      <c r="J908" s="51" t="e">
        <f>T1.role(B908&amp;"@"&amp;J907,"CPD_RESULT","avr")</f>
        <v>#REF!</v>
      </c>
      <c r="K908" s="53" t="e">
        <f>T1.RD_HALF(F907:J907,F908:J908)</f>
        <v>#VALUE!</v>
      </c>
      <c r="L908" s="49"/>
      <c r="M908" s="49"/>
      <c r="N908" s="49"/>
      <c r="O908" s="49"/>
      <c r="P908" s="49"/>
      <c r="Q908" s="49"/>
      <c r="R908" s="49"/>
      <c r="S908" s="49"/>
      <c r="T908" s="49"/>
      <c r="U908" s="49"/>
      <c r="V908" s="49"/>
      <c r="W908" s="49"/>
      <c r="X908" s="49"/>
      <c r="Y908" s="49"/>
    </row>
    <row r="909" spans="1:26" ht="11.25" hidden="1" customHeight="1">
      <c r="A909" s="49"/>
      <c r="B909" s="142" t="s">
        <v>821</v>
      </c>
      <c r="C909" s="142"/>
      <c r="D909" s="143" t="str">
        <f t="shared" si="24"/>
        <v/>
      </c>
      <c r="E909" s="144"/>
      <c r="F909" s="51" t="e">
        <f>T1.role(B909&amp;"@"&amp;F907,"CPD_RESULT","avr")</f>
        <v>#REF!</v>
      </c>
      <c r="G909" s="51" t="e">
        <f>T1.role(B909&amp;"@"&amp;G907,"CPD_RESULT","avr")</f>
        <v>#REF!</v>
      </c>
      <c r="H909" s="51" t="e">
        <f>T1.role(B909&amp;"@"&amp;H907,"CPD_RESULT","avr")</f>
        <v>#REF!</v>
      </c>
      <c r="I909" s="51" t="e">
        <f>T1.role(B909&amp;"@"&amp;I907,"CPD_RESULT","avr")</f>
        <v>#REF!</v>
      </c>
      <c r="J909" s="51" t="e">
        <f>T1.role(B909&amp;"@"&amp;J907,"CPD_RESULT","avr")</f>
        <v>#REF!</v>
      </c>
      <c r="K909" s="74" t="e">
        <f>T1.RD_HALF(F907:J907,F909:J909)</f>
        <v>#VALUE!</v>
      </c>
      <c r="L909" s="49"/>
      <c r="M909" s="49"/>
      <c r="N909" s="49"/>
      <c r="O909" s="49"/>
      <c r="P909" s="49"/>
      <c r="Q909" s="49"/>
      <c r="R909" s="49"/>
      <c r="S909" s="49"/>
      <c r="T909" s="49"/>
      <c r="U909" s="49"/>
      <c r="V909" s="49"/>
      <c r="W909" s="49"/>
      <c r="X909" s="49"/>
      <c r="Y909" s="49"/>
    </row>
    <row r="910" spans="1:26" ht="11.25" hidden="1" customHeight="1">
      <c r="B910" s="142" t="s">
        <v>434</v>
      </c>
      <c r="C910" s="142"/>
      <c r="D910" s="143" t="str">
        <f t="shared" si="24"/>
        <v/>
      </c>
      <c r="E910" s="144"/>
      <c r="F910" s="51" t="e">
        <f>T1.role(B910&amp;"@"&amp;F907,"CPD_RESULT","avr")</f>
        <v>#REF!</v>
      </c>
      <c r="G910" s="51" t="e">
        <f>T1.role(B910&amp;"@"&amp;G907,"CPD_RESULT","avr")</f>
        <v>#REF!</v>
      </c>
      <c r="H910" s="51" t="e">
        <f>T1.role(B910&amp;"@"&amp;H907,"CPD_RESULT","avr")</f>
        <v>#REF!</v>
      </c>
      <c r="I910" s="51" t="e">
        <f>T1.role(B910&amp;"@"&amp;I907,"CPD_RESULT","avr")</f>
        <v>#REF!</v>
      </c>
      <c r="J910" s="51" t="e">
        <f>T1.role(B910&amp;"@"&amp;J907,"CPD_RESULT","avr")</f>
        <v>#REF!</v>
      </c>
      <c r="K910" s="74" t="e">
        <f>T1.RD_HALF(F907:J907,F910:J910)</f>
        <v>#VALUE!</v>
      </c>
      <c r="L910" s="49"/>
      <c r="M910" s="49"/>
      <c r="N910" s="49"/>
      <c r="O910" s="49"/>
      <c r="P910" s="49"/>
      <c r="Q910" s="49"/>
      <c r="R910" s="49"/>
      <c r="S910" s="49"/>
      <c r="T910" s="49"/>
      <c r="U910" s="49"/>
      <c r="V910" s="49"/>
      <c r="W910" s="49"/>
      <c r="X910" s="49"/>
      <c r="Y910" s="49"/>
    </row>
    <row r="911" spans="1:26" ht="11.25" hidden="1" customHeight="1">
      <c r="B911" s="142" t="s">
        <v>435</v>
      </c>
      <c r="C911" s="142"/>
      <c r="D911" s="143" t="str">
        <f t="shared" si="24"/>
        <v/>
      </c>
      <c r="E911" s="144"/>
      <c r="F911" s="51" t="e">
        <f>T1.role(B911&amp;"@"&amp;F907,"CPD_RESULT","avr")</f>
        <v>#REF!</v>
      </c>
      <c r="G911" s="51" t="e">
        <f>T1.role(B911&amp;"@"&amp;G907,"CPD_RESULT","avr")</f>
        <v>#REF!</v>
      </c>
      <c r="H911" s="51" t="e">
        <f>T1.role(B911&amp;"@"&amp;H907,"CPD_RESULT","avr")</f>
        <v>#REF!</v>
      </c>
      <c r="I911" s="51" t="e">
        <f>T1.role(B911&amp;"@"&amp;I907,"CPD_RESULT","avr")</f>
        <v>#REF!</v>
      </c>
      <c r="J911" s="51" t="e">
        <f>T1.role(B911&amp;"@"&amp;J907,"CPD_RESULT","avr")</f>
        <v>#REF!</v>
      </c>
      <c r="K911" s="74" t="e">
        <f>T1.RD_HALF(F907:J907,F911:J911)</f>
        <v>#VALUE!</v>
      </c>
      <c r="L911" s="49"/>
      <c r="M911" s="49"/>
      <c r="N911" s="49"/>
      <c r="O911" s="49"/>
      <c r="P911" s="49"/>
      <c r="Q911" s="49"/>
      <c r="R911" s="49"/>
      <c r="S911" s="49"/>
      <c r="T911" s="49"/>
      <c r="U911" s="49"/>
      <c r="V911" s="49"/>
      <c r="W911" s="49"/>
      <c r="X911" s="49"/>
      <c r="Y911" s="49"/>
    </row>
    <row r="912" spans="1:26" ht="11.25" hidden="1" customHeight="1">
      <c r="B912" s="142" t="s">
        <v>436</v>
      </c>
      <c r="C912" s="142"/>
      <c r="D912" s="143" t="str">
        <f t="shared" si="24"/>
        <v/>
      </c>
      <c r="E912" s="144"/>
      <c r="F912" s="51" t="e">
        <f>T1.role(B912&amp;"@"&amp;F907,"CPD_RESULT","avr")</f>
        <v>#REF!</v>
      </c>
      <c r="G912" s="51" t="e">
        <f>T1.role(B912&amp;"@"&amp;G907,"CPD_RESULT","avr")</f>
        <v>#REF!</v>
      </c>
      <c r="H912" s="51" t="e">
        <f>T1.role(B912&amp;"@"&amp;H907,"CPD_RESULT","avr")</f>
        <v>#REF!</v>
      </c>
      <c r="I912" s="51" t="e">
        <f>T1.role(B912&amp;"@"&amp;I907,"CPD_RESULT","avr")</f>
        <v>#REF!</v>
      </c>
      <c r="J912" s="51" t="e">
        <f>T1.role(B912&amp;"@"&amp;J907,"CPD_RESULT","avr")</f>
        <v>#REF!</v>
      </c>
      <c r="K912" s="74" t="e">
        <f>T1.RD_HALF(F907:J907,F912:J912)</f>
        <v>#VALUE!</v>
      </c>
      <c r="L912" s="49"/>
      <c r="M912" s="49"/>
      <c r="N912" s="49"/>
      <c r="O912" s="49"/>
      <c r="P912" s="49"/>
      <c r="Q912" s="49"/>
      <c r="R912" s="49"/>
      <c r="S912" s="49"/>
      <c r="T912" s="49"/>
      <c r="U912" s="49"/>
      <c r="V912" s="49"/>
      <c r="W912" s="49"/>
      <c r="X912" s="49"/>
      <c r="Y912" s="49"/>
    </row>
    <row r="913" spans="1:25" ht="11.25" hidden="1" customHeight="1">
      <c r="B913" s="142" t="s">
        <v>437</v>
      </c>
      <c r="C913" s="142"/>
      <c r="D913" s="143" t="str">
        <f t="shared" si="24"/>
        <v/>
      </c>
      <c r="E913" s="144"/>
      <c r="F913" s="51" t="e">
        <f>T1.role(B913&amp;"@"&amp;F907,"CPD_RESULT","avr")</f>
        <v>#REF!</v>
      </c>
      <c r="G913" s="51" t="e">
        <f>T1.role(B913&amp;"@"&amp;G907,"CPD_RESULT","avr")</f>
        <v>#REF!</v>
      </c>
      <c r="H913" s="51" t="e">
        <f>T1.role(B913&amp;"@"&amp;H907,"CPD_RESULT","avr")</f>
        <v>#REF!</v>
      </c>
      <c r="I913" s="51" t="e">
        <f>T1.role(B913&amp;"@"&amp;I907,"CPD_RESULT","avr")</f>
        <v>#REF!</v>
      </c>
      <c r="J913" s="51" t="e">
        <f>T1.role(B913&amp;"@"&amp;J907,"CPD_RESULT","avr")</f>
        <v>#REF!</v>
      </c>
      <c r="K913" s="74" t="e">
        <f>T1.RD_HALF(F907:J907,F913:J913)</f>
        <v>#VALUE!</v>
      </c>
      <c r="L913" s="49"/>
      <c r="M913" s="49"/>
      <c r="N913" s="49"/>
      <c r="O913" s="49"/>
      <c r="P913" s="49"/>
      <c r="Q913" s="49"/>
      <c r="R913" s="49"/>
      <c r="S913" s="49"/>
      <c r="T913" s="49"/>
      <c r="U913" s="49"/>
      <c r="V913" s="49"/>
      <c r="W913" s="49"/>
      <c r="X913" s="49"/>
      <c r="Y913" s="49"/>
    </row>
    <row r="914" spans="1:25" ht="11.25" hidden="1" customHeight="1">
      <c r="B914" s="142" t="s">
        <v>438</v>
      </c>
      <c r="C914" s="142"/>
      <c r="D914" s="143" t="str">
        <f t="shared" si="24"/>
        <v/>
      </c>
      <c r="E914" s="144"/>
      <c r="F914" s="51" t="e">
        <f>T1.role(B914&amp;"@"&amp;F907,"CPD_RESULT","avr")</f>
        <v>#REF!</v>
      </c>
      <c r="G914" s="51" t="e">
        <f>T1.role(B914&amp;"@"&amp;G907,"CPD_RESULT","avr")</f>
        <v>#REF!</v>
      </c>
      <c r="H914" s="51" t="e">
        <f>T1.role(B914&amp;"@"&amp;H907,"CPD_RESULT","avr")</f>
        <v>#REF!</v>
      </c>
      <c r="I914" s="51" t="e">
        <f>T1.role(B914&amp;"@"&amp;I907,"CPD_RESULT","avr")</f>
        <v>#REF!</v>
      </c>
      <c r="J914" s="51" t="e">
        <f>T1.role(B914&amp;"@"&amp;J907,"CPD_RESULT","avr")</f>
        <v>#REF!</v>
      </c>
      <c r="K914" s="74" t="e">
        <f>T1.RD_HALF(F907:J907,F914:J914)</f>
        <v>#VALUE!</v>
      </c>
      <c r="L914" s="49"/>
      <c r="M914" s="49"/>
      <c r="N914" s="49"/>
      <c r="O914" s="49"/>
      <c r="P914" s="49"/>
      <c r="Q914" s="49"/>
      <c r="R914" s="49"/>
      <c r="S914" s="49"/>
      <c r="T914" s="49"/>
      <c r="U914" s="49"/>
      <c r="V914" s="49"/>
      <c r="W914" s="49"/>
      <c r="X914" s="49"/>
      <c r="Y914" s="49"/>
    </row>
    <row r="915" spans="1:25" ht="11.25" hidden="1" customHeight="1">
      <c r="B915" s="142" t="s">
        <v>439</v>
      </c>
      <c r="C915" s="142"/>
      <c r="D915" s="143" t="str">
        <f t="shared" si="24"/>
        <v/>
      </c>
      <c r="E915" s="144"/>
      <c r="F915" s="51" t="e">
        <f>T1.role(B915&amp;"@"&amp;F907,"CPD_RESULT","avr")</f>
        <v>#REF!</v>
      </c>
      <c r="G915" s="51" t="e">
        <f>T1.role(B915&amp;"@"&amp;G907,"CPD_RESULT","avr")</f>
        <v>#REF!</v>
      </c>
      <c r="H915" s="51" t="e">
        <f>T1.role(B915&amp;"@"&amp;H907,"CPD_RESULT","avr")</f>
        <v>#REF!</v>
      </c>
      <c r="I915" s="51" t="e">
        <f>T1.role(B915&amp;"@"&amp;I907,"CPD_RESULT","avr")</f>
        <v>#REF!</v>
      </c>
      <c r="J915" s="51" t="e">
        <f>T1.role(B915&amp;"@"&amp;J907,"CPD_RESULT","avr")</f>
        <v>#REF!</v>
      </c>
      <c r="K915" s="74" t="e">
        <f>T1.RD_HALF(F907:J907,F915:J915)</f>
        <v>#VALUE!</v>
      </c>
      <c r="L915" s="49"/>
      <c r="M915" s="49"/>
      <c r="N915" s="49"/>
      <c r="O915" s="49"/>
      <c r="P915" s="49"/>
      <c r="Q915" s="49"/>
      <c r="R915" s="49"/>
      <c r="S915" s="49"/>
      <c r="T915" s="49"/>
      <c r="U915" s="49"/>
      <c r="V915" s="49"/>
      <c r="W915" s="49"/>
      <c r="X915" s="49"/>
      <c r="Y915" s="49"/>
    </row>
    <row r="916" spans="1:25" ht="11.25" hidden="1" customHeight="1">
      <c r="B916" s="142" t="s">
        <v>440</v>
      </c>
      <c r="C916" s="142"/>
      <c r="D916" s="143" t="str">
        <f t="shared" si="24"/>
        <v/>
      </c>
      <c r="E916" s="144"/>
      <c r="F916" s="51" t="e">
        <f>T1.role(B916&amp;"@"&amp;F907,"CPD_RESULT","avr")</f>
        <v>#REF!</v>
      </c>
      <c r="G916" s="51" t="e">
        <f>T1.role(B916&amp;"@"&amp;G907,"CPD_RESULT","avr")</f>
        <v>#REF!</v>
      </c>
      <c r="H916" s="51" t="e">
        <f>T1.role(B916&amp;"@"&amp;H907,"CPD_RESULT","avr")</f>
        <v>#REF!</v>
      </c>
      <c r="I916" s="51" t="e">
        <f>T1.role(B916&amp;"@"&amp;I907,"CPD_RESULT","avr")</f>
        <v>#REF!</v>
      </c>
      <c r="J916" s="51" t="e">
        <f>T1.role(B916&amp;"@"&amp;J907,"CPD_RESULT","avr")</f>
        <v>#REF!</v>
      </c>
      <c r="K916" s="74" t="e">
        <f>T1.RD_HALF(F907:J907,F916:J916)</f>
        <v>#VALUE!</v>
      </c>
      <c r="L916" s="49"/>
      <c r="M916" s="49"/>
      <c r="N916" s="49"/>
      <c r="O916" s="49"/>
      <c r="P916" s="49"/>
      <c r="Q916" s="49"/>
      <c r="R916" s="49"/>
      <c r="S916" s="49"/>
      <c r="T916" s="49"/>
      <c r="U916" s="49"/>
      <c r="V916" s="49"/>
      <c r="W916" s="49"/>
      <c r="X916" s="49"/>
      <c r="Y916" s="49"/>
    </row>
    <row r="917" spans="1:25" ht="11.25" hidden="1" customHeight="1">
      <c r="B917" s="142" t="s">
        <v>2</v>
      </c>
      <c r="C917" s="142"/>
      <c r="D917" s="143" t="str">
        <f t="shared" si="24"/>
        <v/>
      </c>
      <c r="E917" s="144"/>
      <c r="F917" s="51" t="e">
        <f>T1.role(B917&amp;"@"&amp;F907,"CPD_RESULT","avr")</f>
        <v>#REF!</v>
      </c>
      <c r="G917" s="51" t="e">
        <f>T1.role(B917&amp;"@"&amp;G907,"CPD_RESULT","avr")</f>
        <v>#REF!</v>
      </c>
      <c r="H917" s="51" t="e">
        <f>T1.role(B917&amp;"@"&amp;H907,"CPD_RESULT","avr")</f>
        <v>#REF!</v>
      </c>
      <c r="I917" s="51" t="e">
        <f>T1.role(B917&amp;"@"&amp;I907,"CPD_RESULT","avr")</f>
        <v>#REF!</v>
      </c>
      <c r="J917" s="51" t="e">
        <f>T1.role(B917&amp;"@"&amp;J907,"CPD_RESULT","avr")</f>
        <v>#REF!</v>
      </c>
      <c r="K917" s="74" t="e">
        <f>T1.RD_HALF(F907:J907,F917:J917)</f>
        <v>#VALUE!</v>
      </c>
      <c r="L917" s="49"/>
      <c r="M917" s="49"/>
      <c r="N917" s="49"/>
      <c r="O917" s="49"/>
      <c r="P917" s="49"/>
      <c r="Q917" s="49"/>
      <c r="R917" s="49"/>
      <c r="S917" s="49"/>
      <c r="T917" s="49"/>
      <c r="U917" s="49"/>
      <c r="V917" s="49"/>
      <c r="W917" s="49"/>
      <c r="X917" s="49"/>
      <c r="Y917" s="49"/>
    </row>
    <row r="918" spans="1:25" ht="11.25" hidden="1" customHeight="1">
      <c r="B918" s="142" t="s">
        <v>4</v>
      </c>
      <c r="C918" s="142"/>
      <c r="D918" s="143" t="str">
        <f t="shared" si="24"/>
        <v/>
      </c>
      <c r="E918" s="144"/>
      <c r="F918" s="51" t="e">
        <f>T1.role(B918&amp;"@"&amp;F907,"CPD_RESULT","avr")</f>
        <v>#REF!</v>
      </c>
      <c r="G918" s="51" t="e">
        <f>T1.role(B918&amp;"@"&amp;G907,"CPD_RESULT","avr")</f>
        <v>#REF!</v>
      </c>
      <c r="H918" s="51" t="e">
        <f>T1.role(B918&amp;"@"&amp;H907,"CPD_RESULT","avr")</f>
        <v>#REF!</v>
      </c>
      <c r="I918" s="51" t="e">
        <f>T1.role(B918&amp;"@"&amp;I907,"CPD_RESULT","avr")</f>
        <v>#REF!</v>
      </c>
      <c r="J918" s="51" t="e">
        <f>T1.role(B918&amp;"@"&amp;J907,"CPD_RESULT","avr")</f>
        <v>#REF!</v>
      </c>
      <c r="K918" s="74" t="e">
        <f>T1.RD_HALF(F907:J907,F918:J918)</f>
        <v>#VALUE!</v>
      </c>
      <c r="L918" s="49"/>
      <c r="M918" s="49"/>
      <c r="N918" s="49"/>
      <c r="O918" s="49"/>
      <c r="P918" s="49"/>
      <c r="Q918" s="49"/>
      <c r="R918" s="49"/>
      <c r="S918" s="49"/>
      <c r="T918" s="49"/>
      <c r="U918" s="49"/>
      <c r="V918" s="49"/>
      <c r="W918" s="49"/>
      <c r="X918" s="49"/>
      <c r="Y918" s="49"/>
    </row>
    <row r="919" spans="1:25" ht="11.25" hidden="1" customHeight="1">
      <c r="B919" s="142" t="s">
        <v>6</v>
      </c>
      <c r="C919" s="142"/>
      <c r="D919" s="143" t="str">
        <f t="shared" si="24"/>
        <v/>
      </c>
      <c r="E919" s="144"/>
      <c r="F919" s="51" t="e">
        <f>T1.role(B919&amp;"@"&amp;F907,"CPD_RESULT","avr")</f>
        <v>#REF!</v>
      </c>
      <c r="G919" s="51" t="e">
        <f>T1.role(B919&amp;"@"&amp;G907,"CPD_RESULT","avr")</f>
        <v>#REF!</v>
      </c>
      <c r="H919" s="51" t="e">
        <f>T1.role(B919&amp;"@"&amp;H907,"CPD_RESULT","avr")</f>
        <v>#REF!</v>
      </c>
      <c r="I919" s="51" t="e">
        <f>T1.role(B919&amp;"@"&amp;I907,"CPD_RESULT","avr")</f>
        <v>#REF!</v>
      </c>
      <c r="J919" s="51" t="e">
        <f>T1.role(B919&amp;"@"&amp;J907,"CPD_RESULT","avr")</f>
        <v>#REF!</v>
      </c>
      <c r="K919" s="74" t="e">
        <f>T1.RD_HALF(F907:J907,F919:J919)</f>
        <v>#VALUE!</v>
      </c>
      <c r="L919" s="49"/>
      <c r="M919" s="49"/>
      <c r="N919" s="49"/>
      <c r="O919" s="49"/>
      <c r="P919" s="49"/>
      <c r="Q919" s="49"/>
      <c r="R919" s="49"/>
      <c r="S919" s="49"/>
      <c r="T919" s="49"/>
      <c r="U919" s="49"/>
      <c r="V919" s="49"/>
      <c r="W919" s="49"/>
      <c r="X919" s="49"/>
      <c r="Y919" s="49"/>
    </row>
    <row r="920" spans="1:25" ht="11.25" hidden="1" customHeight="1">
      <c r="B920" s="142" t="s">
        <v>1</v>
      </c>
      <c r="C920" s="142"/>
      <c r="D920" s="143" t="str">
        <f t="shared" si="24"/>
        <v/>
      </c>
      <c r="E920" s="144"/>
      <c r="F920" s="51" t="e">
        <f>T1.role(B920&amp;"@"&amp;F907,"CPD_RESULT","avr")</f>
        <v>#REF!</v>
      </c>
      <c r="G920" s="51" t="e">
        <f>T1.role(B920&amp;"@"&amp;G907,"CPD_RESULT","avr")</f>
        <v>#REF!</v>
      </c>
      <c r="H920" s="51" t="e">
        <f>T1.role(B920&amp;"@"&amp;H907,"CPD_RESULT","avr")</f>
        <v>#REF!</v>
      </c>
      <c r="I920" s="51" t="e">
        <f>T1.role(B920&amp;"@"&amp;I907,"CPD_RESULT","avr")</f>
        <v>#REF!</v>
      </c>
      <c r="J920" s="51" t="e">
        <f>T1.role(B920&amp;"@"&amp;J907,"CPD_RESULT","avr")</f>
        <v>#REF!</v>
      </c>
      <c r="K920" s="74" t="e">
        <f>T1.RD_HALF(F907:J907,F920:J920)</f>
        <v>#VALUE!</v>
      </c>
      <c r="L920" s="49"/>
      <c r="M920" s="49"/>
      <c r="N920" s="49"/>
      <c r="O920" s="49"/>
      <c r="P920" s="49"/>
      <c r="Q920" s="49"/>
      <c r="R920" s="49"/>
      <c r="S920" s="49"/>
      <c r="T920" s="49"/>
      <c r="U920" s="49"/>
      <c r="V920" s="49"/>
      <c r="W920" s="49"/>
      <c r="X920" s="49"/>
      <c r="Y920" s="49"/>
    </row>
    <row r="921" spans="1:25" ht="11.25" hidden="1" customHeight="1">
      <c r="B921" s="142" t="s">
        <v>3</v>
      </c>
      <c r="C921" s="142"/>
      <c r="D921" s="143" t="str">
        <f t="shared" si="24"/>
        <v/>
      </c>
      <c r="E921" s="144"/>
      <c r="F921" s="51" t="e">
        <f>T1.role(B921&amp;"@"&amp;F907,"CPD_RESULT","avr")</f>
        <v>#REF!</v>
      </c>
      <c r="G921" s="51" t="e">
        <f>T1.role(B921&amp;"@"&amp;G907,"CPD_RESULT","avr")</f>
        <v>#REF!</v>
      </c>
      <c r="H921" s="51" t="e">
        <f>T1.role(B921&amp;"@"&amp;H907,"CPD_RESULT","avr")</f>
        <v>#REF!</v>
      </c>
      <c r="I921" s="51" t="e">
        <f>T1.role(B921&amp;"@"&amp;I907,"CPD_RESULT","avr")</f>
        <v>#REF!</v>
      </c>
      <c r="J921" s="51" t="e">
        <f>T1.role(B921&amp;"@"&amp;J907,"CPD_RESULT","avr")</f>
        <v>#REF!</v>
      </c>
      <c r="K921" s="74" t="e">
        <f>T1.RD_HALF(F907:J907,F921:J921)</f>
        <v>#VALUE!</v>
      </c>
      <c r="L921" s="49"/>
      <c r="M921" s="49"/>
      <c r="N921" s="49"/>
      <c r="O921" s="49"/>
      <c r="P921" s="49"/>
      <c r="Q921" s="49"/>
      <c r="R921" s="49"/>
      <c r="S921" s="49"/>
      <c r="T921" s="49"/>
      <c r="U921" s="49"/>
      <c r="V921" s="49"/>
      <c r="W921" s="49"/>
      <c r="X921" s="49"/>
      <c r="Y921" s="49"/>
    </row>
    <row r="922" spans="1:25" ht="11.25" hidden="1" customHeight="1">
      <c r="B922" s="142" t="s">
        <v>5</v>
      </c>
      <c r="C922" s="142"/>
      <c r="D922" s="143" t="str">
        <f t="shared" si="24"/>
        <v/>
      </c>
      <c r="E922" s="144"/>
      <c r="F922" s="51" t="e">
        <f>T1.role(B922&amp;"@"&amp;F907,"CPD_RESULT","avr")</f>
        <v>#REF!</v>
      </c>
      <c r="G922" s="51" t="e">
        <f>T1.role(B922&amp;"@"&amp;G907,"CPD_RESULT","avr")</f>
        <v>#REF!</v>
      </c>
      <c r="H922" s="51" t="e">
        <f>T1.role(B922&amp;"@"&amp;H907,"CPD_RESULT","avr")</f>
        <v>#REF!</v>
      </c>
      <c r="I922" s="51" t="e">
        <f>T1.role(B922&amp;"@"&amp;I907,"CPD_RESULT","avr")</f>
        <v>#REF!</v>
      </c>
      <c r="J922" s="51" t="e">
        <f>T1.role(B922&amp;"@"&amp;J907,"CPD_RESULT","avr")</f>
        <v>#REF!</v>
      </c>
      <c r="K922" s="74" t="e">
        <f>T1.RD_HALF(F907:J907,F922:J922)</f>
        <v>#VALUE!</v>
      </c>
      <c r="L922" s="49"/>
      <c r="M922" s="49"/>
      <c r="N922" s="49"/>
      <c r="O922" s="49"/>
      <c r="P922" s="49"/>
      <c r="Q922" s="49"/>
      <c r="R922" s="49"/>
      <c r="S922" s="49"/>
      <c r="T922" s="49"/>
      <c r="U922" s="49"/>
      <c r="V922" s="49"/>
      <c r="W922" s="49"/>
      <c r="X922" s="49"/>
      <c r="Y922" s="49"/>
    </row>
    <row r="923" spans="1:25" ht="11.25" hidden="1" customHeight="1">
      <c r="B923" s="142" t="s">
        <v>7</v>
      </c>
      <c r="C923" s="142"/>
      <c r="D923" s="143" t="str">
        <f t="shared" si="24"/>
        <v/>
      </c>
      <c r="E923" s="144"/>
      <c r="F923" s="51" t="e">
        <f>T1.role(B923&amp;"@"&amp;F907,"CPD_RESULT","avr")</f>
        <v>#REF!</v>
      </c>
      <c r="G923" s="51" t="e">
        <f>T1.role(B923&amp;"@"&amp;G907,"CPD_RESULT","avr")</f>
        <v>#REF!</v>
      </c>
      <c r="H923" s="51" t="e">
        <f>T1.role(B923&amp;"@"&amp;H907,"CPD_RESULT","avr")</f>
        <v>#REF!</v>
      </c>
      <c r="I923" s="51" t="e">
        <f>T1.role(B923&amp;"@"&amp;I907,"CPD_RESULT","avr")</f>
        <v>#REF!</v>
      </c>
      <c r="J923" s="51" t="e">
        <f>T1.role(B923&amp;"@"&amp;J907,"CPD_RESULT","avr")</f>
        <v>#REF!</v>
      </c>
      <c r="K923" s="74" t="e">
        <f>T1.RD_HALF(F907:J907,F923:J923)</f>
        <v>#VALUE!</v>
      </c>
      <c r="L923" s="49"/>
      <c r="M923" s="49"/>
      <c r="N923" s="49"/>
      <c r="O923" s="49"/>
      <c r="P923" s="49"/>
      <c r="Q923" s="49"/>
      <c r="R923" s="49"/>
      <c r="S923" s="49"/>
      <c r="T923" s="49"/>
      <c r="U923" s="49"/>
      <c r="V923" s="49"/>
      <c r="W923" s="49"/>
      <c r="X923" s="49"/>
      <c r="Y923" s="49"/>
    </row>
    <row r="924" spans="1:25" ht="11.25" hidden="1" customHeight="1">
      <c r="B924" s="142" t="s">
        <v>819</v>
      </c>
      <c r="C924" s="142"/>
      <c r="D924" s="143" t="str">
        <f t="shared" ref="D924:D955" si="25">T1.role(B924,"cpdid")</f>
        <v/>
      </c>
      <c r="E924" s="144"/>
      <c r="F924" s="51" t="e">
        <f>T1.role(B924&amp;"@"&amp;F907,"CPD_RESULT","avr")</f>
        <v>#REF!</v>
      </c>
      <c r="G924" s="51" t="e">
        <f>T1.role(B924&amp;"@"&amp;G907,"CPD_RESULT","avr")</f>
        <v>#REF!</v>
      </c>
      <c r="H924" s="51" t="e">
        <f>T1.role(B924&amp;"@"&amp;H907,"CPD_RESULT","avr")</f>
        <v>#REF!</v>
      </c>
      <c r="I924" s="51" t="e">
        <f>T1.role(B924&amp;"@"&amp;I907,"CPD_RESULT","avr")</f>
        <v>#REF!</v>
      </c>
      <c r="J924" s="51" t="e">
        <f>T1.role(B924&amp;"@"&amp;J907,"CPD_RESULT","avr")</f>
        <v>#REF!</v>
      </c>
      <c r="K924" s="74" t="e">
        <f>T1.RD_HALF(F907:J907,F924:J924)</f>
        <v>#VALUE!</v>
      </c>
      <c r="L924" s="49"/>
      <c r="M924" s="49"/>
      <c r="N924" s="49"/>
      <c r="O924" s="49"/>
      <c r="P924" s="49"/>
      <c r="Q924" s="49"/>
      <c r="R924" s="49"/>
      <c r="S924" s="49"/>
      <c r="T924" s="49"/>
      <c r="U924" s="49"/>
      <c r="V924" s="49"/>
      <c r="W924" s="49"/>
      <c r="X924" s="49"/>
      <c r="Y924" s="49"/>
    </row>
    <row r="925" spans="1:25" ht="11.25" hidden="1" customHeight="1">
      <c r="A925" s="49"/>
      <c r="B925" s="142" t="s">
        <v>820</v>
      </c>
      <c r="C925" s="142"/>
      <c r="D925" s="143" t="str">
        <f t="shared" si="25"/>
        <v/>
      </c>
      <c r="E925" s="144"/>
      <c r="F925" s="51" t="e">
        <f>T1.role(B925&amp;"@"&amp;F907,"CPD_RESULT","avr")</f>
        <v>#REF!</v>
      </c>
      <c r="G925" s="51" t="e">
        <f>T1.role(B925&amp;"@"&amp;G907,"CPD_RESULT","avr")</f>
        <v>#REF!</v>
      </c>
      <c r="H925" s="51" t="e">
        <f>T1.role(B925&amp;"@"&amp;H907,"CPD_RESULT","avr")</f>
        <v>#REF!</v>
      </c>
      <c r="I925" s="51" t="e">
        <f>T1.role(B925&amp;"@"&amp;I907,"CPD_RESULT","avr")</f>
        <v>#REF!</v>
      </c>
      <c r="J925" s="51" t="e">
        <f>T1.role(B925&amp;"@"&amp;J907,"CPD_RESULT","avr")</f>
        <v>#REF!</v>
      </c>
      <c r="K925" s="74" t="e">
        <f>T1.RD_HALF(F907:J907,F925:J925)</f>
        <v>#VALUE!</v>
      </c>
      <c r="L925" s="49"/>
      <c r="M925" s="49"/>
      <c r="N925" s="49"/>
      <c r="O925" s="49"/>
      <c r="P925" s="49"/>
      <c r="Q925" s="49"/>
      <c r="R925" s="49"/>
      <c r="S925" s="49"/>
      <c r="T925" s="49"/>
      <c r="U925" s="49"/>
      <c r="V925" s="49"/>
      <c r="W925" s="49"/>
      <c r="X925" s="49"/>
      <c r="Y925" s="49"/>
    </row>
    <row r="926" spans="1:25" ht="11.25" hidden="1" customHeight="1">
      <c r="B926" s="142" t="s">
        <v>478</v>
      </c>
      <c r="C926" s="142"/>
      <c r="D926" s="143" t="str">
        <f t="shared" si="25"/>
        <v/>
      </c>
      <c r="E926" s="144"/>
      <c r="F926" s="51" t="e">
        <f>T1.role(B926&amp;"@"&amp;F907,"CPD_RESULT","avr")</f>
        <v>#REF!</v>
      </c>
      <c r="G926" s="51" t="e">
        <f>T1.role(B926&amp;"@"&amp;G907,"CPD_RESULT","avr")</f>
        <v>#REF!</v>
      </c>
      <c r="H926" s="51" t="e">
        <f>T1.role(B926&amp;"@"&amp;H907,"CPD_RESULT","avr")</f>
        <v>#REF!</v>
      </c>
      <c r="I926" s="51" t="e">
        <f>T1.role(B926&amp;"@"&amp;I907,"CPD_RESULT","avr")</f>
        <v>#REF!</v>
      </c>
      <c r="J926" s="51" t="e">
        <f>T1.role(B926&amp;"@"&amp;J907,"CPD_RESULT","avr")</f>
        <v>#REF!</v>
      </c>
      <c r="K926" s="74" t="e">
        <f>T1.RD_HALF(F907:J907,F926:J926)</f>
        <v>#VALUE!</v>
      </c>
      <c r="L926" s="49"/>
      <c r="M926" s="49"/>
      <c r="N926" s="49"/>
      <c r="O926" s="49"/>
      <c r="P926" s="49"/>
      <c r="Q926" s="49"/>
      <c r="R926" s="49"/>
      <c r="S926" s="49"/>
      <c r="T926" s="49"/>
      <c r="U926" s="49"/>
      <c r="V926" s="49"/>
      <c r="W926" s="49"/>
      <c r="X926" s="49"/>
      <c r="Y926" s="49"/>
    </row>
    <row r="927" spans="1:25" ht="11.25" hidden="1" customHeight="1">
      <c r="B927" s="142" t="s">
        <v>497</v>
      </c>
      <c r="C927" s="142"/>
      <c r="D927" s="143" t="str">
        <f t="shared" si="25"/>
        <v/>
      </c>
      <c r="E927" s="144"/>
      <c r="F927" s="51" t="e">
        <f>T1.role(B927&amp;"@"&amp;F907,"CPD_RESULT","avr")</f>
        <v>#REF!</v>
      </c>
      <c r="G927" s="51" t="e">
        <f>T1.role(B927&amp;"@"&amp;G907,"CPD_RESULT","avr")</f>
        <v>#REF!</v>
      </c>
      <c r="H927" s="51" t="e">
        <f>T1.role(B927&amp;"@"&amp;H907,"CPD_RESULT","avr")</f>
        <v>#REF!</v>
      </c>
      <c r="I927" s="51" t="e">
        <f>T1.role(B927&amp;"@"&amp;I907,"CPD_RESULT","avr")</f>
        <v>#REF!</v>
      </c>
      <c r="J927" s="51" t="e">
        <f>T1.role(B927&amp;"@"&amp;J907,"CPD_RESULT","avr")</f>
        <v>#REF!</v>
      </c>
      <c r="K927" s="74" t="e">
        <f>T1.RD_HALF(F907:J907,F927:J927)</f>
        <v>#VALUE!</v>
      </c>
      <c r="L927" s="49"/>
      <c r="M927" s="49"/>
      <c r="N927" s="49"/>
      <c r="O927" s="49"/>
      <c r="P927" s="49"/>
      <c r="Q927" s="49"/>
      <c r="R927" s="49"/>
      <c r="S927" s="49"/>
      <c r="T927" s="49"/>
      <c r="U927" s="49"/>
      <c r="V927" s="49"/>
      <c r="W927" s="49"/>
      <c r="X927" s="49"/>
      <c r="Y927" s="49"/>
    </row>
    <row r="928" spans="1:25" ht="11.25" hidden="1" customHeight="1">
      <c r="B928" s="142" t="s">
        <v>516</v>
      </c>
      <c r="C928" s="142"/>
      <c r="D928" s="143" t="str">
        <f t="shared" si="25"/>
        <v/>
      </c>
      <c r="E928" s="144"/>
      <c r="F928" s="51" t="e">
        <f>T1.role(B928&amp;"@"&amp;F907,"CPD_RESULT","avr")</f>
        <v>#REF!</v>
      </c>
      <c r="G928" s="51" t="e">
        <f>T1.role(B928&amp;"@"&amp;G907,"CPD_RESULT","avr")</f>
        <v>#REF!</v>
      </c>
      <c r="H928" s="51" t="e">
        <f>T1.role(B928&amp;"@"&amp;H907,"CPD_RESULT","avr")</f>
        <v>#REF!</v>
      </c>
      <c r="I928" s="51" t="e">
        <f>T1.role(B928&amp;"@"&amp;I907,"CPD_RESULT","avr")</f>
        <v>#REF!</v>
      </c>
      <c r="J928" s="51" t="e">
        <f>T1.role(B928&amp;"@"&amp;J907,"CPD_RESULT","avr")</f>
        <v>#REF!</v>
      </c>
      <c r="K928" s="74" t="e">
        <f>T1.RD_HALF(F907:J907,F928:J928)</f>
        <v>#VALUE!</v>
      </c>
      <c r="L928" s="49"/>
      <c r="M928" s="49"/>
      <c r="N928" s="49"/>
      <c r="O928" s="49"/>
      <c r="P928" s="49"/>
      <c r="Q928" s="49"/>
      <c r="R928" s="49"/>
      <c r="S928" s="49"/>
      <c r="T928" s="49"/>
      <c r="U928" s="49"/>
      <c r="V928" s="49"/>
      <c r="W928" s="49"/>
      <c r="X928" s="49"/>
      <c r="Y928" s="49"/>
    </row>
    <row r="929" spans="1:25" ht="11.25" hidden="1" customHeight="1">
      <c r="B929" s="142" t="s">
        <v>535</v>
      </c>
      <c r="C929" s="142"/>
      <c r="D929" s="143" t="str">
        <f t="shared" si="25"/>
        <v/>
      </c>
      <c r="E929" s="144"/>
      <c r="F929" s="51" t="e">
        <f>T1.role(B929&amp;"@"&amp;F907,"CPD_RESULT","avr")</f>
        <v>#REF!</v>
      </c>
      <c r="G929" s="51" t="e">
        <f>T1.role(B929&amp;"@"&amp;G907,"CPD_RESULT","avr")</f>
        <v>#REF!</v>
      </c>
      <c r="H929" s="51" t="e">
        <f>T1.role(B929&amp;"@"&amp;H907,"CPD_RESULT","avr")</f>
        <v>#REF!</v>
      </c>
      <c r="I929" s="51" t="e">
        <f>T1.role(B929&amp;"@"&amp;I907,"CPD_RESULT","avr")</f>
        <v>#REF!</v>
      </c>
      <c r="J929" s="51" t="e">
        <f>T1.role(B929&amp;"@"&amp;J907,"CPD_RESULT","avr")</f>
        <v>#REF!</v>
      </c>
      <c r="K929" s="74" t="e">
        <f>T1.RD_HALF(F907:J907,F929:J929)</f>
        <v>#VALUE!</v>
      </c>
      <c r="L929" s="49"/>
      <c r="M929" s="49"/>
      <c r="N929" s="49"/>
      <c r="O929" s="49"/>
      <c r="P929" s="49"/>
      <c r="Q929" s="49"/>
      <c r="R929" s="49"/>
      <c r="S929" s="49"/>
      <c r="T929" s="49"/>
      <c r="U929" s="49"/>
      <c r="V929" s="49"/>
      <c r="W929" s="49"/>
      <c r="X929" s="49"/>
      <c r="Y929" s="49"/>
    </row>
    <row r="930" spans="1:25" ht="11.25" hidden="1" customHeight="1">
      <c r="B930" s="142" t="s">
        <v>554</v>
      </c>
      <c r="C930" s="142"/>
      <c r="D930" s="143" t="str">
        <f t="shared" si="25"/>
        <v/>
      </c>
      <c r="E930" s="144"/>
      <c r="F930" s="51" t="e">
        <f>T1.role(B930&amp;"@"&amp;F907,"CPD_RESULT","avr")</f>
        <v>#REF!</v>
      </c>
      <c r="G930" s="51" t="e">
        <f>T1.role(B930&amp;"@"&amp;G907,"CPD_RESULT","avr")</f>
        <v>#REF!</v>
      </c>
      <c r="H930" s="51" t="e">
        <f>T1.role(B930&amp;"@"&amp;H907,"CPD_RESULT","avr")</f>
        <v>#REF!</v>
      </c>
      <c r="I930" s="51" t="e">
        <f>T1.role(B930&amp;"@"&amp;I907,"CPD_RESULT","avr")</f>
        <v>#REF!</v>
      </c>
      <c r="J930" s="51" t="e">
        <f>T1.role(B930&amp;"@"&amp;J907,"CPD_RESULT","avr")</f>
        <v>#REF!</v>
      </c>
      <c r="K930" s="74" t="e">
        <f>T1.RD_HALF(F907:J907,F930:J930)</f>
        <v>#VALUE!</v>
      </c>
      <c r="L930" s="49"/>
      <c r="M930" s="49"/>
      <c r="N930" s="49"/>
      <c r="O930" s="49"/>
      <c r="P930" s="49"/>
      <c r="Q930" s="49"/>
      <c r="R930" s="49"/>
      <c r="S930" s="49"/>
      <c r="T930" s="49"/>
      <c r="U930" s="49"/>
      <c r="V930" s="49"/>
      <c r="W930" s="49"/>
      <c r="X930" s="49"/>
      <c r="Y930" s="49"/>
    </row>
    <row r="931" spans="1:25" ht="11.25" hidden="1" customHeight="1">
      <c r="B931" s="142" t="s">
        <v>573</v>
      </c>
      <c r="C931" s="142"/>
      <c r="D931" s="143" t="str">
        <f t="shared" si="25"/>
        <v/>
      </c>
      <c r="E931" s="144"/>
      <c r="F931" s="51" t="e">
        <f>T1.role(B931&amp;"@"&amp;F907,"CPD_RESULT","avr")</f>
        <v>#REF!</v>
      </c>
      <c r="G931" s="51" t="e">
        <f>T1.role(B931&amp;"@"&amp;G907,"CPD_RESULT","avr")</f>
        <v>#REF!</v>
      </c>
      <c r="H931" s="51" t="e">
        <f>T1.role(B931&amp;"@"&amp;H907,"CPD_RESULT","avr")</f>
        <v>#REF!</v>
      </c>
      <c r="I931" s="51" t="e">
        <f>T1.role(B931&amp;"@"&amp;I907,"CPD_RESULT","avr")</f>
        <v>#REF!</v>
      </c>
      <c r="J931" s="51" t="e">
        <f>T1.role(B931&amp;"@"&amp;J907,"CPD_RESULT","avr")</f>
        <v>#REF!</v>
      </c>
      <c r="K931" s="74" t="e">
        <f>T1.RD_HALF(F907:J907,F931:J931)</f>
        <v>#VALUE!</v>
      </c>
      <c r="L931" s="49"/>
      <c r="M931" s="49"/>
      <c r="N931" s="49"/>
      <c r="O931" s="49"/>
      <c r="P931" s="49"/>
      <c r="Q931" s="49"/>
      <c r="R931" s="49"/>
      <c r="S931" s="49"/>
      <c r="T931" s="49"/>
      <c r="U931" s="49"/>
      <c r="V931" s="49"/>
      <c r="W931" s="49"/>
      <c r="X931" s="49"/>
      <c r="Y931" s="49"/>
    </row>
    <row r="932" spans="1:25" ht="11.25" hidden="1" customHeight="1">
      <c r="B932" s="142" t="s">
        <v>749</v>
      </c>
      <c r="C932" s="142"/>
      <c r="D932" s="143" t="str">
        <f t="shared" si="25"/>
        <v/>
      </c>
      <c r="E932" s="144"/>
      <c r="F932" s="51" t="e">
        <f>T1.role(B932&amp;"@"&amp;F907,"CPD_RESULT","avr")</f>
        <v>#REF!</v>
      </c>
      <c r="G932" s="51" t="e">
        <f>T1.role(B932&amp;"@"&amp;G907,"CPD_RESULT","avr")</f>
        <v>#REF!</v>
      </c>
      <c r="H932" s="51" t="e">
        <f>T1.role(B932&amp;"@"&amp;H907,"CPD_RESULT","avr")</f>
        <v>#REF!</v>
      </c>
      <c r="I932" s="51" t="e">
        <f>T1.role(B932&amp;"@"&amp;I907,"CPD_RESULT","avr")</f>
        <v>#REF!</v>
      </c>
      <c r="J932" s="51" t="e">
        <f>T1.role(B932&amp;"@"&amp;J907,"CPD_RESULT","avr")</f>
        <v>#REF!</v>
      </c>
      <c r="K932" s="74" t="e">
        <f>T1.RD_HALF(F907:J907,F932:J932)</f>
        <v>#VALUE!</v>
      </c>
      <c r="L932" s="49"/>
      <c r="M932" s="49"/>
      <c r="N932" s="49"/>
      <c r="O932" s="49"/>
      <c r="P932" s="49"/>
      <c r="Q932" s="49"/>
      <c r="R932" s="49"/>
      <c r="S932" s="49"/>
      <c r="T932" s="49"/>
      <c r="U932" s="49"/>
      <c r="V932" s="49"/>
      <c r="W932" s="49"/>
      <c r="X932" s="49"/>
      <c r="Y932" s="49"/>
    </row>
    <row r="933" spans="1:25" ht="11.25" hidden="1" customHeight="1">
      <c r="B933" s="142" t="s">
        <v>609</v>
      </c>
      <c r="C933" s="142"/>
      <c r="D933" s="143" t="str">
        <f t="shared" si="25"/>
        <v/>
      </c>
      <c r="E933" s="144"/>
      <c r="F933" s="51" t="e">
        <f>T1.role(B933&amp;"@"&amp;F907,"CPD_RESULT","avr")</f>
        <v>#REF!</v>
      </c>
      <c r="G933" s="51" t="e">
        <f>T1.role(B933&amp;"@"&amp;G907,"CPD_RESULT","avr")</f>
        <v>#REF!</v>
      </c>
      <c r="H933" s="51" t="e">
        <f>T1.role(B933&amp;"@"&amp;H907,"CPD_RESULT","avr")</f>
        <v>#REF!</v>
      </c>
      <c r="I933" s="51" t="e">
        <f>T1.role(B933&amp;"@"&amp;I907,"CPD_RESULT","avr")</f>
        <v>#REF!</v>
      </c>
      <c r="J933" s="51" t="e">
        <f>T1.role(B933&amp;"@"&amp;J907,"CPD_RESULT","avr")</f>
        <v>#REF!</v>
      </c>
      <c r="K933" s="74" t="e">
        <f>T1.RD_HALF(F907:J907,F933:J933)</f>
        <v>#VALUE!</v>
      </c>
      <c r="L933" s="49"/>
      <c r="M933" s="49"/>
      <c r="N933" s="49"/>
      <c r="O933" s="49"/>
      <c r="P933" s="49"/>
      <c r="Q933" s="49"/>
      <c r="R933" s="49"/>
      <c r="S933" s="49"/>
      <c r="T933" s="49"/>
      <c r="U933" s="49"/>
      <c r="V933" s="49"/>
      <c r="W933" s="49"/>
      <c r="X933" s="49"/>
      <c r="Y933" s="49"/>
    </row>
    <row r="934" spans="1:25" ht="11.25" hidden="1" customHeight="1">
      <c r="B934" s="142" t="s">
        <v>628</v>
      </c>
      <c r="C934" s="142"/>
      <c r="D934" s="143" t="str">
        <f t="shared" si="25"/>
        <v/>
      </c>
      <c r="E934" s="144"/>
      <c r="F934" s="51" t="e">
        <f>T1.role(B934&amp;"@"&amp;F907,"CPD_RESULT","avr")</f>
        <v>#REF!</v>
      </c>
      <c r="G934" s="51" t="e">
        <f>T1.role(B934&amp;"@"&amp;G907,"CPD_RESULT","avr")</f>
        <v>#REF!</v>
      </c>
      <c r="H934" s="51" t="e">
        <f>T1.role(B934&amp;"@"&amp;H907,"CPD_RESULT","avr")</f>
        <v>#REF!</v>
      </c>
      <c r="I934" s="51" t="e">
        <f>T1.role(B934&amp;"@"&amp;I907,"CPD_RESULT","avr")</f>
        <v>#REF!</v>
      </c>
      <c r="J934" s="51" t="e">
        <f>T1.role(B934&amp;"@"&amp;J907,"CPD_RESULT","avr")</f>
        <v>#REF!</v>
      </c>
      <c r="K934" s="74" t="e">
        <f>T1.RD_HALF(F907:J907,F934:J934)</f>
        <v>#VALUE!</v>
      </c>
      <c r="L934" s="49"/>
      <c r="M934" s="49"/>
      <c r="N934" s="49"/>
      <c r="O934" s="49"/>
      <c r="P934" s="49"/>
      <c r="Q934" s="49"/>
      <c r="R934" s="49"/>
      <c r="S934" s="49"/>
      <c r="T934" s="49"/>
      <c r="U934" s="49"/>
      <c r="V934" s="49"/>
      <c r="W934" s="49"/>
      <c r="X934" s="49"/>
      <c r="Y934" s="49"/>
    </row>
    <row r="935" spans="1:25" ht="11.25" hidden="1" customHeight="1">
      <c r="B935" s="142" t="s">
        <v>647</v>
      </c>
      <c r="C935" s="142"/>
      <c r="D935" s="143" t="str">
        <f t="shared" si="25"/>
        <v/>
      </c>
      <c r="E935" s="144"/>
      <c r="F935" s="51" t="e">
        <f>T1.role(B935&amp;"@"&amp;F907,"CPD_RESULT","avr")</f>
        <v>#REF!</v>
      </c>
      <c r="G935" s="51" t="e">
        <f>T1.role(B935&amp;"@"&amp;G907,"CPD_RESULT","avr")</f>
        <v>#REF!</v>
      </c>
      <c r="H935" s="51" t="e">
        <f>T1.role(B935&amp;"@"&amp;H907,"CPD_RESULT","avr")</f>
        <v>#REF!</v>
      </c>
      <c r="I935" s="51" t="e">
        <f>T1.role(B935&amp;"@"&amp;I907,"CPD_RESULT","avr")</f>
        <v>#REF!</v>
      </c>
      <c r="J935" s="51" t="e">
        <f>T1.role(B935&amp;"@"&amp;J907,"CPD_RESULT","avr")</f>
        <v>#REF!</v>
      </c>
      <c r="K935" s="74" t="e">
        <f>T1.RD_HALF(F907:J907,F935:J935)</f>
        <v>#VALUE!</v>
      </c>
      <c r="L935" s="49"/>
      <c r="M935" s="49"/>
      <c r="N935" s="49"/>
      <c r="O935" s="49"/>
      <c r="P935" s="49"/>
      <c r="Q935" s="49"/>
      <c r="R935" s="49"/>
      <c r="S935" s="49"/>
      <c r="T935" s="49"/>
      <c r="U935" s="49"/>
      <c r="V935" s="49"/>
      <c r="W935" s="49"/>
      <c r="X935" s="49"/>
      <c r="Y935" s="49"/>
    </row>
    <row r="936" spans="1:25" ht="11.25" hidden="1" customHeight="1">
      <c r="B936" s="142" t="s">
        <v>665</v>
      </c>
      <c r="C936" s="142"/>
      <c r="D936" s="143" t="str">
        <f t="shared" si="25"/>
        <v/>
      </c>
      <c r="E936" s="144"/>
      <c r="F936" s="51" t="e">
        <f>T1.role(B936&amp;"@"&amp;F907,"CPD_RESULT","avr")</f>
        <v>#REF!</v>
      </c>
      <c r="G936" s="51" t="e">
        <f>T1.role(B936&amp;"@"&amp;G907,"CPD_RESULT","avr")</f>
        <v>#REF!</v>
      </c>
      <c r="H936" s="51" t="e">
        <f>T1.role(B936&amp;"@"&amp;H907,"CPD_RESULT","avr")</f>
        <v>#REF!</v>
      </c>
      <c r="I936" s="51" t="e">
        <f>T1.role(B936&amp;"@"&amp;I907,"CPD_RESULT","avr")</f>
        <v>#REF!</v>
      </c>
      <c r="J936" s="51" t="e">
        <f>T1.role(B936&amp;"@"&amp;J907,"CPD_RESULT","avr")</f>
        <v>#REF!</v>
      </c>
      <c r="K936" s="74" t="e">
        <f>T1.RD_HALF(F907:J907,F936:J936)</f>
        <v>#VALUE!</v>
      </c>
      <c r="L936" s="49"/>
      <c r="M936" s="49"/>
      <c r="N936" s="49"/>
      <c r="O936" s="49"/>
      <c r="P936" s="49"/>
      <c r="Q936" s="49"/>
      <c r="R936" s="49"/>
      <c r="S936" s="49"/>
      <c r="T936" s="49"/>
      <c r="U936" s="49"/>
      <c r="V936" s="49"/>
      <c r="W936" s="49"/>
      <c r="X936" s="49"/>
      <c r="Y936" s="49"/>
    </row>
    <row r="937" spans="1:25" ht="11.25" hidden="1" customHeight="1">
      <c r="B937" s="142" t="s">
        <v>684</v>
      </c>
      <c r="C937" s="142"/>
      <c r="D937" s="143" t="str">
        <f t="shared" si="25"/>
        <v/>
      </c>
      <c r="E937" s="144"/>
      <c r="F937" s="51" t="e">
        <f>T1.role(B937&amp;"@"&amp;F907,"CPD_RESULT","avr")</f>
        <v>#REF!</v>
      </c>
      <c r="G937" s="51" t="e">
        <f>T1.role(B937&amp;"@"&amp;G907,"CPD_RESULT","avr")</f>
        <v>#REF!</v>
      </c>
      <c r="H937" s="51" t="e">
        <f>T1.role(B937&amp;"@"&amp;H907,"CPD_RESULT","avr")</f>
        <v>#REF!</v>
      </c>
      <c r="I937" s="51" t="e">
        <f>T1.role(B937&amp;"@"&amp;I907,"CPD_RESULT","avr")</f>
        <v>#REF!</v>
      </c>
      <c r="J937" s="51" t="e">
        <f>T1.role(B937&amp;"@"&amp;J907,"CPD_RESULT","avr")</f>
        <v>#REF!</v>
      </c>
      <c r="K937" s="74" t="e">
        <f>T1.RD_HALF(F907:J907,F937:J937)</f>
        <v>#VALUE!</v>
      </c>
      <c r="L937" s="49"/>
      <c r="M937" s="49"/>
      <c r="N937" s="49"/>
      <c r="O937" s="49"/>
      <c r="P937" s="49"/>
      <c r="Q937" s="49"/>
      <c r="R937" s="49"/>
      <c r="S937" s="49"/>
      <c r="T937" s="49"/>
      <c r="U937" s="49"/>
      <c r="V937" s="49"/>
      <c r="W937" s="49"/>
      <c r="X937" s="49"/>
      <c r="Y937" s="49"/>
    </row>
    <row r="938" spans="1:25" ht="11.25" hidden="1" customHeight="1">
      <c r="B938" s="142" t="s">
        <v>703</v>
      </c>
      <c r="C938" s="142"/>
      <c r="D938" s="143" t="str">
        <f t="shared" si="25"/>
        <v/>
      </c>
      <c r="E938" s="144"/>
      <c r="F938" s="51" t="e">
        <f>T1.role(B938&amp;"@"&amp;F907,"CPD_RESULT","avr")</f>
        <v>#REF!</v>
      </c>
      <c r="G938" s="51" t="e">
        <f>T1.role(B938&amp;"@"&amp;G907,"CPD_RESULT","avr")</f>
        <v>#REF!</v>
      </c>
      <c r="H938" s="51" t="e">
        <f>T1.role(B938&amp;"@"&amp;H907,"CPD_RESULT","avr")</f>
        <v>#REF!</v>
      </c>
      <c r="I938" s="51" t="e">
        <f>T1.role(B938&amp;"@"&amp;I907,"CPD_RESULT","avr")</f>
        <v>#REF!</v>
      </c>
      <c r="J938" s="51" t="e">
        <f>T1.role(B938&amp;"@"&amp;J907,"CPD_RESULT","avr")</f>
        <v>#REF!</v>
      </c>
      <c r="K938" s="74" t="e">
        <f>T1.RD_HALF(F907:J907,F938:J938)</f>
        <v>#VALUE!</v>
      </c>
      <c r="L938" s="49"/>
      <c r="M938" s="49"/>
      <c r="N938" s="49"/>
      <c r="O938" s="49"/>
      <c r="P938" s="49"/>
      <c r="Q938" s="49"/>
      <c r="R938" s="49"/>
      <c r="S938" s="49"/>
      <c r="T938" s="49"/>
      <c r="U938" s="49"/>
      <c r="V938" s="49"/>
      <c r="W938" s="49"/>
      <c r="X938" s="49"/>
      <c r="Y938" s="49"/>
    </row>
    <row r="939" spans="1:25" ht="11.25" hidden="1" customHeight="1">
      <c r="B939" s="142" t="s">
        <v>722</v>
      </c>
      <c r="C939" s="142"/>
      <c r="D939" s="143" t="str">
        <f t="shared" si="25"/>
        <v/>
      </c>
      <c r="E939" s="144"/>
      <c r="F939" s="51" t="e">
        <f>T1.role(B939&amp;"@"&amp;F907,"CPD_RESULT","avr")</f>
        <v>#REF!</v>
      </c>
      <c r="G939" s="51" t="e">
        <f>T1.role(B939&amp;"@"&amp;G907,"CPD_RESULT","avr")</f>
        <v>#REF!</v>
      </c>
      <c r="H939" s="51" t="e">
        <f>T1.role(B939&amp;"@"&amp;H907,"CPD_RESULT","avr")</f>
        <v>#REF!</v>
      </c>
      <c r="I939" s="51" t="e">
        <f>T1.role(B939&amp;"@"&amp;I907,"CPD_RESULT","avr")</f>
        <v>#REF!</v>
      </c>
      <c r="J939" s="51" t="e">
        <f>T1.role(B939&amp;"@"&amp;J907,"CPD_RESULT","avr")</f>
        <v>#REF!</v>
      </c>
      <c r="K939" s="74" t="e">
        <f>T1.RD_HALF(F907:J907,F939:J939)</f>
        <v>#VALUE!</v>
      </c>
      <c r="L939" s="49"/>
      <c r="M939" s="49"/>
      <c r="N939" s="49"/>
      <c r="O939" s="49"/>
      <c r="P939" s="49"/>
      <c r="Q939" s="49"/>
      <c r="R939" s="49"/>
      <c r="S939" s="49"/>
      <c r="T939" s="49"/>
      <c r="U939" s="49"/>
      <c r="V939" s="49"/>
      <c r="W939" s="49"/>
      <c r="X939" s="49"/>
      <c r="Y939" s="49"/>
    </row>
    <row r="940" spans="1:25" ht="11.25" hidden="1" customHeight="1">
      <c r="B940" s="142" t="s">
        <v>443</v>
      </c>
      <c r="C940" s="142"/>
      <c r="D940" s="143" t="str">
        <f t="shared" si="25"/>
        <v/>
      </c>
      <c r="E940" s="144"/>
      <c r="F940" s="51" t="e">
        <f>T1.role(B940&amp;"@"&amp;F907,"CPD_RESULT","avr")</f>
        <v>#REF!</v>
      </c>
      <c r="G940" s="51" t="e">
        <f>T1.role(B940&amp;"@"&amp;G907,"CPD_RESULT","avr")</f>
        <v>#REF!</v>
      </c>
      <c r="H940" s="51" t="e">
        <f>T1.role(B940&amp;"@"&amp;H907,"CPD_RESULT","avr")</f>
        <v>#REF!</v>
      </c>
      <c r="I940" s="51" t="e">
        <f>T1.role(B940&amp;"@"&amp;I907,"CPD_RESULT","avr")</f>
        <v>#REF!</v>
      </c>
      <c r="J940" s="51" t="e">
        <f>T1.role(B940&amp;"@"&amp;J907,"CPD_RESULT","avr")</f>
        <v>#REF!</v>
      </c>
      <c r="K940" s="74" t="e">
        <f>T1.RD_HALF(F907:J907,F940:J940)</f>
        <v>#VALUE!</v>
      </c>
      <c r="L940" s="49"/>
      <c r="M940" s="49"/>
      <c r="N940" s="49"/>
      <c r="O940" s="49"/>
      <c r="P940" s="49"/>
      <c r="Q940" s="49"/>
      <c r="R940" s="49"/>
      <c r="S940" s="49"/>
      <c r="T940" s="49"/>
      <c r="U940" s="49"/>
      <c r="V940" s="49"/>
      <c r="W940" s="49"/>
      <c r="X940" s="49"/>
      <c r="Y940" s="49"/>
    </row>
    <row r="941" spans="1:25" ht="11.25" hidden="1" customHeight="1">
      <c r="A941" s="49"/>
      <c r="B941" s="142" t="s">
        <v>460</v>
      </c>
      <c r="C941" s="142"/>
      <c r="D941" s="143" t="str">
        <f t="shared" si="25"/>
        <v/>
      </c>
      <c r="E941" s="144"/>
      <c r="F941" s="51" t="e">
        <f>T1.role(B941&amp;"@"&amp;F907,"CPD_RESULT","avr")</f>
        <v>#REF!</v>
      </c>
      <c r="G941" s="51" t="e">
        <f>T1.role(B941&amp;"@"&amp;G907,"CPD_RESULT","avr")</f>
        <v>#REF!</v>
      </c>
      <c r="H941" s="51" t="e">
        <f>T1.role(B941&amp;"@"&amp;H907,"CPD_RESULT","avr")</f>
        <v>#REF!</v>
      </c>
      <c r="I941" s="51" t="e">
        <f>T1.role(B941&amp;"@"&amp;I907,"CPD_RESULT","avr")</f>
        <v>#REF!</v>
      </c>
      <c r="J941" s="51" t="e">
        <f>T1.role(B941&amp;"@"&amp;J907,"CPD_RESULT","avr")</f>
        <v>#REF!</v>
      </c>
      <c r="K941" s="74" t="e">
        <f>T1.RD_HALF(F907:J907,F941:J941)</f>
        <v>#VALUE!</v>
      </c>
      <c r="L941" s="49"/>
      <c r="M941" s="49"/>
      <c r="N941" s="49"/>
      <c r="O941" s="49"/>
      <c r="P941" s="49"/>
      <c r="Q941" s="49"/>
      <c r="R941" s="49"/>
      <c r="S941" s="49"/>
      <c r="T941" s="49"/>
      <c r="U941" s="49"/>
      <c r="V941" s="49"/>
      <c r="W941" s="49"/>
      <c r="X941" s="49"/>
      <c r="Y941" s="49"/>
    </row>
    <row r="942" spans="1:25" ht="11.25" hidden="1" customHeight="1">
      <c r="B942" s="142" t="s">
        <v>479</v>
      </c>
      <c r="C942" s="142"/>
      <c r="D942" s="143" t="str">
        <f t="shared" si="25"/>
        <v/>
      </c>
      <c r="E942" s="144"/>
      <c r="F942" s="51" t="e">
        <f>T1.role(B942&amp;"@"&amp;F907,"CPD_RESULT","avr")</f>
        <v>#REF!</v>
      </c>
      <c r="G942" s="51" t="e">
        <f>T1.role(B942&amp;"@"&amp;G907,"CPD_RESULT","avr")</f>
        <v>#REF!</v>
      </c>
      <c r="H942" s="51" t="e">
        <f>T1.role(B942&amp;"@"&amp;H907,"CPD_RESULT","avr")</f>
        <v>#REF!</v>
      </c>
      <c r="I942" s="51" t="e">
        <f>T1.role(B942&amp;"@"&amp;I907,"CPD_RESULT","avr")</f>
        <v>#REF!</v>
      </c>
      <c r="J942" s="51" t="e">
        <f>T1.role(B942&amp;"@"&amp;J907,"CPD_RESULT","avr")</f>
        <v>#REF!</v>
      </c>
      <c r="K942" s="74" t="e">
        <f>T1.RD_HALF(F907:J907,F942:J942)</f>
        <v>#VALUE!</v>
      </c>
      <c r="L942" s="49"/>
      <c r="M942" s="49"/>
      <c r="N942" s="49"/>
      <c r="O942" s="49"/>
      <c r="P942" s="49"/>
      <c r="Q942" s="49"/>
      <c r="R942" s="49"/>
      <c r="S942" s="49"/>
      <c r="T942" s="49"/>
      <c r="U942" s="49"/>
      <c r="V942" s="49"/>
      <c r="W942" s="49"/>
      <c r="X942" s="49"/>
      <c r="Y942" s="49"/>
    </row>
    <row r="943" spans="1:25" ht="11.25" hidden="1" customHeight="1">
      <c r="B943" s="142" t="s">
        <v>498</v>
      </c>
      <c r="C943" s="142"/>
      <c r="D943" s="143" t="str">
        <f t="shared" si="25"/>
        <v/>
      </c>
      <c r="E943" s="144"/>
      <c r="F943" s="51" t="e">
        <f>T1.role(B943&amp;"@"&amp;F907,"CPD_RESULT","avr")</f>
        <v>#REF!</v>
      </c>
      <c r="G943" s="51" t="e">
        <f>T1.role(B943&amp;"@"&amp;G907,"CPD_RESULT","avr")</f>
        <v>#REF!</v>
      </c>
      <c r="H943" s="51" t="e">
        <f>T1.role(B943&amp;"@"&amp;H907,"CPD_RESULT","avr")</f>
        <v>#REF!</v>
      </c>
      <c r="I943" s="51" t="e">
        <f>T1.role(B943&amp;"@"&amp;I907,"CPD_RESULT","avr")</f>
        <v>#REF!</v>
      </c>
      <c r="J943" s="51" t="e">
        <f>T1.role(B943&amp;"@"&amp;J907,"CPD_RESULT","avr")</f>
        <v>#REF!</v>
      </c>
      <c r="K943" s="74" t="e">
        <f>T1.RD_HALF(F907:J907,F943:J943)</f>
        <v>#VALUE!</v>
      </c>
      <c r="L943" s="49"/>
      <c r="M943" s="49"/>
      <c r="N943" s="49"/>
      <c r="O943" s="49"/>
      <c r="P943" s="49"/>
      <c r="Q943" s="49"/>
      <c r="R943" s="49"/>
      <c r="S943" s="49"/>
      <c r="T943" s="49"/>
      <c r="U943" s="49"/>
      <c r="V943" s="49"/>
      <c r="W943" s="49"/>
      <c r="X943" s="49"/>
      <c r="Y943" s="49"/>
    </row>
    <row r="944" spans="1:25" ht="11.25" hidden="1" customHeight="1">
      <c r="B944" s="142" t="s">
        <v>517</v>
      </c>
      <c r="C944" s="142"/>
      <c r="D944" s="143" t="str">
        <f t="shared" si="25"/>
        <v/>
      </c>
      <c r="E944" s="144"/>
      <c r="F944" s="51" t="e">
        <f>T1.role(B944&amp;"@"&amp;F907,"CPD_RESULT","avr")</f>
        <v>#REF!</v>
      </c>
      <c r="G944" s="51" t="e">
        <f>T1.role(B944&amp;"@"&amp;G907,"CPD_RESULT","avr")</f>
        <v>#REF!</v>
      </c>
      <c r="H944" s="51" t="e">
        <f>T1.role(B944&amp;"@"&amp;H907,"CPD_RESULT","avr")</f>
        <v>#REF!</v>
      </c>
      <c r="I944" s="51" t="e">
        <f>T1.role(B944&amp;"@"&amp;I907,"CPD_RESULT","avr")</f>
        <v>#REF!</v>
      </c>
      <c r="J944" s="51" t="e">
        <f>T1.role(B944&amp;"@"&amp;J907,"CPD_RESULT","avr")</f>
        <v>#REF!</v>
      </c>
      <c r="K944" s="74" t="e">
        <f>T1.RD_HALF(F907:J907,F944:J944)</f>
        <v>#VALUE!</v>
      </c>
      <c r="L944" s="49"/>
      <c r="M944" s="49"/>
      <c r="N944" s="49"/>
      <c r="O944" s="49"/>
      <c r="P944" s="49"/>
      <c r="Q944" s="49"/>
      <c r="R944" s="49"/>
      <c r="S944" s="49"/>
      <c r="T944" s="49"/>
      <c r="U944" s="49"/>
      <c r="V944" s="49"/>
      <c r="W944" s="49"/>
      <c r="X944" s="49"/>
      <c r="Y944" s="49"/>
    </row>
    <row r="945" spans="1:25" ht="11.25" hidden="1" customHeight="1">
      <c r="B945" s="142" t="s">
        <v>536</v>
      </c>
      <c r="C945" s="142"/>
      <c r="D945" s="143" t="str">
        <f>T1.role(B945,"cpdid")</f>
        <v/>
      </c>
      <c r="E945" s="144"/>
      <c r="F945" s="51" t="e">
        <f>T1.role(B945&amp;"@"&amp;F907,"CPD_RESULT","avr")</f>
        <v>#REF!</v>
      </c>
      <c r="G945" s="51" t="e">
        <f>T1.role(B945&amp;"@"&amp;G907,"CPD_RESULT","avr")</f>
        <v>#REF!</v>
      </c>
      <c r="H945" s="51" t="e">
        <f>T1.role(B945&amp;"@"&amp;H907,"CPD_RESULT","avr")</f>
        <v>#REF!</v>
      </c>
      <c r="I945" s="51" t="e">
        <f>T1.role(B945&amp;"@"&amp;I907,"CPD_RESULT","avr")</f>
        <v>#REF!</v>
      </c>
      <c r="J945" s="51" t="e">
        <f>T1.role(B945&amp;"@"&amp;J907,"CPD_RESULT","avr")</f>
        <v>#REF!</v>
      </c>
      <c r="K945" s="74" t="e">
        <f>T1.RD_HALF(F907:J907,F945:J945)</f>
        <v>#VALUE!</v>
      </c>
      <c r="L945" s="49"/>
      <c r="M945" s="49"/>
      <c r="N945" s="49"/>
      <c r="O945" s="49"/>
      <c r="P945" s="49"/>
      <c r="Q945" s="49"/>
      <c r="R945" s="49"/>
      <c r="S945" s="49"/>
      <c r="T945" s="49"/>
      <c r="U945" s="49"/>
      <c r="V945" s="49"/>
      <c r="W945" s="49"/>
      <c r="X945" s="49"/>
      <c r="Y945" s="49"/>
    </row>
    <row r="946" spans="1:25" ht="11.25" hidden="1" customHeight="1">
      <c r="B946" s="142" t="s">
        <v>555</v>
      </c>
      <c r="C946" s="142"/>
      <c r="D946" s="143" t="str">
        <f t="shared" si="25"/>
        <v/>
      </c>
      <c r="E946" s="144"/>
      <c r="F946" s="51" t="e">
        <f>T1.role(B946&amp;"@"&amp;F907,"CPD_RESULT","avr")</f>
        <v>#REF!</v>
      </c>
      <c r="G946" s="51" t="e">
        <f>T1.role(B946&amp;"@"&amp;G907,"CPD_RESULT","avr")</f>
        <v>#REF!</v>
      </c>
      <c r="H946" s="51" t="e">
        <f>T1.role(B946&amp;"@"&amp;H907,"CPD_RESULT","avr")</f>
        <v>#REF!</v>
      </c>
      <c r="I946" s="51" t="e">
        <f>T1.role(B946&amp;"@"&amp;I907,"CPD_RESULT","avr")</f>
        <v>#REF!</v>
      </c>
      <c r="J946" s="51" t="e">
        <f>T1.role(B946&amp;"@"&amp;J907,"CPD_RESULT","avr")</f>
        <v>#REF!</v>
      </c>
      <c r="K946" s="74" t="e">
        <f>T1.RD_HALF(F907:J907,F946:J946)</f>
        <v>#VALUE!</v>
      </c>
      <c r="L946" s="49"/>
      <c r="M946" s="49"/>
      <c r="N946" s="49"/>
      <c r="O946" s="49"/>
      <c r="P946" s="49"/>
      <c r="Q946" s="49"/>
      <c r="R946" s="49"/>
      <c r="S946" s="49"/>
      <c r="T946" s="49"/>
      <c r="U946" s="49"/>
      <c r="V946" s="49"/>
      <c r="W946" s="49"/>
      <c r="X946" s="49"/>
      <c r="Y946" s="49"/>
    </row>
    <row r="947" spans="1:25" ht="11.25" hidden="1" customHeight="1">
      <c r="B947" s="142" t="s">
        <v>574</v>
      </c>
      <c r="C947" s="142"/>
      <c r="D947" s="143" t="str">
        <f t="shared" si="25"/>
        <v/>
      </c>
      <c r="E947" s="144"/>
      <c r="F947" s="51" t="e">
        <f>T1.role(B947&amp;"@"&amp;F907,"CPD_RESULT","avr")</f>
        <v>#REF!</v>
      </c>
      <c r="G947" s="51" t="e">
        <f>T1.role(B947&amp;"@"&amp;G907,"CPD_RESULT","avr")</f>
        <v>#REF!</v>
      </c>
      <c r="H947" s="51" t="e">
        <f>T1.role(B947&amp;"@"&amp;H907,"CPD_RESULT","avr")</f>
        <v>#REF!</v>
      </c>
      <c r="I947" s="51" t="e">
        <f>T1.role(B947&amp;"@"&amp;I907,"CPD_RESULT","avr")</f>
        <v>#REF!</v>
      </c>
      <c r="J947" s="51" t="e">
        <f>T1.role(B947&amp;"@"&amp;J907,"CPD_RESULT","avr")</f>
        <v>#REF!</v>
      </c>
      <c r="K947" s="74" t="e">
        <f>T1.RD_HALF(F907:J907,F947:J947)</f>
        <v>#VALUE!</v>
      </c>
      <c r="L947" s="49"/>
      <c r="M947" s="49"/>
      <c r="N947" s="49"/>
      <c r="O947" s="49"/>
      <c r="P947" s="49"/>
      <c r="Q947" s="49"/>
      <c r="R947" s="49"/>
      <c r="S947" s="49"/>
      <c r="T947" s="49"/>
      <c r="U947" s="49"/>
      <c r="V947" s="49"/>
      <c r="W947" s="49"/>
      <c r="X947" s="49"/>
      <c r="Y947" s="49"/>
    </row>
    <row r="948" spans="1:25" ht="11.25" hidden="1" customHeight="1">
      <c r="B948" s="142" t="s">
        <v>591</v>
      </c>
      <c r="C948" s="142"/>
      <c r="D948" s="143" t="str">
        <f t="shared" si="25"/>
        <v/>
      </c>
      <c r="E948" s="144"/>
      <c r="F948" s="51" t="e">
        <f>T1.role(B948&amp;"@"&amp;F907,"CPD_RESULT","avr")</f>
        <v>#REF!</v>
      </c>
      <c r="G948" s="51" t="e">
        <f>T1.role(B948&amp;"@"&amp;G907,"CPD_RESULT","avr")</f>
        <v>#REF!</v>
      </c>
      <c r="H948" s="51" t="e">
        <f>T1.role(B948&amp;"@"&amp;H907,"CPD_RESULT","avr")</f>
        <v>#REF!</v>
      </c>
      <c r="I948" s="51" t="e">
        <f>T1.role(B948&amp;"@"&amp;I907,"CPD_RESULT","avr")</f>
        <v>#REF!</v>
      </c>
      <c r="J948" s="51" t="e">
        <f>T1.role(B948&amp;"@"&amp;J907,"CPD_RESULT","avr")</f>
        <v>#REF!</v>
      </c>
      <c r="K948" s="74" t="e">
        <f>T1.RD_HALF(F907:J907,F948:J948)</f>
        <v>#VALUE!</v>
      </c>
      <c r="L948" s="49"/>
      <c r="M948" s="49"/>
      <c r="N948" s="49"/>
      <c r="O948" s="49"/>
      <c r="P948" s="49"/>
      <c r="Q948" s="49"/>
      <c r="R948" s="49"/>
      <c r="S948" s="49"/>
      <c r="T948" s="49"/>
      <c r="U948" s="49"/>
      <c r="V948" s="49"/>
      <c r="W948" s="49"/>
      <c r="X948" s="49"/>
      <c r="Y948" s="49"/>
    </row>
    <row r="949" spans="1:25" ht="11.25" hidden="1" customHeight="1">
      <c r="B949" s="142" t="s">
        <v>610</v>
      </c>
      <c r="C949" s="142"/>
      <c r="D949" s="143" t="str">
        <f t="shared" si="25"/>
        <v/>
      </c>
      <c r="E949" s="144"/>
      <c r="F949" s="51" t="e">
        <f>T1.role(B949&amp;"@"&amp;F907,"CPD_RESULT","avr")</f>
        <v>#REF!</v>
      </c>
      <c r="G949" s="51" t="e">
        <f>T1.role(B949&amp;"@"&amp;G907,"CPD_RESULT","avr")</f>
        <v>#REF!</v>
      </c>
      <c r="H949" s="51" t="e">
        <f>T1.role(B949&amp;"@"&amp;H907,"CPD_RESULT","avr")</f>
        <v>#REF!</v>
      </c>
      <c r="I949" s="51" t="e">
        <f>T1.role(B949&amp;"@"&amp;I907,"CPD_RESULT","avr")</f>
        <v>#REF!</v>
      </c>
      <c r="J949" s="51" t="e">
        <f>T1.role(B949&amp;"@"&amp;J907,"CPD_RESULT","avr")</f>
        <v>#REF!</v>
      </c>
      <c r="K949" s="74" t="e">
        <f>T1.RD_HALF(F907:J907,F949:J949)</f>
        <v>#VALUE!</v>
      </c>
      <c r="L949" s="49"/>
      <c r="M949" s="49"/>
      <c r="N949" s="49"/>
      <c r="O949" s="49"/>
      <c r="P949" s="49"/>
      <c r="Q949" s="49"/>
      <c r="R949" s="49"/>
      <c r="S949" s="49"/>
      <c r="T949" s="49"/>
      <c r="U949" s="49"/>
      <c r="V949" s="49"/>
      <c r="W949" s="49"/>
      <c r="X949" s="49"/>
      <c r="Y949" s="49"/>
    </row>
    <row r="950" spans="1:25" ht="11.25" hidden="1" customHeight="1">
      <c r="B950" s="142" t="s">
        <v>629</v>
      </c>
      <c r="C950" s="142"/>
      <c r="D950" s="143" t="str">
        <f t="shared" si="25"/>
        <v/>
      </c>
      <c r="E950" s="144"/>
      <c r="F950" s="51" t="e">
        <f>T1.role(B950&amp;"@"&amp;F907,"CPD_RESULT","avr")</f>
        <v>#REF!</v>
      </c>
      <c r="G950" s="51" t="e">
        <f>T1.role(B950&amp;"@"&amp;G907,"CPD_RESULT","avr")</f>
        <v>#REF!</v>
      </c>
      <c r="H950" s="51" t="e">
        <f>T1.role(B950&amp;"@"&amp;H907,"CPD_RESULT","avr")</f>
        <v>#REF!</v>
      </c>
      <c r="I950" s="51" t="e">
        <f>T1.role(B950&amp;"@"&amp;I907,"CPD_RESULT","avr")</f>
        <v>#REF!</v>
      </c>
      <c r="J950" s="51" t="e">
        <f>T1.role(B950&amp;"@"&amp;J907,"CPD_RESULT","avr")</f>
        <v>#REF!</v>
      </c>
      <c r="K950" s="74" t="e">
        <f>T1.RD_HALF(F907:J907,F950:J950)</f>
        <v>#VALUE!</v>
      </c>
      <c r="L950" s="49"/>
      <c r="M950" s="49"/>
      <c r="N950" s="49"/>
      <c r="O950" s="49"/>
      <c r="P950" s="49"/>
      <c r="Q950" s="49"/>
      <c r="R950" s="49"/>
      <c r="S950" s="49"/>
      <c r="T950" s="49"/>
      <c r="U950" s="49"/>
      <c r="V950" s="49"/>
      <c r="W950" s="49"/>
      <c r="X950" s="49"/>
      <c r="Y950" s="49"/>
    </row>
    <row r="951" spans="1:25" ht="11.25" hidden="1" customHeight="1">
      <c r="B951" s="142" t="s">
        <v>648</v>
      </c>
      <c r="C951" s="142"/>
      <c r="D951" s="143" t="str">
        <f t="shared" si="25"/>
        <v/>
      </c>
      <c r="E951" s="144"/>
      <c r="F951" s="51" t="e">
        <f>T1.role(B951&amp;"@"&amp;F907,"CPD_RESULT","avr")</f>
        <v>#REF!</v>
      </c>
      <c r="G951" s="51" t="e">
        <f>T1.role(B951&amp;"@"&amp;G907,"CPD_RESULT","avr")</f>
        <v>#REF!</v>
      </c>
      <c r="H951" s="51" t="e">
        <f>T1.role(B951&amp;"@"&amp;H907,"CPD_RESULT","avr")</f>
        <v>#REF!</v>
      </c>
      <c r="I951" s="51" t="e">
        <f>T1.role(B951&amp;"@"&amp;I907,"CPD_RESULT","avr")</f>
        <v>#REF!</v>
      </c>
      <c r="J951" s="51" t="e">
        <f>T1.role(B951&amp;"@"&amp;J907,"CPD_RESULT","avr")</f>
        <v>#REF!</v>
      </c>
      <c r="K951" s="74" t="e">
        <f>T1.RD_HALF(F907:J907,F951:J951)</f>
        <v>#VALUE!</v>
      </c>
      <c r="L951" s="49"/>
      <c r="M951" s="49"/>
      <c r="N951" s="49"/>
      <c r="O951" s="49"/>
      <c r="P951" s="49"/>
      <c r="Q951" s="49"/>
      <c r="R951" s="49"/>
      <c r="S951" s="49"/>
      <c r="T951" s="49"/>
      <c r="U951" s="49"/>
      <c r="V951" s="49"/>
      <c r="W951" s="49"/>
      <c r="X951" s="49"/>
      <c r="Y951" s="49"/>
    </row>
    <row r="952" spans="1:25" ht="11.25" hidden="1" customHeight="1">
      <c r="B952" s="142" t="s">
        <v>666</v>
      </c>
      <c r="C952" s="142"/>
      <c r="D952" s="143" t="str">
        <f t="shared" si="25"/>
        <v/>
      </c>
      <c r="E952" s="144"/>
      <c r="F952" s="51" t="e">
        <f>T1.role(B952&amp;"@"&amp;F907,"CPD_RESULT","avr")</f>
        <v>#REF!</v>
      </c>
      <c r="G952" s="51" t="e">
        <f>T1.role(B952&amp;"@"&amp;G907,"CPD_RESULT","avr")</f>
        <v>#REF!</v>
      </c>
      <c r="H952" s="51" t="e">
        <f>T1.role(B952&amp;"@"&amp;H907,"CPD_RESULT","avr")</f>
        <v>#REF!</v>
      </c>
      <c r="I952" s="51" t="e">
        <f>T1.role(B952&amp;"@"&amp;I907,"CPD_RESULT","avr")</f>
        <v>#REF!</v>
      </c>
      <c r="J952" s="51" t="e">
        <f>T1.role(B952&amp;"@"&amp;J907,"CPD_RESULT","avr")</f>
        <v>#REF!</v>
      </c>
      <c r="K952" s="74" t="e">
        <f>T1.RD_HALF(F907:J907,F952:J952)</f>
        <v>#VALUE!</v>
      </c>
      <c r="L952" s="49"/>
      <c r="M952" s="49"/>
      <c r="N952" s="49"/>
      <c r="O952" s="49"/>
      <c r="P952" s="49"/>
      <c r="Q952" s="49"/>
      <c r="R952" s="49"/>
      <c r="S952" s="49"/>
      <c r="T952" s="49"/>
      <c r="U952" s="49"/>
      <c r="V952" s="49"/>
      <c r="W952" s="49"/>
      <c r="X952" s="49"/>
      <c r="Y952" s="49"/>
    </row>
    <row r="953" spans="1:25" ht="11.25" hidden="1" customHeight="1">
      <c r="B953" s="142" t="s">
        <v>685</v>
      </c>
      <c r="C953" s="142"/>
      <c r="D953" s="143" t="str">
        <f t="shared" si="25"/>
        <v/>
      </c>
      <c r="E953" s="144"/>
      <c r="F953" s="51" t="e">
        <f>T1.role(B953&amp;"@"&amp;F907,"CPD_RESULT","avr")</f>
        <v>#REF!</v>
      </c>
      <c r="G953" s="51" t="e">
        <f>T1.role(B953&amp;"@"&amp;G907,"CPD_RESULT","avr")</f>
        <v>#REF!</v>
      </c>
      <c r="H953" s="51" t="e">
        <f>T1.role(B953&amp;"@"&amp;H907,"CPD_RESULT","avr")</f>
        <v>#REF!</v>
      </c>
      <c r="I953" s="51" t="e">
        <f>T1.role(B953&amp;"@"&amp;I907,"CPD_RESULT","avr")</f>
        <v>#REF!</v>
      </c>
      <c r="J953" s="51" t="e">
        <f>T1.role(B953&amp;"@"&amp;J907,"CPD_RESULT","avr")</f>
        <v>#REF!</v>
      </c>
      <c r="K953" s="74" t="e">
        <f>T1.RD_HALF(F907:J907,F953:J953)</f>
        <v>#VALUE!</v>
      </c>
      <c r="L953" s="49"/>
      <c r="M953" s="49"/>
      <c r="N953" s="49"/>
      <c r="O953" s="49"/>
      <c r="P953" s="49"/>
      <c r="Q953" s="49"/>
      <c r="R953" s="49"/>
      <c r="S953" s="49"/>
      <c r="T953" s="49"/>
      <c r="U953" s="49"/>
      <c r="V953" s="49"/>
      <c r="W953" s="49"/>
      <c r="X953" s="49"/>
      <c r="Y953" s="49"/>
    </row>
    <row r="954" spans="1:25" ht="11.25" hidden="1" customHeight="1">
      <c r="B954" s="142" t="s">
        <v>704</v>
      </c>
      <c r="C954" s="142"/>
      <c r="D954" s="143" t="str">
        <f t="shared" si="25"/>
        <v/>
      </c>
      <c r="E954" s="144"/>
      <c r="F954" s="51" t="e">
        <f>T1.role(B954&amp;"@"&amp;F907,"CPD_RESULT","avr")</f>
        <v>#REF!</v>
      </c>
      <c r="G954" s="51" t="e">
        <f>T1.role(B954&amp;"@"&amp;G907,"CPD_RESULT","avr")</f>
        <v>#REF!</v>
      </c>
      <c r="H954" s="51" t="e">
        <f>T1.role(B954&amp;"@"&amp;H907,"CPD_RESULT","avr")</f>
        <v>#REF!</v>
      </c>
      <c r="I954" s="51" t="e">
        <f>T1.role(B954&amp;"@"&amp;I907,"CPD_RESULT","avr")</f>
        <v>#REF!</v>
      </c>
      <c r="J954" s="51" t="e">
        <f>T1.role(B954&amp;"@"&amp;J907,"CPD_RESULT","avr")</f>
        <v>#REF!</v>
      </c>
      <c r="K954" s="74" t="e">
        <f>T1.RD_HALF(F907:J907,F954:J954)</f>
        <v>#VALUE!</v>
      </c>
      <c r="L954" s="49"/>
      <c r="M954" s="49"/>
      <c r="N954" s="49"/>
      <c r="O954" s="49"/>
      <c r="P954" s="49"/>
      <c r="Q954" s="49"/>
      <c r="R954" s="49"/>
      <c r="S954" s="49"/>
      <c r="T954" s="49"/>
      <c r="U954" s="49"/>
      <c r="V954" s="49"/>
      <c r="W954" s="49"/>
      <c r="X954" s="49"/>
      <c r="Y954" s="49"/>
    </row>
    <row r="955" spans="1:25" ht="11.25" hidden="1" customHeight="1">
      <c r="B955" s="142" t="s">
        <v>723</v>
      </c>
      <c r="C955" s="142"/>
      <c r="D955" s="143" t="str">
        <f t="shared" si="25"/>
        <v/>
      </c>
      <c r="E955" s="144"/>
      <c r="F955" s="51" t="e">
        <f>T1.role(B955&amp;"@"&amp;F907,"CPD_RESULT","avr")</f>
        <v>#REF!</v>
      </c>
      <c r="G955" s="51" t="e">
        <f>T1.role(B955&amp;"@"&amp;G907,"CPD_RESULT","avr")</f>
        <v>#REF!</v>
      </c>
      <c r="H955" s="51" t="e">
        <f>T1.role(B955&amp;"@"&amp;H907,"CPD_RESULT","avr")</f>
        <v>#REF!</v>
      </c>
      <c r="I955" s="51" t="e">
        <f>T1.role(B955&amp;"@"&amp;I907,"CPD_RESULT","avr")</f>
        <v>#REF!</v>
      </c>
      <c r="J955" s="51" t="e">
        <f>T1.role(B955&amp;"@"&amp;J907,"CPD_RESULT","avr")</f>
        <v>#REF!</v>
      </c>
      <c r="K955" s="74" t="e">
        <f>T1.RD_HALF(F907:J907,F955:J955)</f>
        <v>#VALUE!</v>
      </c>
      <c r="L955" s="49"/>
      <c r="M955" s="49"/>
      <c r="N955" s="49"/>
      <c r="O955" s="49"/>
      <c r="P955" s="49"/>
      <c r="Q955" s="49"/>
      <c r="R955" s="49"/>
      <c r="S955" s="49"/>
      <c r="T955" s="49"/>
      <c r="U955" s="49"/>
      <c r="V955" s="49"/>
      <c r="W955" s="49"/>
      <c r="X955" s="49"/>
      <c r="Y955" s="49"/>
    </row>
    <row r="956" spans="1:25" ht="11.25" hidden="1" customHeight="1">
      <c r="B956" s="142" t="s">
        <v>444</v>
      </c>
      <c r="C956" s="142"/>
      <c r="D956" s="143" t="str">
        <f t="shared" ref="D956:D971" si="26">T1.role(B956,"cpdid")</f>
        <v/>
      </c>
      <c r="E956" s="144"/>
      <c r="F956" s="51" t="e">
        <f>T1.role(B956&amp;"@"&amp;F907,"CPD_RESULT","avr")</f>
        <v>#REF!</v>
      </c>
      <c r="G956" s="51" t="e">
        <f>T1.role(B956&amp;"@"&amp;G907,"CPD_RESULT","avr")</f>
        <v>#REF!</v>
      </c>
      <c r="H956" s="51" t="e">
        <f>T1.role(B956&amp;"@"&amp;H907,"CPD_RESULT","avr")</f>
        <v>#REF!</v>
      </c>
      <c r="I956" s="51" t="e">
        <f>T1.role(B956&amp;"@"&amp;I907,"CPD_RESULT","avr")</f>
        <v>#REF!</v>
      </c>
      <c r="J956" s="51" t="e">
        <f>T1.role(B956&amp;"@"&amp;J907,"CPD_RESULT","avr")</f>
        <v>#REF!</v>
      </c>
      <c r="K956" s="74" t="e">
        <f>T1.RD_HALF(F907:J907,F956:J956)</f>
        <v>#VALUE!</v>
      </c>
      <c r="L956" s="49"/>
      <c r="M956" s="49"/>
      <c r="N956" s="49"/>
      <c r="O956" s="49"/>
      <c r="P956" s="49"/>
      <c r="Q956" s="49"/>
      <c r="R956" s="49"/>
      <c r="S956" s="49"/>
      <c r="T956" s="49"/>
      <c r="U956" s="49"/>
      <c r="V956" s="49"/>
      <c r="W956" s="49"/>
      <c r="X956" s="49"/>
      <c r="Y956" s="49"/>
    </row>
    <row r="957" spans="1:25" ht="11.25" hidden="1" customHeight="1">
      <c r="A957" s="49"/>
      <c r="B957" s="142" t="s">
        <v>461</v>
      </c>
      <c r="C957" s="142"/>
      <c r="D957" s="143" t="str">
        <f t="shared" si="26"/>
        <v/>
      </c>
      <c r="E957" s="144"/>
      <c r="F957" s="51" t="e">
        <f>T1.role(B957&amp;"@"&amp;F907,"CPD_RESULT","avr")</f>
        <v>#REF!</v>
      </c>
      <c r="G957" s="51" t="e">
        <f>T1.role(B957&amp;"@"&amp;G907,"CPD_RESULT","avr")</f>
        <v>#REF!</v>
      </c>
      <c r="H957" s="51" t="e">
        <f>T1.role(B957&amp;"@"&amp;H907,"CPD_RESULT","avr")</f>
        <v>#REF!</v>
      </c>
      <c r="I957" s="51" t="e">
        <f>T1.role(B957&amp;"@"&amp;I907,"CPD_RESULT","avr")</f>
        <v>#REF!</v>
      </c>
      <c r="J957" s="51" t="e">
        <f>T1.role(B957&amp;"@"&amp;J907,"CPD_RESULT","avr")</f>
        <v>#REF!</v>
      </c>
      <c r="K957" s="74" t="e">
        <f>T1.RD_HALF(F907:J907,F957:J957)</f>
        <v>#VALUE!</v>
      </c>
      <c r="L957" s="49"/>
      <c r="M957" s="49"/>
      <c r="N957" s="49"/>
      <c r="O957" s="49"/>
      <c r="P957" s="49"/>
      <c r="Q957" s="49"/>
      <c r="R957" s="49"/>
      <c r="S957" s="49"/>
      <c r="T957" s="49"/>
      <c r="U957" s="49"/>
      <c r="V957" s="49"/>
      <c r="W957" s="49"/>
      <c r="X957" s="49"/>
      <c r="Y957" s="49"/>
    </row>
    <row r="958" spans="1:25" ht="11.25" hidden="1" customHeight="1">
      <c r="B958" s="142" t="s">
        <v>480</v>
      </c>
      <c r="C958" s="142"/>
      <c r="D958" s="143" t="str">
        <f t="shared" si="26"/>
        <v/>
      </c>
      <c r="E958" s="144"/>
      <c r="F958" s="51" t="e">
        <f>T1.role(B958&amp;"@"&amp;F907,"CPD_RESULT","avr")</f>
        <v>#REF!</v>
      </c>
      <c r="G958" s="51" t="e">
        <f>T1.role(B958&amp;"@"&amp;G907,"CPD_RESULT","avr")</f>
        <v>#REF!</v>
      </c>
      <c r="H958" s="51" t="e">
        <f>T1.role(B958&amp;"@"&amp;H907,"CPD_RESULT","avr")</f>
        <v>#REF!</v>
      </c>
      <c r="I958" s="51" t="e">
        <f>T1.role(B958&amp;"@"&amp;I907,"CPD_RESULT","avr")</f>
        <v>#REF!</v>
      </c>
      <c r="J958" s="51" t="e">
        <f>T1.role(B958&amp;"@"&amp;J907,"CPD_RESULT","avr")</f>
        <v>#REF!</v>
      </c>
      <c r="K958" s="74" t="e">
        <f>T1.RD_HALF(F907:J907,F958:J958)</f>
        <v>#VALUE!</v>
      </c>
      <c r="L958" s="49"/>
      <c r="M958" s="49"/>
      <c r="N958" s="49"/>
      <c r="O958" s="49"/>
      <c r="P958" s="49"/>
      <c r="Q958" s="49"/>
      <c r="R958" s="49"/>
      <c r="S958" s="49"/>
      <c r="T958" s="49"/>
      <c r="U958" s="49"/>
      <c r="V958" s="49"/>
      <c r="W958" s="49"/>
      <c r="X958" s="49"/>
      <c r="Y958" s="49"/>
    </row>
    <row r="959" spans="1:25" ht="11.25" hidden="1" customHeight="1">
      <c r="B959" s="142" t="s">
        <v>499</v>
      </c>
      <c r="C959" s="142"/>
      <c r="D959" s="143" t="str">
        <f t="shared" si="26"/>
        <v/>
      </c>
      <c r="E959" s="144"/>
      <c r="F959" s="51" t="e">
        <f>T1.role(B959&amp;"@"&amp;F907,"CPD_RESULT","avr")</f>
        <v>#REF!</v>
      </c>
      <c r="G959" s="51" t="e">
        <f>T1.role(B959&amp;"@"&amp;G907,"CPD_RESULT","avr")</f>
        <v>#REF!</v>
      </c>
      <c r="H959" s="51" t="e">
        <f>T1.role(B959&amp;"@"&amp;H907,"CPD_RESULT","avr")</f>
        <v>#REF!</v>
      </c>
      <c r="I959" s="51" t="e">
        <f>T1.role(B959&amp;"@"&amp;I907,"CPD_RESULT","avr")</f>
        <v>#REF!</v>
      </c>
      <c r="J959" s="51" t="e">
        <f>T1.role(B959&amp;"@"&amp;J907,"CPD_RESULT","avr")</f>
        <v>#REF!</v>
      </c>
      <c r="K959" s="74" t="e">
        <f>T1.RD_HALF(F907:J907,F959:J959)</f>
        <v>#VALUE!</v>
      </c>
      <c r="L959" s="49"/>
      <c r="M959" s="49"/>
      <c r="N959" s="49"/>
      <c r="O959" s="49"/>
      <c r="P959" s="49"/>
      <c r="Q959" s="49"/>
      <c r="R959" s="49"/>
      <c r="S959" s="49"/>
      <c r="T959" s="49"/>
      <c r="U959" s="49"/>
      <c r="V959" s="49"/>
      <c r="W959" s="49"/>
      <c r="X959" s="49"/>
      <c r="Y959" s="49"/>
    </row>
    <row r="960" spans="1:25" ht="11.25" hidden="1" customHeight="1">
      <c r="B960" s="142" t="s">
        <v>518</v>
      </c>
      <c r="C960" s="142"/>
      <c r="D960" s="143" t="str">
        <f t="shared" si="26"/>
        <v/>
      </c>
      <c r="E960" s="144"/>
      <c r="F960" s="51" t="e">
        <f>T1.role(B960&amp;"@"&amp;F907,"CPD_RESULT","avr")</f>
        <v>#REF!</v>
      </c>
      <c r="G960" s="51" t="e">
        <f>T1.role(B960&amp;"@"&amp;G907,"CPD_RESULT","avr")</f>
        <v>#REF!</v>
      </c>
      <c r="H960" s="51" t="e">
        <f>T1.role(B960&amp;"@"&amp;H907,"CPD_RESULT","avr")</f>
        <v>#REF!</v>
      </c>
      <c r="I960" s="51" t="e">
        <f>T1.role(B960&amp;"@"&amp;I907,"CPD_RESULT","avr")</f>
        <v>#REF!</v>
      </c>
      <c r="J960" s="51" t="e">
        <f>T1.role(B960&amp;"@"&amp;J907,"CPD_RESULT","avr")</f>
        <v>#REF!</v>
      </c>
      <c r="K960" s="74" t="e">
        <f>T1.RD_HALF(F907:J907,F960:J960)</f>
        <v>#VALUE!</v>
      </c>
      <c r="L960" s="49"/>
      <c r="M960" s="49"/>
      <c r="N960" s="49"/>
      <c r="O960" s="49"/>
      <c r="P960" s="49"/>
      <c r="Q960" s="49"/>
      <c r="R960" s="49"/>
      <c r="S960" s="49"/>
      <c r="T960" s="49"/>
      <c r="U960" s="49"/>
      <c r="V960" s="49"/>
      <c r="W960" s="49"/>
      <c r="X960" s="49"/>
      <c r="Y960" s="49"/>
    </row>
    <row r="961" spans="1:26" ht="11.25" hidden="1" customHeight="1">
      <c r="B961" s="142" t="s">
        <v>537</v>
      </c>
      <c r="C961" s="142"/>
      <c r="D961" s="143" t="str">
        <f t="shared" si="26"/>
        <v/>
      </c>
      <c r="E961" s="144"/>
      <c r="F961" s="51" t="e">
        <f>T1.role(B961&amp;"@"&amp;F907,"CPD_RESULT","avr")</f>
        <v>#REF!</v>
      </c>
      <c r="G961" s="51" t="e">
        <f>T1.role(B961&amp;"@"&amp;G907,"CPD_RESULT","avr")</f>
        <v>#REF!</v>
      </c>
      <c r="H961" s="51" t="e">
        <f>T1.role(B961&amp;"@"&amp;H907,"CPD_RESULT","avr")</f>
        <v>#REF!</v>
      </c>
      <c r="I961" s="51" t="e">
        <f>T1.role(B961&amp;"@"&amp;I907,"CPD_RESULT","avr")</f>
        <v>#REF!</v>
      </c>
      <c r="J961" s="51" t="e">
        <f>T1.role(B961&amp;"@"&amp;J907,"CPD_RESULT","avr")</f>
        <v>#REF!</v>
      </c>
      <c r="K961" s="74" t="e">
        <f>T1.RD_HALF(F907:J907,F961:J961)</f>
        <v>#VALUE!</v>
      </c>
      <c r="L961" s="49"/>
      <c r="M961" s="49"/>
      <c r="N961" s="49"/>
      <c r="O961" s="49"/>
      <c r="P961" s="49"/>
      <c r="Q961" s="49"/>
      <c r="R961" s="49"/>
      <c r="S961" s="49"/>
      <c r="T961" s="49"/>
      <c r="U961" s="49"/>
      <c r="V961" s="49"/>
      <c r="W961" s="49"/>
      <c r="X961" s="49"/>
      <c r="Y961" s="49"/>
    </row>
    <row r="962" spans="1:26" ht="11.25" hidden="1" customHeight="1">
      <c r="B962" s="142" t="s">
        <v>556</v>
      </c>
      <c r="C962" s="142"/>
      <c r="D962" s="143" t="str">
        <f t="shared" si="26"/>
        <v/>
      </c>
      <c r="E962" s="144"/>
      <c r="F962" s="51" t="e">
        <f>T1.role(B962&amp;"@"&amp;F907,"CPD_RESULT","avr")</f>
        <v>#REF!</v>
      </c>
      <c r="G962" s="51" t="e">
        <f>T1.role(B962&amp;"@"&amp;G907,"CPD_RESULT","avr")</f>
        <v>#REF!</v>
      </c>
      <c r="H962" s="51" t="e">
        <f>T1.role(B962&amp;"@"&amp;H907,"CPD_RESULT","avr")</f>
        <v>#REF!</v>
      </c>
      <c r="I962" s="51" t="e">
        <f>T1.role(B962&amp;"@"&amp;I907,"CPD_RESULT","avr")</f>
        <v>#REF!</v>
      </c>
      <c r="J962" s="51" t="e">
        <f>T1.role(B962&amp;"@"&amp;J907,"CPD_RESULT","avr")</f>
        <v>#REF!</v>
      </c>
      <c r="K962" s="74" t="e">
        <f>T1.RD_HALF(F907:J907,F962:J962)</f>
        <v>#VALUE!</v>
      </c>
      <c r="L962" s="49"/>
      <c r="M962" s="49"/>
      <c r="N962" s="49"/>
      <c r="O962" s="49"/>
      <c r="P962" s="49"/>
      <c r="Q962" s="49"/>
      <c r="R962" s="49"/>
      <c r="S962" s="49"/>
      <c r="T962" s="49"/>
      <c r="U962" s="49"/>
      <c r="V962" s="49"/>
      <c r="W962" s="49"/>
      <c r="X962" s="49"/>
      <c r="Y962" s="49"/>
    </row>
    <row r="963" spans="1:26" ht="11.25" hidden="1" customHeight="1">
      <c r="B963" s="142" t="s">
        <v>575</v>
      </c>
      <c r="C963" s="142"/>
      <c r="D963" s="143" t="str">
        <f t="shared" si="26"/>
        <v/>
      </c>
      <c r="E963" s="144"/>
      <c r="F963" s="51" t="e">
        <f>T1.role(B963&amp;"@"&amp;F907,"CPD_RESULT","avr")</f>
        <v>#REF!</v>
      </c>
      <c r="G963" s="51" t="e">
        <f>T1.role(B963&amp;"@"&amp;G907,"CPD_RESULT","avr")</f>
        <v>#REF!</v>
      </c>
      <c r="H963" s="51" t="e">
        <f>T1.role(B963&amp;"@"&amp;H907,"CPD_RESULT","avr")</f>
        <v>#REF!</v>
      </c>
      <c r="I963" s="51" t="e">
        <f>T1.role(B963&amp;"@"&amp;I907,"CPD_RESULT","avr")</f>
        <v>#REF!</v>
      </c>
      <c r="J963" s="51" t="e">
        <f>T1.role(B963&amp;"@"&amp;J907,"CPD_RESULT","avr")</f>
        <v>#REF!</v>
      </c>
      <c r="K963" s="74" t="e">
        <f>T1.RD_HALF(F907:J907,F963:J963)</f>
        <v>#VALUE!</v>
      </c>
      <c r="L963" s="49"/>
      <c r="M963" s="49"/>
      <c r="N963" s="49"/>
      <c r="O963" s="49"/>
      <c r="P963" s="49"/>
      <c r="Q963" s="49"/>
      <c r="R963" s="49"/>
      <c r="S963" s="49"/>
      <c r="T963" s="49"/>
      <c r="U963" s="49"/>
      <c r="V963" s="49"/>
      <c r="W963" s="49"/>
      <c r="X963" s="49"/>
      <c r="Y963" s="49"/>
    </row>
    <row r="964" spans="1:26" ht="11.25" hidden="1" customHeight="1">
      <c r="B964" s="142" t="s">
        <v>592</v>
      </c>
      <c r="C964" s="142"/>
      <c r="D964" s="143" t="str">
        <f t="shared" si="26"/>
        <v/>
      </c>
      <c r="E964" s="144"/>
      <c r="F964" s="51" t="e">
        <f>T1.role(B964&amp;"@"&amp;F907,"CPD_RESULT","avr")</f>
        <v>#REF!</v>
      </c>
      <c r="G964" s="51" t="e">
        <f>T1.role(B964&amp;"@"&amp;G907,"CPD_RESULT","avr")</f>
        <v>#REF!</v>
      </c>
      <c r="H964" s="51" t="e">
        <f>T1.role(B964&amp;"@"&amp;H907,"CPD_RESULT","avr")</f>
        <v>#REF!</v>
      </c>
      <c r="I964" s="51" t="e">
        <f>T1.role(B964&amp;"@"&amp;I907,"CPD_RESULT","avr")</f>
        <v>#REF!</v>
      </c>
      <c r="J964" s="51" t="e">
        <f>T1.role(B964&amp;"@"&amp;J907,"CPD_RESULT","avr")</f>
        <v>#REF!</v>
      </c>
      <c r="K964" s="74" t="e">
        <f>T1.RD_HALF(F907:J907,F964:J964)</f>
        <v>#VALUE!</v>
      </c>
      <c r="L964" s="49"/>
      <c r="M964" s="49"/>
      <c r="N964" s="49"/>
      <c r="O964" s="49"/>
      <c r="P964" s="49"/>
      <c r="Q964" s="49"/>
      <c r="R964" s="49"/>
      <c r="S964" s="49"/>
      <c r="T964" s="49"/>
      <c r="U964" s="49"/>
      <c r="V964" s="49"/>
      <c r="W964" s="49"/>
      <c r="X964" s="49"/>
      <c r="Y964" s="49"/>
    </row>
    <row r="965" spans="1:26" ht="11.25" hidden="1" customHeight="1">
      <c r="B965" s="142" t="s">
        <v>611</v>
      </c>
      <c r="C965" s="142"/>
      <c r="D965" s="143" t="str">
        <f t="shared" si="26"/>
        <v/>
      </c>
      <c r="E965" s="144"/>
      <c r="F965" s="51" t="e">
        <f>T1.role(B965&amp;"@"&amp;F907,"CPD_RESULT","avr")</f>
        <v>#REF!</v>
      </c>
      <c r="G965" s="51" t="e">
        <f>T1.role(B965&amp;"@"&amp;G907,"CPD_RESULT","avr")</f>
        <v>#REF!</v>
      </c>
      <c r="H965" s="51" t="e">
        <f>T1.role(B965&amp;"@"&amp;H907,"CPD_RESULT","avr")</f>
        <v>#REF!</v>
      </c>
      <c r="I965" s="51" t="e">
        <f>T1.role(B965&amp;"@"&amp;I907,"CPD_RESULT","avr")</f>
        <v>#REF!</v>
      </c>
      <c r="J965" s="51" t="e">
        <f>T1.role(B965&amp;"@"&amp;J907,"CPD_RESULT","avr")</f>
        <v>#REF!</v>
      </c>
      <c r="K965" s="74" t="e">
        <f>T1.RD_HALF(F907:J907,F965:J965)</f>
        <v>#VALUE!</v>
      </c>
      <c r="L965" s="49"/>
      <c r="M965" s="49"/>
      <c r="N965" s="49"/>
      <c r="O965" s="49"/>
      <c r="P965" s="49"/>
      <c r="Q965" s="49"/>
      <c r="R965" s="49"/>
      <c r="S965" s="49"/>
      <c r="T965" s="49"/>
      <c r="U965" s="49"/>
      <c r="V965" s="49"/>
      <c r="W965" s="49"/>
      <c r="X965" s="49"/>
      <c r="Y965" s="49"/>
    </row>
    <row r="966" spans="1:26" ht="11.25" hidden="1" customHeight="1">
      <c r="B966" s="142" t="s">
        <v>630</v>
      </c>
      <c r="C966" s="142"/>
      <c r="D966" s="143" t="str">
        <f t="shared" si="26"/>
        <v/>
      </c>
      <c r="E966" s="144"/>
      <c r="F966" s="51" t="e">
        <f>T1.role(B966&amp;"@"&amp;F907,"CPD_RESULT","avr")</f>
        <v>#REF!</v>
      </c>
      <c r="G966" s="51" t="e">
        <f>T1.role(B966&amp;"@"&amp;G907,"CPD_RESULT","avr")</f>
        <v>#REF!</v>
      </c>
      <c r="H966" s="51" t="e">
        <f>T1.role(B966&amp;"@"&amp;H907,"CPD_RESULT","avr")</f>
        <v>#REF!</v>
      </c>
      <c r="I966" s="51" t="e">
        <f>T1.role(B966&amp;"@"&amp;I907,"CPD_RESULT","avr")</f>
        <v>#REF!</v>
      </c>
      <c r="J966" s="51" t="e">
        <f>T1.role(B966&amp;"@"&amp;J907,"CPD_RESULT","avr")</f>
        <v>#REF!</v>
      </c>
      <c r="K966" s="74" t="e">
        <f>T1.RD_HALF(F907:J907,F966:J966)</f>
        <v>#VALUE!</v>
      </c>
      <c r="L966" s="49"/>
      <c r="M966" s="49"/>
      <c r="N966" s="49"/>
      <c r="O966" s="49"/>
      <c r="P966" s="49"/>
      <c r="Q966" s="49"/>
      <c r="R966" s="49"/>
      <c r="S966" s="49"/>
      <c r="T966" s="49"/>
      <c r="U966" s="49"/>
      <c r="V966" s="49"/>
      <c r="W966" s="49"/>
      <c r="X966" s="49"/>
      <c r="Y966" s="49"/>
    </row>
    <row r="967" spans="1:26" ht="11.25" hidden="1" customHeight="1">
      <c r="B967" s="142" t="s">
        <v>649</v>
      </c>
      <c r="C967" s="142"/>
      <c r="D967" s="143" t="str">
        <f t="shared" si="26"/>
        <v/>
      </c>
      <c r="E967" s="144"/>
      <c r="F967" s="51" t="e">
        <f>T1.role(B967&amp;"@"&amp;F907,"CPD_RESULT","avr")</f>
        <v>#REF!</v>
      </c>
      <c r="G967" s="51" t="e">
        <f>T1.role(B967&amp;"@"&amp;G907,"CPD_RESULT","avr")</f>
        <v>#REF!</v>
      </c>
      <c r="H967" s="51" t="e">
        <f>T1.role(B967&amp;"@"&amp;H907,"CPD_RESULT","avr")</f>
        <v>#REF!</v>
      </c>
      <c r="I967" s="51" t="e">
        <f>T1.role(B967&amp;"@"&amp;I907,"CPD_RESULT","avr")</f>
        <v>#REF!</v>
      </c>
      <c r="J967" s="51" t="e">
        <f>T1.role(B967&amp;"@"&amp;J907,"CPD_RESULT","avr")</f>
        <v>#REF!</v>
      </c>
      <c r="K967" s="74" t="e">
        <f>T1.RD_HALF(F907:J907,F967:J967)</f>
        <v>#VALUE!</v>
      </c>
      <c r="L967" s="49"/>
      <c r="M967" s="49"/>
      <c r="N967" s="49"/>
      <c r="O967" s="49"/>
      <c r="P967" s="49"/>
      <c r="Q967" s="49"/>
      <c r="R967" s="49"/>
      <c r="S967" s="49"/>
      <c r="T967" s="49"/>
      <c r="U967" s="49"/>
      <c r="V967" s="49"/>
      <c r="W967" s="49"/>
      <c r="X967" s="49"/>
      <c r="Y967" s="49"/>
    </row>
    <row r="968" spans="1:26" ht="11.25" hidden="1" customHeight="1">
      <c r="B968" s="142" t="s">
        <v>667</v>
      </c>
      <c r="C968" s="142"/>
      <c r="D968" s="143" t="str">
        <f t="shared" si="26"/>
        <v/>
      </c>
      <c r="E968" s="144"/>
      <c r="F968" s="51" t="e">
        <f>T1.role(B968&amp;"@"&amp;F907,"CPD_RESULT","avr")</f>
        <v>#REF!</v>
      </c>
      <c r="G968" s="51" t="e">
        <f>T1.role(B968&amp;"@"&amp;G907,"CPD_RESULT","avr")</f>
        <v>#REF!</v>
      </c>
      <c r="H968" s="51" t="e">
        <f>T1.role(B968&amp;"@"&amp;H907,"CPD_RESULT","avr")</f>
        <v>#REF!</v>
      </c>
      <c r="I968" s="51" t="e">
        <f>T1.role(B968&amp;"@"&amp;I907,"CPD_RESULT","avr")</f>
        <v>#REF!</v>
      </c>
      <c r="J968" s="51" t="e">
        <f>T1.role(B968&amp;"@"&amp;J907,"CPD_RESULT","avr")</f>
        <v>#REF!</v>
      </c>
      <c r="K968" s="74" t="e">
        <f>T1.RD_HALF(F907:J907,F968:J968)</f>
        <v>#VALUE!</v>
      </c>
      <c r="L968" s="49"/>
      <c r="M968" s="49"/>
      <c r="N968" s="49"/>
      <c r="O968" s="49"/>
      <c r="P968" s="49"/>
      <c r="Q968" s="49"/>
      <c r="R968" s="49"/>
      <c r="S968" s="49"/>
      <c r="T968" s="49"/>
      <c r="U968" s="49"/>
      <c r="V968" s="49"/>
      <c r="W968" s="49"/>
      <c r="X968" s="49"/>
      <c r="Y968" s="49"/>
    </row>
    <row r="969" spans="1:26" ht="11.25" hidden="1" customHeight="1">
      <c r="B969" s="142" t="s">
        <v>686</v>
      </c>
      <c r="C969" s="142"/>
      <c r="D969" s="143" t="str">
        <f t="shared" si="26"/>
        <v/>
      </c>
      <c r="E969" s="144"/>
      <c r="F969" s="51" t="e">
        <f>T1.role(B969&amp;"@"&amp;F907,"CPD_RESULT","avr")</f>
        <v>#REF!</v>
      </c>
      <c r="G969" s="51" t="e">
        <f>T1.role(B969&amp;"@"&amp;G907,"CPD_RESULT","avr")</f>
        <v>#REF!</v>
      </c>
      <c r="H969" s="51" t="e">
        <f>T1.role(B969&amp;"@"&amp;H907,"CPD_RESULT","avr")</f>
        <v>#REF!</v>
      </c>
      <c r="I969" s="51" t="e">
        <f>T1.role(B969&amp;"@"&amp;I907,"CPD_RESULT","avr")</f>
        <v>#REF!</v>
      </c>
      <c r="J969" s="51" t="e">
        <f>T1.role(B969&amp;"@"&amp;J907,"CPD_RESULT","avr")</f>
        <v>#REF!</v>
      </c>
      <c r="K969" s="74" t="e">
        <f>T1.RD_HALF(F907:J907,F969:J969)</f>
        <v>#VALUE!</v>
      </c>
      <c r="L969" s="49"/>
      <c r="M969" s="49"/>
      <c r="N969" s="49"/>
      <c r="O969" s="49"/>
      <c r="P969" s="49"/>
      <c r="Q969" s="49"/>
      <c r="R969" s="49"/>
      <c r="S969" s="49"/>
      <c r="T969" s="49"/>
      <c r="U969" s="49"/>
      <c r="V969" s="49"/>
      <c r="W969" s="49"/>
      <c r="X969" s="49"/>
      <c r="Y969" s="49"/>
    </row>
    <row r="970" spans="1:26" ht="11.25" hidden="1" customHeight="1">
      <c r="B970" s="142" t="s">
        <v>705</v>
      </c>
      <c r="C970" s="142"/>
      <c r="D970" s="143" t="str">
        <f t="shared" si="26"/>
        <v/>
      </c>
      <c r="E970" s="144"/>
      <c r="F970" s="51" t="e">
        <f>T1.role(B970&amp;"@"&amp;F907,"CPD_RESULT","avr")</f>
        <v>#REF!</v>
      </c>
      <c r="G970" s="51" t="e">
        <f>T1.role(B970&amp;"@"&amp;G907,"CPD_RESULT","avr")</f>
        <v>#REF!</v>
      </c>
      <c r="H970" s="51" t="e">
        <f>T1.role(B970&amp;"@"&amp;H907,"CPD_RESULT","avr")</f>
        <v>#REF!</v>
      </c>
      <c r="I970" s="51" t="e">
        <f>T1.role(B970&amp;"@"&amp;I907,"CPD_RESULT","avr")</f>
        <v>#REF!</v>
      </c>
      <c r="J970" s="51" t="e">
        <f>T1.role(B970&amp;"@"&amp;J907,"CPD_RESULT","avr")</f>
        <v>#REF!</v>
      </c>
      <c r="K970" s="74" t="e">
        <f>T1.RD_HALF(F907:J907,F970:J970)</f>
        <v>#VALUE!</v>
      </c>
      <c r="L970" s="49"/>
      <c r="M970" s="49"/>
      <c r="N970" s="49"/>
      <c r="O970" s="49"/>
      <c r="P970" s="49"/>
      <c r="Q970" s="49"/>
      <c r="R970" s="49"/>
      <c r="S970" s="49"/>
      <c r="T970" s="49"/>
      <c r="U970" s="49"/>
      <c r="V970" s="49"/>
      <c r="W970" s="49"/>
      <c r="X970" s="49"/>
      <c r="Y970" s="49"/>
    </row>
    <row r="971" spans="1:26" ht="11.25" hidden="1" customHeight="1">
      <c r="B971" s="142" t="s">
        <v>724</v>
      </c>
      <c r="C971" s="142"/>
      <c r="D971" s="143" t="str">
        <f t="shared" si="26"/>
        <v/>
      </c>
      <c r="E971" s="144"/>
      <c r="F971" s="51" t="e">
        <f>T1.role(B971&amp;"@"&amp;F907,"CPD_RESULT","avr")</f>
        <v>#REF!</v>
      </c>
      <c r="G971" s="51" t="e">
        <f>T1.role(B971&amp;"@"&amp;G907,"CPD_RESULT","avr")</f>
        <v>#REF!</v>
      </c>
      <c r="H971" s="51" t="e">
        <f>T1.role(B971&amp;"@"&amp;H907,"CPD_RESULT","avr")</f>
        <v>#REF!</v>
      </c>
      <c r="I971" s="51" t="e">
        <f>T1.role(B971&amp;"@"&amp;I907,"CPD_RESULT","avr")</f>
        <v>#REF!</v>
      </c>
      <c r="J971" s="51" t="e">
        <f>T1.role(B971&amp;"@"&amp;J907,"CPD_RESULT","avr")</f>
        <v>#REF!</v>
      </c>
      <c r="K971" s="74" t="e">
        <f>T1.RD_HALF(F907:J907,F971:J971)</f>
        <v>#VALUE!</v>
      </c>
      <c r="L971" s="49"/>
      <c r="M971" s="49"/>
      <c r="N971" s="49"/>
      <c r="O971" s="49"/>
      <c r="P971" s="49"/>
      <c r="Q971" s="49"/>
      <c r="R971" s="49"/>
      <c r="S971" s="49"/>
      <c r="T971" s="49"/>
      <c r="U971" s="49"/>
      <c r="V971" s="49"/>
      <c r="W971" s="49"/>
      <c r="X971" s="49"/>
      <c r="Y971" s="49"/>
    </row>
    <row r="972" spans="1:26" ht="11.25" customHeight="1">
      <c r="B972" s="23"/>
      <c r="C972" s="23"/>
      <c r="D972" s="23"/>
      <c r="E972" s="23"/>
      <c r="F972" s="23"/>
      <c r="G972" s="23"/>
      <c r="H972" s="23"/>
      <c r="I972" s="23"/>
      <c r="J972" s="23"/>
      <c r="K972" s="23"/>
      <c r="L972" s="23"/>
      <c r="M972" s="23"/>
      <c r="N972" s="23"/>
      <c r="O972" s="23"/>
      <c r="P972" s="23"/>
      <c r="Q972" s="23"/>
      <c r="R972" s="23"/>
      <c r="S972" s="23"/>
      <c r="T972" s="23"/>
      <c r="U972" s="23"/>
      <c r="V972" s="23"/>
      <c r="W972" s="23"/>
      <c r="X972" s="23"/>
      <c r="Y972" s="23"/>
      <c r="Z972" s="23"/>
    </row>
    <row r="973" spans="1:26" s="130" customFormat="1" ht="11.25" customHeight="1">
      <c r="A973" s="129" t="s">
        <v>3291</v>
      </c>
    </row>
    <row r="974" spans="1:26" ht="11.25" customHeight="1">
      <c r="A974" s="49"/>
      <c r="C974" s="49"/>
      <c r="D974" s="49"/>
      <c r="E974" s="49"/>
      <c r="F974" s="49"/>
      <c r="G974" s="49"/>
      <c r="H974" s="49"/>
      <c r="I974" s="49"/>
      <c r="K974" s="49"/>
      <c r="L974" s="49"/>
      <c r="M974" s="49"/>
      <c r="N974" s="49"/>
      <c r="O974" s="49"/>
      <c r="P974" s="49"/>
      <c r="Q974" s="49"/>
      <c r="R974" s="49"/>
      <c r="S974" s="49"/>
      <c r="T974" s="49"/>
      <c r="U974" s="49"/>
      <c r="V974" s="49"/>
      <c r="W974" s="49"/>
      <c r="X974" s="49"/>
      <c r="Y974" s="49"/>
      <c r="Z974" s="49"/>
    </row>
    <row r="975" spans="1:26" ht="11.25" customHeight="1">
      <c r="A975" s="49"/>
      <c r="B975" s="39"/>
      <c r="C975" s="76" t="s">
        <v>815</v>
      </c>
      <c r="D975" s="47"/>
      <c r="E975" s="47"/>
      <c r="F975" s="128"/>
      <c r="G975" s="76" t="s">
        <v>2001</v>
      </c>
      <c r="H975" s="47"/>
      <c r="I975" s="47"/>
      <c r="J975" s="128"/>
      <c r="K975" s="76" t="s">
        <v>2005</v>
      </c>
      <c r="L975" s="47"/>
      <c r="M975" s="47"/>
      <c r="N975" s="128"/>
      <c r="O975" s="76" t="s">
        <v>2006</v>
      </c>
      <c r="P975" s="47"/>
      <c r="Q975" s="47"/>
      <c r="R975" s="128"/>
      <c r="S975" s="49"/>
      <c r="T975" s="49"/>
      <c r="U975" s="49"/>
      <c r="V975" s="49"/>
      <c r="W975" s="49"/>
      <c r="X975" s="49"/>
      <c r="Y975" s="49"/>
      <c r="Z975" s="49"/>
    </row>
    <row r="976" spans="1:26" ht="11.25" customHeight="1">
      <c r="A976" s="49"/>
      <c r="B976" s="44"/>
      <c r="C976" s="76" t="str">
        <f>T1.role(C975,"cpdid")</f>
        <v/>
      </c>
      <c r="D976" s="47"/>
      <c r="E976" s="47"/>
      <c r="F976" s="128"/>
      <c r="G976" s="76" t="str">
        <f>T1.role(G975,"cpdid")</f>
        <v/>
      </c>
      <c r="H976" s="47"/>
      <c r="I976" s="47"/>
      <c r="J976" s="128"/>
      <c r="K976" s="76" t="str">
        <f>T1.role(K975,"cpdid")</f>
        <v/>
      </c>
      <c r="L976" s="47"/>
      <c r="M976" s="47"/>
      <c r="N976" s="128"/>
      <c r="O976" s="76" t="str">
        <f>T1.role(O975,"cpdid")</f>
        <v/>
      </c>
      <c r="P976" s="47"/>
      <c r="Q976" s="47"/>
      <c r="R976" s="128"/>
      <c r="S976" s="49"/>
      <c r="T976" s="49"/>
      <c r="U976" s="49"/>
      <c r="V976" s="49"/>
      <c r="W976" s="49"/>
      <c r="X976" s="49"/>
      <c r="Y976" s="49"/>
      <c r="Z976" s="49"/>
    </row>
    <row r="977" spans="1:26" ht="11.25" customHeight="1">
      <c r="A977" s="49"/>
      <c r="B977" s="127">
        <v>20</v>
      </c>
      <c r="C977" s="127" t="e">
        <f>T1.role(C975&amp;"@"&amp;B977,"CPD_RESULT","val",1)</f>
        <v>#REF!</v>
      </c>
      <c r="D977" s="133" t="e">
        <f>T1.role(C975&amp;"@"&amp;B977,"CPD_RESULT","val",2)</f>
        <v>#REF!</v>
      </c>
      <c r="E977" s="133" t="e">
        <f>T1.role(C975&amp;"@"&amp;B977,"CPD_RESULT","val",3)</f>
        <v>#REF!</v>
      </c>
      <c r="F977" s="133" t="e">
        <f>T1.role(C975&amp;"@"&amp;B977,"CPD_RESULT","val",4)</f>
        <v>#REF!</v>
      </c>
      <c r="G977" s="133" t="e">
        <f>T1.role(G975&amp;"@"&amp;B977,"CPD_RESULT","val",1)</f>
        <v>#REF!</v>
      </c>
      <c r="H977" s="133" t="e">
        <f>T1.role(G975&amp;"@"&amp;B977,"CPD_RESULT","val",2)</f>
        <v>#REF!</v>
      </c>
      <c r="I977" s="133" t="e">
        <f>T1.role(G975&amp;"@"&amp;B977,"CPD_RESULT","val",3)</f>
        <v>#REF!</v>
      </c>
      <c r="J977" s="133" t="e">
        <f>T1.role(G975&amp;"@"&amp;B977,"CPD_RESULT","val",4)</f>
        <v>#REF!</v>
      </c>
      <c r="K977" s="133" t="e">
        <f>T1.role(K975&amp;"@"&amp;B977,"CPD_RESULT","val",1)</f>
        <v>#REF!</v>
      </c>
      <c r="L977" s="133" t="e">
        <f>T1.role(K975&amp;"@"&amp;B977,"CPD_RESULT","val",2)</f>
        <v>#REF!</v>
      </c>
      <c r="M977" s="133" t="e">
        <f>T1.role(K975&amp;"@"&amp;B977,"CPD_RESULT","val",3)</f>
        <v>#REF!</v>
      </c>
      <c r="N977" s="133" t="e">
        <f>T1.role(K975&amp;"@"&amp;B977,"CPD_RESULT","val",4)</f>
        <v>#REF!</v>
      </c>
      <c r="O977" s="133" t="e">
        <f>T1.role(O975&amp;"@"&amp;B977,"CPD_RESULT","val",1)</f>
        <v>#REF!</v>
      </c>
      <c r="P977" s="133" t="e">
        <f>T1.role(O975&amp;"@"&amp;B977,"CPD_RESULT","val",2)</f>
        <v>#REF!</v>
      </c>
      <c r="Q977" s="133" t="e">
        <f>T1.role(O975&amp;"@"&amp;B977,"CPD_RESULT","val",3)</f>
        <v>#REF!</v>
      </c>
      <c r="R977" s="133" t="e">
        <f>T1.role(O975&amp;"@"&amp;B977,"CPD_RESULT","val",4)</f>
        <v>#REF!</v>
      </c>
      <c r="S977" s="49"/>
      <c r="T977" s="49"/>
      <c r="U977" s="49"/>
      <c r="V977" s="49"/>
      <c r="W977" s="49"/>
      <c r="X977" s="49"/>
      <c r="Y977" s="49"/>
      <c r="Z977" s="49"/>
    </row>
    <row r="978" spans="1:26" ht="11.25" customHeight="1">
      <c r="A978" s="49"/>
      <c r="B978" s="127">
        <v>6</v>
      </c>
      <c r="C978" s="133" t="e">
        <f>T1.role(C975&amp;"@"&amp;B978,"CPD_RESULT","val",1)</f>
        <v>#REF!</v>
      </c>
      <c r="D978" s="133" t="e">
        <f>T1.role(C975&amp;"@"&amp;B978,"CPD_RESULT","val",2)</f>
        <v>#REF!</v>
      </c>
      <c r="E978" s="133" t="e">
        <f>T1.role(C975&amp;"@"&amp;B978,"CPD_RESULT","val",3)</f>
        <v>#REF!</v>
      </c>
      <c r="F978" s="133" t="e">
        <f>T1.role(C975&amp;"@"&amp;B978,"CPD_RESULT","val",4)</f>
        <v>#REF!</v>
      </c>
      <c r="G978" s="133" t="e">
        <f>T1.role(G975&amp;"@"&amp;B978,"CPD_RESULT","val",1)</f>
        <v>#REF!</v>
      </c>
      <c r="H978" s="133" t="e">
        <f>T1.role(G975&amp;"@"&amp;B978,"CPD_RESULT","val",2)</f>
        <v>#REF!</v>
      </c>
      <c r="I978" s="133" t="e">
        <f>T1.role(G975&amp;"@"&amp;B978,"CPD_RESULT","val",3)</f>
        <v>#REF!</v>
      </c>
      <c r="J978" s="133" t="e">
        <f>T1.role(G975&amp;"@"&amp;B978,"CPD_RESULT","val",4)</f>
        <v>#REF!</v>
      </c>
      <c r="K978" s="133" t="e">
        <f>T1.role(K975&amp;"@"&amp;B978,"CPD_RESULT","val",1)</f>
        <v>#REF!</v>
      </c>
      <c r="L978" s="133" t="e">
        <f>T1.role(K975&amp;"@"&amp;B978,"CPD_RESULT","val",2)</f>
        <v>#REF!</v>
      </c>
      <c r="M978" s="133" t="e">
        <f>T1.role(K975&amp;"@"&amp;B978,"CPD_RESULT","val",3)</f>
        <v>#REF!</v>
      </c>
      <c r="N978" s="133" t="e">
        <f>T1.role(K975&amp;"@"&amp;B978,"CPD_RESULT","val",4)</f>
        <v>#REF!</v>
      </c>
      <c r="O978" s="133" t="e">
        <f>T1.role(O975&amp;"@"&amp;B978,"CPD_RESULT","val",1)</f>
        <v>#REF!</v>
      </c>
      <c r="P978" s="133" t="e">
        <f>T1.role(O975&amp;"@"&amp;B978,"CPD_RESULT","val",2)</f>
        <v>#REF!</v>
      </c>
      <c r="Q978" s="133" t="e">
        <f>T1.role(O975&amp;"@"&amp;B978,"CPD_RESULT","val",3)</f>
        <v>#REF!</v>
      </c>
      <c r="R978" s="133" t="e">
        <f>T1.role(O975&amp;"@"&amp;B978,"CPD_RESULT","val",4)</f>
        <v>#REF!</v>
      </c>
      <c r="S978" s="49"/>
      <c r="T978" s="49"/>
      <c r="U978" s="49"/>
      <c r="V978" s="49"/>
      <c r="W978" s="49"/>
      <c r="X978" s="49"/>
      <c r="Y978" s="49"/>
      <c r="Z978" s="49"/>
    </row>
    <row r="979" spans="1:26" ht="11.25" customHeight="1">
      <c r="A979" s="49"/>
      <c r="B979" s="127">
        <v>2</v>
      </c>
      <c r="C979" s="133" t="e">
        <f>T1.role(C975&amp;"@"&amp;B979,"CPD_RESULT","val",1)</f>
        <v>#REF!</v>
      </c>
      <c r="D979" s="133" t="e">
        <f>T1.role(C975&amp;"@"&amp;B979,"CPD_RESULT","val",2)</f>
        <v>#REF!</v>
      </c>
      <c r="E979" s="133" t="e">
        <f>T1.role(C975&amp;"@"&amp;B979,"CPD_RESULT","val",3)</f>
        <v>#REF!</v>
      </c>
      <c r="F979" s="133" t="e">
        <f>T1.role(C975&amp;"@"&amp;B979,"CPD_RESULT","val",4)</f>
        <v>#REF!</v>
      </c>
      <c r="G979" s="133" t="e">
        <f>T1.role(G975&amp;"@"&amp;B979,"CPD_RESULT","val",1)</f>
        <v>#REF!</v>
      </c>
      <c r="H979" s="133" t="e">
        <f>T1.role(G975&amp;"@"&amp;B979,"CPD_RESULT","val",2)</f>
        <v>#REF!</v>
      </c>
      <c r="I979" s="133" t="e">
        <f>T1.role(G975&amp;"@"&amp;B979,"CPD_RESULT","val",3)</f>
        <v>#REF!</v>
      </c>
      <c r="J979" s="133" t="e">
        <f>T1.role(G975&amp;"@"&amp;B979,"CPD_RESULT","val",4)</f>
        <v>#REF!</v>
      </c>
      <c r="K979" s="133" t="e">
        <f>T1.role(K975&amp;"@"&amp;B979,"CPD_RESULT","val",1)</f>
        <v>#REF!</v>
      </c>
      <c r="L979" s="133" t="e">
        <f>T1.role(K975&amp;"@"&amp;B979,"CPD_RESULT","val",2)</f>
        <v>#REF!</v>
      </c>
      <c r="M979" s="133" t="e">
        <f>T1.role(K975&amp;"@"&amp;B979,"CPD_RESULT","val",3)</f>
        <v>#REF!</v>
      </c>
      <c r="N979" s="133" t="e">
        <f>T1.role(K975&amp;"@"&amp;B979,"CPD_RESULT","val",4)</f>
        <v>#REF!</v>
      </c>
      <c r="O979" s="133" t="e">
        <f>T1.role(O975&amp;"@"&amp;B979,"CPD_RESULT","val",1)</f>
        <v>#REF!</v>
      </c>
      <c r="P979" s="133" t="e">
        <f>T1.role(O975&amp;"@"&amp;B979,"CPD_RESULT","val",2)</f>
        <v>#REF!</v>
      </c>
      <c r="Q979" s="133" t="e">
        <f>T1.role(O975&amp;"@"&amp;B979,"CPD_RESULT","val",3)</f>
        <v>#REF!</v>
      </c>
      <c r="R979" s="133" t="e">
        <f>T1.role(O975&amp;"@"&amp;B979,"CPD_RESULT","val",4)</f>
        <v>#REF!</v>
      </c>
      <c r="S979" s="49"/>
      <c r="T979" s="49"/>
      <c r="U979" s="49"/>
      <c r="V979" s="49"/>
      <c r="W979" s="49"/>
      <c r="X979" s="49"/>
      <c r="Y979" s="49"/>
      <c r="Z979" s="49"/>
    </row>
    <row r="980" spans="1:26" ht="11.25" customHeight="1">
      <c r="A980" s="49"/>
      <c r="B980" s="127">
        <v>0.6</v>
      </c>
      <c r="C980" s="133" t="e">
        <f>T1.role(C975&amp;"@"&amp;B980,"CPD_RESULT","val",1)</f>
        <v>#REF!</v>
      </c>
      <c r="D980" s="133" t="e">
        <f>T1.role(C975&amp;"@"&amp;B980,"CPD_RESULT","val",2)</f>
        <v>#REF!</v>
      </c>
      <c r="E980" s="133" t="e">
        <f>T1.role(C975&amp;"@"&amp;B980,"CPD_RESULT","val",3)</f>
        <v>#REF!</v>
      </c>
      <c r="F980" s="133" t="e">
        <f>T1.role(C975&amp;"@"&amp;B980,"CPD_RESULT","val",4)</f>
        <v>#REF!</v>
      </c>
      <c r="G980" s="133" t="e">
        <f>T1.role(G975&amp;"@"&amp;B980,"CPD_RESULT","val",1)</f>
        <v>#REF!</v>
      </c>
      <c r="H980" s="133" t="e">
        <f>T1.role(G975&amp;"@"&amp;B980,"CPD_RESULT","val",2)</f>
        <v>#REF!</v>
      </c>
      <c r="I980" s="133" t="e">
        <f>T1.role(G975&amp;"@"&amp;B980,"CPD_RESULT","val",3)</f>
        <v>#REF!</v>
      </c>
      <c r="J980" s="133" t="e">
        <f>T1.role(G975&amp;"@"&amp;B980,"CPD_RESULT","val",4)</f>
        <v>#REF!</v>
      </c>
      <c r="K980" s="133" t="e">
        <f>T1.role(K975&amp;"@"&amp;B980,"CPD_RESULT","val",1)</f>
        <v>#REF!</v>
      </c>
      <c r="L980" s="133" t="e">
        <f>T1.role(K975&amp;"@"&amp;B980,"CPD_RESULT","val",2)</f>
        <v>#REF!</v>
      </c>
      <c r="M980" s="133" t="e">
        <f>T1.role(K975&amp;"@"&amp;B980,"CPD_RESULT","val",3)</f>
        <v>#REF!</v>
      </c>
      <c r="N980" s="133" t="e">
        <f>T1.role(K975&amp;"@"&amp;B980,"CPD_RESULT","val",4)</f>
        <v>#REF!</v>
      </c>
      <c r="O980" s="133" t="e">
        <f>T1.role(O975&amp;"@"&amp;B980,"CPD_RESULT","val",1)</f>
        <v>#REF!</v>
      </c>
      <c r="P980" s="133" t="e">
        <f>T1.role(O975&amp;"@"&amp;B980,"CPD_RESULT","val",2)</f>
        <v>#REF!</v>
      </c>
      <c r="Q980" s="133" t="e">
        <f>T1.role(O975&amp;"@"&amp;B980,"CPD_RESULT","val",3)</f>
        <v>#REF!</v>
      </c>
      <c r="R980" s="133" t="e">
        <f>T1.role(O975&amp;"@"&amp;B980,"CPD_RESULT","val",4)</f>
        <v>#REF!</v>
      </c>
      <c r="S980" s="49"/>
      <c r="T980" s="49"/>
      <c r="U980" s="49"/>
      <c r="V980" s="49"/>
      <c r="W980" s="49"/>
      <c r="X980" s="49"/>
      <c r="Y980" s="49"/>
      <c r="Z980" s="49"/>
    </row>
    <row r="981" spans="1:26" ht="11.25" customHeight="1">
      <c r="A981" s="49"/>
      <c r="B981" s="127">
        <v>0.2</v>
      </c>
      <c r="C981" s="133" t="e">
        <f>T1.role(C975&amp;"@"&amp;B981,"CPD_RESULT","val",1)</f>
        <v>#REF!</v>
      </c>
      <c r="D981" s="133" t="e">
        <f>T1.role(C975&amp;"@"&amp;B981,"CPD_RESULT","val",2)</f>
        <v>#REF!</v>
      </c>
      <c r="E981" s="133" t="e">
        <f>T1.role(C975&amp;"@"&amp;B981,"CPD_RESULT","val",3)</f>
        <v>#REF!</v>
      </c>
      <c r="F981" s="133" t="e">
        <f>T1.role(C975&amp;"@"&amp;B981,"CPD_RESULT","val",4)</f>
        <v>#REF!</v>
      </c>
      <c r="G981" s="133" t="e">
        <f>T1.role(G975&amp;"@"&amp;B981,"CPD_RESULT","val",1)</f>
        <v>#REF!</v>
      </c>
      <c r="H981" s="133" t="e">
        <f>T1.role(G975&amp;"@"&amp;B981,"CPD_RESULT","val",2)</f>
        <v>#REF!</v>
      </c>
      <c r="I981" s="133" t="e">
        <f>T1.role(G975&amp;"@"&amp;B981,"CPD_RESULT","val",3)</f>
        <v>#REF!</v>
      </c>
      <c r="J981" s="133" t="e">
        <f>T1.role(G975&amp;"@"&amp;B981,"CPD_RESULT","val",4)</f>
        <v>#REF!</v>
      </c>
      <c r="K981" s="133" t="e">
        <f>T1.role(K975&amp;"@"&amp;B981,"CPD_RESULT","val",1)</f>
        <v>#REF!</v>
      </c>
      <c r="L981" s="133" t="e">
        <f>T1.role(K975&amp;"@"&amp;B981,"CPD_RESULT","val",2)</f>
        <v>#REF!</v>
      </c>
      <c r="M981" s="133" t="e">
        <f>T1.role(K975&amp;"@"&amp;B981,"CPD_RESULT","val",3)</f>
        <v>#REF!</v>
      </c>
      <c r="N981" s="133" t="e">
        <f>T1.role(K975&amp;"@"&amp;B981,"CPD_RESULT","val",4)</f>
        <v>#REF!</v>
      </c>
      <c r="O981" s="133" t="e">
        <f>T1.role(O975&amp;"@"&amp;B981,"CPD_RESULT","val",1)</f>
        <v>#REF!</v>
      </c>
      <c r="P981" s="133" t="e">
        <f>T1.role(O975&amp;"@"&amp;B981,"CPD_RESULT","val",2)</f>
        <v>#REF!</v>
      </c>
      <c r="Q981" s="133" t="e">
        <f>T1.role(O975&amp;"@"&amp;B981,"CPD_RESULT","val",3)</f>
        <v>#REF!</v>
      </c>
      <c r="R981" s="133" t="e">
        <f>T1.role(O975&amp;"@"&amp;B981,"CPD_RESULT","val",4)</f>
        <v>#REF!</v>
      </c>
      <c r="S981" s="49"/>
      <c r="T981" s="49"/>
      <c r="U981" s="49"/>
      <c r="V981" s="49"/>
      <c r="W981" s="49"/>
      <c r="X981" s="49"/>
      <c r="Y981" s="49"/>
      <c r="Z981" s="49"/>
    </row>
    <row r="982" spans="1:26" ht="11.25" customHeight="1">
      <c r="A982" s="49"/>
      <c r="C982" s="49"/>
      <c r="D982" s="49"/>
      <c r="E982" s="49"/>
      <c r="F982" s="49"/>
      <c r="G982" s="49"/>
      <c r="H982" s="49"/>
      <c r="I982" s="49"/>
      <c r="K982" s="49"/>
      <c r="L982" s="49"/>
      <c r="M982" s="49"/>
      <c r="N982" s="49"/>
      <c r="O982" s="49"/>
      <c r="P982" s="49"/>
      <c r="Q982" s="49"/>
      <c r="R982" s="49"/>
      <c r="S982" s="49"/>
      <c r="T982" s="49"/>
      <c r="U982" s="49"/>
      <c r="V982" s="49"/>
      <c r="W982" s="49"/>
      <c r="X982" s="49"/>
      <c r="Y982" s="49"/>
      <c r="Z982" s="49"/>
    </row>
    <row r="983" spans="1:26" ht="11.25" customHeight="1">
      <c r="A983" s="49"/>
      <c r="B983" s="39"/>
      <c r="C983" s="76" t="s">
        <v>3039</v>
      </c>
      <c r="D983" s="47"/>
      <c r="E983" s="47"/>
      <c r="F983" s="128"/>
      <c r="G983" s="76" t="s">
        <v>3040</v>
      </c>
      <c r="H983" s="47"/>
      <c r="I983" s="47"/>
      <c r="J983" s="128"/>
      <c r="K983" s="76" t="s">
        <v>3041</v>
      </c>
      <c r="L983" s="47"/>
      <c r="M983" s="47"/>
      <c r="N983" s="128"/>
      <c r="O983" s="76" t="s">
        <v>3042</v>
      </c>
      <c r="P983" s="47"/>
      <c r="Q983" s="47"/>
      <c r="R983" s="128"/>
      <c r="S983" s="49"/>
      <c r="T983" s="49"/>
      <c r="U983" s="49"/>
      <c r="V983" s="49"/>
      <c r="W983" s="49"/>
      <c r="X983" s="49"/>
      <c r="Y983" s="49"/>
      <c r="Z983" s="49"/>
    </row>
    <row r="984" spans="1:26" ht="11.25" customHeight="1">
      <c r="A984" s="49"/>
      <c r="B984" s="44"/>
      <c r="C984" s="76" t="str">
        <f>T1.role(C983,"cpdid")</f>
        <v/>
      </c>
      <c r="D984" s="47"/>
      <c r="E984" s="47"/>
      <c r="F984" s="128"/>
      <c r="G984" s="76" t="str">
        <f>T1.role(G983,"cpdid")</f>
        <v/>
      </c>
      <c r="H984" s="47"/>
      <c r="I984" s="47"/>
      <c r="J984" s="128"/>
      <c r="K984" s="76" t="str">
        <f>T1.role(K983,"cpdid")</f>
        <v/>
      </c>
      <c r="L984" s="47"/>
      <c r="M984" s="47"/>
      <c r="N984" s="128"/>
      <c r="O984" s="76" t="str">
        <f>T1.role(O983,"cpdid")</f>
        <v/>
      </c>
      <c r="P984" s="47"/>
      <c r="Q984" s="47"/>
      <c r="R984" s="128"/>
      <c r="S984" s="49"/>
      <c r="T984" s="49"/>
      <c r="U984" s="49"/>
      <c r="V984" s="49"/>
      <c r="W984" s="49"/>
      <c r="X984" s="49"/>
      <c r="Y984" s="49"/>
      <c r="Z984" s="49"/>
    </row>
    <row r="985" spans="1:26" ht="11.25" customHeight="1">
      <c r="A985" s="49"/>
      <c r="B985" s="127">
        <v>20</v>
      </c>
      <c r="C985" s="133" t="e">
        <f>T1.role(C983&amp;"@"&amp;B985,"CPD_RESULT","val",1)</f>
        <v>#REF!</v>
      </c>
      <c r="D985" s="133" t="e">
        <f>T1.role(C983&amp;"@"&amp;B985,"CPD_RESULT","val",2)</f>
        <v>#REF!</v>
      </c>
      <c r="E985" s="133" t="e">
        <f>T1.role(C983&amp;"@"&amp;B985,"CPD_RESULT","val",3)</f>
        <v>#REF!</v>
      </c>
      <c r="F985" s="133" t="e">
        <f>T1.role(C983&amp;"@"&amp;B985,"CPD_RESULT","val",4)</f>
        <v>#REF!</v>
      </c>
      <c r="G985" s="133" t="e">
        <f>T1.role(G983&amp;"@"&amp;B985,"CPD_RESULT","val",1)</f>
        <v>#REF!</v>
      </c>
      <c r="H985" s="133" t="e">
        <f>T1.role(G983&amp;"@"&amp;B985,"CPD_RESULT","val",2)</f>
        <v>#REF!</v>
      </c>
      <c r="I985" s="133" t="e">
        <f>T1.role(G983&amp;"@"&amp;B985,"CPD_RESULT","val",3)</f>
        <v>#REF!</v>
      </c>
      <c r="J985" s="133" t="e">
        <f>T1.role(G983&amp;"@"&amp;B985,"CPD_RESULT","val",4)</f>
        <v>#REF!</v>
      </c>
      <c r="K985" s="133" t="e">
        <f>T1.role(K983&amp;"@"&amp;B985,"CPD_RESULT","val",1)</f>
        <v>#REF!</v>
      </c>
      <c r="L985" s="133" t="e">
        <f>T1.role(K983&amp;"@"&amp;B985,"CPD_RESULT","val",2)</f>
        <v>#REF!</v>
      </c>
      <c r="M985" s="133" t="e">
        <f>T1.role(K983&amp;"@"&amp;B985,"CPD_RESULT","val",3)</f>
        <v>#REF!</v>
      </c>
      <c r="N985" s="133" t="e">
        <f>T1.role(K983&amp;"@"&amp;B985,"CPD_RESULT","val",4)</f>
        <v>#REF!</v>
      </c>
      <c r="O985" s="133" t="e">
        <f>T1.role(O983&amp;"@"&amp;B985,"CPD_RESULT","val",1)</f>
        <v>#REF!</v>
      </c>
      <c r="P985" s="133" t="e">
        <f>T1.role(O983&amp;"@"&amp;B985,"CPD_RESULT","val",2)</f>
        <v>#REF!</v>
      </c>
      <c r="Q985" s="133" t="e">
        <f>T1.role(O983&amp;"@"&amp;B985,"CPD_RESULT","val",3)</f>
        <v>#REF!</v>
      </c>
      <c r="R985" s="133" t="e">
        <f>T1.role(O983&amp;"@"&amp;B985,"CPD_RESULT","val",4)</f>
        <v>#REF!</v>
      </c>
      <c r="S985" s="49"/>
      <c r="T985" s="49"/>
      <c r="U985" s="49"/>
      <c r="V985" s="49"/>
      <c r="W985" s="49"/>
      <c r="X985" s="49"/>
      <c r="Y985" s="49"/>
      <c r="Z985" s="49"/>
    </row>
    <row r="986" spans="1:26" ht="11.25" customHeight="1">
      <c r="A986" s="49"/>
      <c r="B986" s="127">
        <v>6</v>
      </c>
      <c r="C986" s="133" t="e">
        <f>T1.role(C983&amp;"@"&amp;B986,"CPD_RESULT","val",1)</f>
        <v>#REF!</v>
      </c>
      <c r="D986" s="133" t="e">
        <f>T1.role(C983&amp;"@"&amp;B986,"CPD_RESULT","val",2)</f>
        <v>#REF!</v>
      </c>
      <c r="E986" s="133" t="e">
        <f>T1.role(C983&amp;"@"&amp;B986,"CPD_RESULT","val",3)</f>
        <v>#REF!</v>
      </c>
      <c r="F986" s="133" t="e">
        <f>T1.role(C983&amp;"@"&amp;B986,"CPD_RESULT","val",4)</f>
        <v>#REF!</v>
      </c>
      <c r="G986" s="133" t="e">
        <f>T1.role(G983&amp;"@"&amp;B986,"CPD_RESULT","val",1)</f>
        <v>#REF!</v>
      </c>
      <c r="H986" s="133" t="e">
        <f>T1.role(G983&amp;"@"&amp;B986,"CPD_RESULT","val",2)</f>
        <v>#REF!</v>
      </c>
      <c r="I986" s="133" t="e">
        <f>T1.role(G983&amp;"@"&amp;B986,"CPD_RESULT","val",3)</f>
        <v>#REF!</v>
      </c>
      <c r="J986" s="133" t="e">
        <f>T1.role(G983&amp;"@"&amp;B986,"CPD_RESULT","val",4)</f>
        <v>#REF!</v>
      </c>
      <c r="K986" s="133" t="e">
        <f>T1.role(K983&amp;"@"&amp;B986,"CPD_RESULT","val",1)</f>
        <v>#REF!</v>
      </c>
      <c r="L986" s="133" t="e">
        <f>T1.role(K983&amp;"@"&amp;B986,"CPD_RESULT","val",2)</f>
        <v>#REF!</v>
      </c>
      <c r="M986" s="133" t="e">
        <f>T1.role(K983&amp;"@"&amp;B986,"CPD_RESULT","val",3)</f>
        <v>#REF!</v>
      </c>
      <c r="N986" s="133" t="e">
        <f>T1.role(K983&amp;"@"&amp;B986,"CPD_RESULT","val",4)</f>
        <v>#REF!</v>
      </c>
      <c r="O986" s="133" t="e">
        <f>T1.role(O983&amp;"@"&amp;B986,"CPD_RESULT","val",1)</f>
        <v>#REF!</v>
      </c>
      <c r="P986" s="133" t="e">
        <f>T1.role(O983&amp;"@"&amp;B986,"CPD_RESULT","val",2)</f>
        <v>#REF!</v>
      </c>
      <c r="Q986" s="133" t="e">
        <f>T1.role(O983&amp;"@"&amp;B986,"CPD_RESULT","val",3)</f>
        <v>#REF!</v>
      </c>
      <c r="R986" s="133" t="e">
        <f>T1.role(O983&amp;"@"&amp;B986,"CPD_RESULT","val",4)</f>
        <v>#REF!</v>
      </c>
      <c r="S986" s="49"/>
      <c r="T986" s="49"/>
      <c r="U986" s="49"/>
      <c r="V986" s="49"/>
      <c r="W986" s="49"/>
      <c r="X986" s="49"/>
      <c r="Y986" s="49"/>
      <c r="Z986" s="49"/>
    </row>
    <row r="987" spans="1:26" ht="11.25" customHeight="1">
      <c r="A987" s="49"/>
      <c r="B987" s="127">
        <v>2</v>
      </c>
      <c r="C987" s="133" t="e">
        <f>T1.role(C983&amp;"@"&amp;B987,"CPD_RESULT","val",1)</f>
        <v>#REF!</v>
      </c>
      <c r="D987" s="133" t="e">
        <f>T1.role(C983&amp;"@"&amp;B987,"CPD_RESULT","val",2)</f>
        <v>#REF!</v>
      </c>
      <c r="E987" s="133" t="e">
        <f>T1.role(C983&amp;"@"&amp;B987,"CPD_RESULT","val",3)</f>
        <v>#REF!</v>
      </c>
      <c r="F987" s="133" t="e">
        <f>T1.role(C983&amp;"@"&amp;B987,"CPD_RESULT","val",4)</f>
        <v>#REF!</v>
      </c>
      <c r="G987" s="133" t="e">
        <f>T1.role(G983&amp;"@"&amp;B987,"CPD_RESULT","val",1)</f>
        <v>#REF!</v>
      </c>
      <c r="H987" s="133" t="e">
        <f>T1.role(G983&amp;"@"&amp;B987,"CPD_RESULT","val",2)</f>
        <v>#REF!</v>
      </c>
      <c r="I987" s="133" t="e">
        <f>T1.role(G983&amp;"@"&amp;B987,"CPD_RESULT","val",3)</f>
        <v>#REF!</v>
      </c>
      <c r="J987" s="133" t="e">
        <f>T1.role(G983&amp;"@"&amp;B987,"CPD_RESULT","val",4)</f>
        <v>#REF!</v>
      </c>
      <c r="K987" s="133" t="e">
        <f>T1.role(K983&amp;"@"&amp;B987,"CPD_RESULT","val",1)</f>
        <v>#REF!</v>
      </c>
      <c r="L987" s="133" t="e">
        <f>T1.role(K983&amp;"@"&amp;B987,"CPD_RESULT","val",2)</f>
        <v>#REF!</v>
      </c>
      <c r="M987" s="133" t="e">
        <f>T1.role(K983&amp;"@"&amp;B987,"CPD_RESULT","val",3)</f>
        <v>#REF!</v>
      </c>
      <c r="N987" s="133" t="e">
        <f>T1.role(K983&amp;"@"&amp;B987,"CPD_RESULT","val",4)</f>
        <v>#REF!</v>
      </c>
      <c r="O987" s="133" t="e">
        <f>T1.role(O983&amp;"@"&amp;B987,"CPD_RESULT","val",1)</f>
        <v>#REF!</v>
      </c>
      <c r="P987" s="133" t="e">
        <f>T1.role(O983&amp;"@"&amp;B987,"CPD_RESULT","val",2)</f>
        <v>#REF!</v>
      </c>
      <c r="Q987" s="133" t="e">
        <f>T1.role(O983&amp;"@"&amp;B987,"CPD_RESULT","val",3)</f>
        <v>#REF!</v>
      </c>
      <c r="R987" s="133" t="e">
        <f>T1.role(O983&amp;"@"&amp;B987,"CPD_RESULT","val",4)</f>
        <v>#REF!</v>
      </c>
      <c r="S987" s="49"/>
      <c r="T987" s="49"/>
      <c r="U987" s="49"/>
      <c r="V987" s="49"/>
      <c r="W987" s="49"/>
      <c r="X987" s="49"/>
      <c r="Y987" s="49"/>
      <c r="Z987" s="49"/>
    </row>
    <row r="988" spans="1:26" ht="11.25" customHeight="1">
      <c r="A988" s="49"/>
      <c r="B988" s="127">
        <v>0.6</v>
      </c>
      <c r="C988" s="133" t="e">
        <f>T1.role(C983&amp;"@"&amp;B988,"CPD_RESULT","val",1)</f>
        <v>#REF!</v>
      </c>
      <c r="D988" s="133" t="e">
        <f>T1.role(C983&amp;"@"&amp;B988,"CPD_RESULT","val",2)</f>
        <v>#REF!</v>
      </c>
      <c r="E988" s="133" t="e">
        <f>T1.role(C983&amp;"@"&amp;B988,"CPD_RESULT","val",3)</f>
        <v>#REF!</v>
      </c>
      <c r="F988" s="133" t="e">
        <f>T1.role(C983&amp;"@"&amp;B988,"CPD_RESULT","val",4)</f>
        <v>#REF!</v>
      </c>
      <c r="G988" s="133" t="e">
        <f>T1.role(G983&amp;"@"&amp;B988,"CPD_RESULT","val",1)</f>
        <v>#REF!</v>
      </c>
      <c r="H988" s="133" t="e">
        <f>T1.role(G983&amp;"@"&amp;B988,"CPD_RESULT","val",2)</f>
        <v>#REF!</v>
      </c>
      <c r="I988" s="133" t="e">
        <f>T1.role(G983&amp;"@"&amp;B988,"CPD_RESULT","val",3)</f>
        <v>#REF!</v>
      </c>
      <c r="J988" s="133" t="e">
        <f>T1.role(G983&amp;"@"&amp;B988,"CPD_RESULT","val",4)</f>
        <v>#REF!</v>
      </c>
      <c r="K988" s="133" t="e">
        <f>T1.role(K983&amp;"@"&amp;B988,"CPD_RESULT","val",1)</f>
        <v>#REF!</v>
      </c>
      <c r="L988" s="133" t="e">
        <f>T1.role(K983&amp;"@"&amp;B988,"CPD_RESULT","val",2)</f>
        <v>#REF!</v>
      </c>
      <c r="M988" s="133" t="e">
        <f>T1.role(K983&amp;"@"&amp;B988,"CPD_RESULT","val",3)</f>
        <v>#REF!</v>
      </c>
      <c r="N988" s="133" t="e">
        <f>T1.role(K983&amp;"@"&amp;B988,"CPD_RESULT","val",4)</f>
        <v>#REF!</v>
      </c>
      <c r="O988" s="133" t="e">
        <f>T1.role(O983&amp;"@"&amp;B988,"CPD_RESULT","val",1)</f>
        <v>#REF!</v>
      </c>
      <c r="P988" s="133" t="e">
        <f>T1.role(O983&amp;"@"&amp;B988,"CPD_RESULT","val",2)</f>
        <v>#REF!</v>
      </c>
      <c r="Q988" s="133" t="e">
        <f>T1.role(O983&amp;"@"&amp;B988,"CPD_RESULT","val",3)</f>
        <v>#REF!</v>
      </c>
      <c r="R988" s="133" t="e">
        <f>T1.role(O983&amp;"@"&amp;B988,"CPD_RESULT","val",4)</f>
        <v>#REF!</v>
      </c>
      <c r="S988" s="49"/>
      <c r="T988" s="49"/>
      <c r="U988" s="49"/>
      <c r="V988" s="49"/>
      <c r="W988" s="49"/>
      <c r="X988" s="49"/>
      <c r="Y988" s="49"/>
      <c r="Z988" s="49"/>
    </row>
    <row r="989" spans="1:26" ht="11.25" customHeight="1">
      <c r="A989" s="49"/>
      <c r="B989" s="127">
        <v>0.2</v>
      </c>
      <c r="C989" s="133" t="e">
        <f>T1.role(C983&amp;"@"&amp;B989,"CPD_RESULT","val",1)</f>
        <v>#REF!</v>
      </c>
      <c r="D989" s="133" t="e">
        <f>T1.role(C983&amp;"@"&amp;B989,"CPD_RESULT","val",2)</f>
        <v>#REF!</v>
      </c>
      <c r="E989" s="133" t="e">
        <f>T1.role(C983&amp;"@"&amp;B989,"CPD_RESULT","val",3)</f>
        <v>#REF!</v>
      </c>
      <c r="F989" s="133" t="e">
        <f>T1.role(C983&amp;"@"&amp;B989,"CPD_RESULT","val",4)</f>
        <v>#REF!</v>
      </c>
      <c r="G989" s="133" t="e">
        <f>T1.role(G983&amp;"@"&amp;B989,"CPD_RESULT","val",1)</f>
        <v>#REF!</v>
      </c>
      <c r="H989" s="133" t="e">
        <f>T1.role(G983&amp;"@"&amp;B989,"CPD_RESULT","val",2)</f>
        <v>#REF!</v>
      </c>
      <c r="I989" s="133" t="e">
        <f>T1.role(G983&amp;"@"&amp;B989,"CPD_RESULT","val",3)</f>
        <v>#REF!</v>
      </c>
      <c r="J989" s="133" t="e">
        <f>T1.role(G983&amp;"@"&amp;B989,"CPD_RESULT","val",4)</f>
        <v>#REF!</v>
      </c>
      <c r="K989" s="133" t="e">
        <f>T1.role(K983&amp;"@"&amp;B989,"CPD_RESULT","val",1)</f>
        <v>#REF!</v>
      </c>
      <c r="L989" s="133" t="e">
        <f>T1.role(K983&amp;"@"&amp;B989,"CPD_RESULT","val",2)</f>
        <v>#REF!</v>
      </c>
      <c r="M989" s="133" t="e">
        <f>T1.role(K983&amp;"@"&amp;B989,"CPD_RESULT","val",3)</f>
        <v>#REF!</v>
      </c>
      <c r="N989" s="133" t="e">
        <f>T1.role(K983&amp;"@"&amp;B989,"CPD_RESULT","val",4)</f>
        <v>#REF!</v>
      </c>
      <c r="O989" s="133" t="e">
        <f>T1.role(O983&amp;"@"&amp;B989,"CPD_RESULT","val",1)</f>
        <v>#REF!</v>
      </c>
      <c r="P989" s="133" t="e">
        <f>T1.role(O983&amp;"@"&amp;B989,"CPD_RESULT","val",2)</f>
        <v>#REF!</v>
      </c>
      <c r="Q989" s="133" t="e">
        <f>T1.role(O983&amp;"@"&amp;B989,"CPD_RESULT","val",3)</f>
        <v>#REF!</v>
      </c>
      <c r="R989" s="133" t="e">
        <f>T1.role(O983&amp;"@"&amp;B989,"CPD_RESULT","val",4)</f>
        <v>#REF!</v>
      </c>
      <c r="S989" s="49"/>
      <c r="T989" s="49"/>
      <c r="U989" s="49"/>
      <c r="V989" s="49"/>
      <c r="W989" s="49"/>
      <c r="X989" s="49"/>
      <c r="Y989" s="49"/>
      <c r="Z989" s="49"/>
    </row>
    <row r="990" spans="1:26" ht="11.25" customHeight="1">
      <c r="A990" s="49"/>
      <c r="C990" s="49"/>
      <c r="D990" s="49"/>
      <c r="E990" s="49"/>
      <c r="F990" s="49"/>
      <c r="G990" s="49"/>
      <c r="H990" s="49"/>
      <c r="I990" s="49"/>
      <c r="K990" s="49"/>
      <c r="L990" s="49"/>
      <c r="M990" s="49"/>
      <c r="N990" s="49"/>
      <c r="O990" s="49"/>
      <c r="P990" s="49"/>
      <c r="Q990" s="49"/>
      <c r="R990" s="49"/>
      <c r="S990" s="49"/>
      <c r="T990" s="49"/>
      <c r="U990" s="49"/>
      <c r="V990" s="49"/>
      <c r="W990" s="49"/>
      <c r="X990" s="49"/>
      <c r="Y990" s="49"/>
      <c r="Z990" s="49"/>
    </row>
    <row r="991" spans="1:26" ht="11.25" customHeight="1">
      <c r="A991" s="49"/>
      <c r="B991" s="39"/>
      <c r="C991" s="76" t="s">
        <v>3372</v>
      </c>
      <c r="D991" s="47"/>
      <c r="E991" s="47"/>
      <c r="F991" s="128"/>
      <c r="G991" s="76" t="s">
        <v>3373</v>
      </c>
      <c r="H991" s="47"/>
      <c r="I991" s="47"/>
      <c r="J991" s="128"/>
      <c r="K991" s="76" t="s">
        <v>3374</v>
      </c>
      <c r="L991" s="47"/>
      <c r="M991" s="47"/>
      <c r="N991" s="128"/>
      <c r="O991" s="76" t="s">
        <v>3375</v>
      </c>
      <c r="P991" s="47"/>
      <c r="Q991" s="47"/>
      <c r="R991" s="128"/>
      <c r="S991" s="49"/>
      <c r="T991" s="49"/>
      <c r="U991" s="49"/>
      <c r="V991" s="49"/>
      <c r="W991" s="49"/>
      <c r="X991" s="49"/>
      <c r="Y991" s="49"/>
      <c r="Z991" s="49"/>
    </row>
    <row r="992" spans="1:26" ht="11.25" customHeight="1">
      <c r="A992" s="49"/>
      <c r="B992" s="44"/>
      <c r="C992" s="76" t="str">
        <f>T1.role(C991,"cpdid")</f>
        <v/>
      </c>
      <c r="D992" s="47"/>
      <c r="E992" s="47"/>
      <c r="F992" s="128"/>
      <c r="G992" s="76" t="str">
        <f>T1.role(G991,"cpdid")</f>
        <v/>
      </c>
      <c r="H992" s="47"/>
      <c r="I992" s="47"/>
      <c r="J992" s="128"/>
      <c r="K992" s="76" t="str">
        <f>T1.role(K991,"cpdid")</f>
        <v/>
      </c>
      <c r="L992" s="47"/>
      <c r="M992" s="47"/>
      <c r="N992" s="128"/>
      <c r="O992" s="76" t="str">
        <f>T1.role(O991,"cpdid")</f>
        <v/>
      </c>
      <c r="P992" s="47"/>
      <c r="Q992" s="47"/>
      <c r="R992" s="128"/>
      <c r="S992" s="49"/>
      <c r="T992" s="49"/>
      <c r="U992" s="49"/>
      <c r="V992" s="49"/>
      <c r="W992" s="49"/>
      <c r="X992" s="49"/>
      <c r="Y992" s="49"/>
      <c r="Z992" s="49"/>
    </row>
    <row r="993" spans="1:26" ht="11.25" customHeight="1">
      <c r="A993" s="49"/>
      <c r="B993" s="127">
        <v>20</v>
      </c>
      <c r="C993" s="133" t="e">
        <f>T1.role(C991&amp;"@"&amp;B993,"CPD_RESULT","val",1)</f>
        <v>#REF!</v>
      </c>
      <c r="D993" s="133" t="e">
        <f>T1.role(C991&amp;"@"&amp;B993,"CPD_RESULT","val",2)</f>
        <v>#REF!</v>
      </c>
      <c r="E993" s="133" t="e">
        <f>T1.role(C991&amp;"@"&amp;B993,"CPD_RESULT","val",3)</f>
        <v>#REF!</v>
      </c>
      <c r="F993" s="133" t="e">
        <f>T1.role(C991&amp;"@"&amp;B993,"CPD_RESULT","val",4)</f>
        <v>#REF!</v>
      </c>
      <c r="G993" s="133" t="e">
        <f>T1.role(G991&amp;"@"&amp;B993,"CPD_RESULT","val",1)</f>
        <v>#REF!</v>
      </c>
      <c r="H993" s="133" t="e">
        <f>T1.role(G991&amp;"@"&amp;B993,"CPD_RESULT","val",2)</f>
        <v>#REF!</v>
      </c>
      <c r="I993" s="133" t="e">
        <f>T1.role(G991&amp;"@"&amp;B993,"CPD_RESULT","val",3)</f>
        <v>#REF!</v>
      </c>
      <c r="J993" s="133" t="e">
        <f>T1.role(G991&amp;"@"&amp;B993,"CPD_RESULT","val",4)</f>
        <v>#REF!</v>
      </c>
      <c r="K993" s="133" t="e">
        <f>T1.role(K991&amp;"@"&amp;B993,"CPD_RESULT","val",1)</f>
        <v>#REF!</v>
      </c>
      <c r="L993" s="133" t="e">
        <f>T1.role(K991&amp;"@"&amp;B993,"CPD_RESULT","val",2)</f>
        <v>#REF!</v>
      </c>
      <c r="M993" s="133" t="e">
        <f>T1.role(K991&amp;"@"&amp;B993,"CPD_RESULT","val",3)</f>
        <v>#REF!</v>
      </c>
      <c r="N993" s="133" t="e">
        <f>T1.role(K991&amp;"@"&amp;B993,"CPD_RESULT","val",4)</f>
        <v>#REF!</v>
      </c>
      <c r="O993" s="133" t="e">
        <f>T1.role(O991&amp;"@"&amp;B993,"CPD_RESULT","val",1)</f>
        <v>#REF!</v>
      </c>
      <c r="P993" s="133" t="e">
        <f>T1.role(O991&amp;"@"&amp;B993,"CPD_RESULT","val",2)</f>
        <v>#REF!</v>
      </c>
      <c r="Q993" s="133" t="e">
        <f>T1.role(O991&amp;"@"&amp;B993,"CPD_RESULT","val",3)</f>
        <v>#REF!</v>
      </c>
      <c r="R993" s="133" t="e">
        <f>T1.role(O991&amp;"@"&amp;B993,"CPD_RESULT","val",4)</f>
        <v>#REF!</v>
      </c>
      <c r="S993" s="49"/>
      <c r="T993" s="49"/>
      <c r="U993" s="49"/>
      <c r="V993" s="49"/>
      <c r="W993" s="49"/>
      <c r="X993" s="49"/>
      <c r="Y993" s="49"/>
      <c r="Z993" s="49"/>
    </row>
    <row r="994" spans="1:26" ht="11.25" customHeight="1">
      <c r="A994" s="49"/>
      <c r="B994" s="127">
        <v>6</v>
      </c>
      <c r="C994" s="133" t="e">
        <f>T1.role(C991&amp;"@"&amp;B994,"CPD_RESULT","val",1)</f>
        <v>#REF!</v>
      </c>
      <c r="D994" s="133" t="e">
        <f>T1.role(C991&amp;"@"&amp;B994,"CPD_RESULT","val",2)</f>
        <v>#REF!</v>
      </c>
      <c r="E994" s="133" t="e">
        <f>T1.role(C991&amp;"@"&amp;B994,"CPD_RESULT","val",3)</f>
        <v>#REF!</v>
      </c>
      <c r="F994" s="133" t="e">
        <f>T1.role(C991&amp;"@"&amp;B994,"CPD_RESULT","val",4)</f>
        <v>#REF!</v>
      </c>
      <c r="G994" s="133" t="e">
        <f>T1.role(G991&amp;"@"&amp;B994,"CPD_RESULT","val",1)</f>
        <v>#REF!</v>
      </c>
      <c r="H994" s="133" t="e">
        <f>T1.role(G991&amp;"@"&amp;B994,"CPD_RESULT","val",2)</f>
        <v>#REF!</v>
      </c>
      <c r="I994" s="133" t="e">
        <f>T1.role(G991&amp;"@"&amp;B994,"CPD_RESULT","val",3)</f>
        <v>#REF!</v>
      </c>
      <c r="J994" s="133" t="e">
        <f>T1.role(G991&amp;"@"&amp;B994,"CPD_RESULT","val",4)</f>
        <v>#REF!</v>
      </c>
      <c r="K994" s="133" t="e">
        <f>T1.role(K991&amp;"@"&amp;B994,"CPD_RESULT","val",1)</f>
        <v>#REF!</v>
      </c>
      <c r="L994" s="133" t="e">
        <f>T1.role(K991&amp;"@"&amp;B994,"CPD_RESULT","val",2)</f>
        <v>#REF!</v>
      </c>
      <c r="M994" s="133" t="e">
        <f>T1.role(K991&amp;"@"&amp;B994,"CPD_RESULT","val",3)</f>
        <v>#REF!</v>
      </c>
      <c r="N994" s="133" t="e">
        <f>T1.role(K991&amp;"@"&amp;B994,"CPD_RESULT","val",4)</f>
        <v>#REF!</v>
      </c>
      <c r="O994" s="133" t="e">
        <f>T1.role(O991&amp;"@"&amp;B994,"CPD_RESULT","val",1)</f>
        <v>#REF!</v>
      </c>
      <c r="P994" s="133" t="e">
        <f>T1.role(O991&amp;"@"&amp;B994,"CPD_RESULT","val",2)</f>
        <v>#REF!</v>
      </c>
      <c r="Q994" s="133" t="e">
        <f>T1.role(O991&amp;"@"&amp;B994,"CPD_RESULT","val",3)</f>
        <v>#REF!</v>
      </c>
      <c r="R994" s="133" t="e">
        <f>T1.role(O991&amp;"@"&amp;B994,"CPD_RESULT","val",4)</f>
        <v>#REF!</v>
      </c>
      <c r="S994" s="49"/>
      <c r="T994" s="49"/>
      <c r="U994" s="49"/>
      <c r="V994" s="49"/>
      <c r="W994" s="49"/>
      <c r="X994" s="49"/>
      <c r="Y994" s="49"/>
      <c r="Z994" s="49"/>
    </row>
    <row r="995" spans="1:26" ht="11.25" customHeight="1">
      <c r="A995" s="49"/>
      <c r="B995" s="127">
        <v>2</v>
      </c>
      <c r="C995" s="133" t="e">
        <f>T1.role(C991&amp;"@"&amp;B995,"CPD_RESULT","val",1)</f>
        <v>#REF!</v>
      </c>
      <c r="D995" s="133" t="e">
        <f>T1.role(C991&amp;"@"&amp;B995,"CPD_RESULT","val",2)</f>
        <v>#REF!</v>
      </c>
      <c r="E995" s="133" t="e">
        <f>T1.role(C991&amp;"@"&amp;B995,"CPD_RESULT","val",3)</f>
        <v>#REF!</v>
      </c>
      <c r="F995" s="133" t="e">
        <f>T1.role(C991&amp;"@"&amp;B995,"CPD_RESULT","val",4)</f>
        <v>#REF!</v>
      </c>
      <c r="G995" s="133" t="e">
        <f>T1.role(G991&amp;"@"&amp;B995,"CPD_RESULT","val",1)</f>
        <v>#REF!</v>
      </c>
      <c r="H995" s="133" t="e">
        <f>T1.role(G991&amp;"@"&amp;B995,"CPD_RESULT","val",2)</f>
        <v>#REF!</v>
      </c>
      <c r="I995" s="133" t="e">
        <f>T1.role(G991&amp;"@"&amp;B995,"CPD_RESULT","val",3)</f>
        <v>#REF!</v>
      </c>
      <c r="J995" s="133" t="e">
        <f>T1.role(G991&amp;"@"&amp;B995,"CPD_RESULT","val",4)</f>
        <v>#REF!</v>
      </c>
      <c r="K995" s="133" t="e">
        <f>T1.role(K991&amp;"@"&amp;B995,"CPD_RESULT","val",1)</f>
        <v>#REF!</v>
      </c>
      <c r="L995" s="133" t="e">
        <f>T1.role(K991&amp;"@"&amp;B995,"CPD_RESULT","val",2)</f>
        <v>#REF!</v>
      </c>
      <c r="M995" s="133" t="e">
        <f>T1.role(K991&amp;"@"&amp;B995,"CPD_RESULT","val",3)</f>
        <v>#REF!</v>
      </c>
      <c r="N995" s="133" t="e">
        <f>T1.role(K991&amp;"@"&amp;B995,"CPD_RESULT","val",4)</f>
        <v>#REF!</v>
      </c>
      <c r="O995" s="133" t="e">
        <f>T1.role(O991&amp;"@"&amp;B995,"CPD_RESULT","val",1)</f>
        <v>#REF!</v>
      </c>
      <c r="P995" s="133" t="e">
        <f>T1.role(O991&amp;"@"&amp;B995,"CPD_RESULT","val",2)</f>
        <v>#REF!</v>
      </c>
      <c r="Q995" s="133" t="e">
        <f>T1.role(O991&amp;"@"&amp;B995,"CPD_RESULT","val",3)</f>
        <v>#REF!</v>
      </c>
      <c r="R995" s="133" t="e">
        <f>T1.role(O991&amp;"@"&amp;B995,"CPD_RESULT","val",4)</f>
        <v>#REF!</v>
      </c>
      <c r="S995" s="49"/>
      <c r="T995" s="49"/>
      <c r="U995" s="49"/>
      <c r="V995" s="49"/>
      <c r="W995" s="49"/>
      <c r="X995" s="49"/>
      <c r="Y995" s="49"/>
      <c r="Z995" s="49"/>
    </row>
    <row r="996" spans="1:26" ht="11.25" customHeight="1">
      <c r="A996" s="49"/>
      <c r="B996" s="127">
        <v>0.6</v>
      </c>
      <c r="C996" s="133" t="e">
        <f>T1.role(C991&amp;"@"&amp;B996,"CPD_RESULT","val",1)</f>
        <v>#REF!</v>
      </c>
      <c r="D996" s="133" t="e">
        <f>T1.role(C991&amp;"@"&amp;B996,"CPD_RESULT","val",2)</f>
        <v>#REF!</v>
      </c>
      <c r="E996" s="133" t="e">
        <f>T1.role(C991&amp;"@"&amp;B996,"CPD_RESULT","val",3)</f>
        <v>#REF!</v>
      </c>
      <c r="F996" s="133" t="e">
        <f>T1.role(C991&amp;"@"&amp;B996,"CPD_RESULT","val",4)</f>
        <v>#REF!</v>
      </c>
      <c r="G996" s="133" t="e">
        <f>T1.role(G991&amp;"@"&amp;B996,"CPD_RESULT","val",1)</f>
        <v>#REF!</v>
      </c>
      <c r="H996" s="133" t="e">
        <f>T1.role(G991&amp;"@"&amp;B996,"CPD_RESULT","val",2)</f>
        <v>#REF!</v>
      </c>
      <c r="I996" s="133" t="e">
        <f>T1.role(G991&amp;"@"&amp;B996,"CPD_RESULT","val",3)</f>
        <v>#REF!</v>
      </c>
      <c r="J996" s="133" t="e">
        <f>T1.role(G991&amp;"@"&amp;B996,"CPD_RESULT","val",4)</f>
        <v>#REF!</v>
      </c>
      <c r="K996" s="133" t="e">
        <f>T1.role(K991&amp;"@"&amp;B996,"CPD_RESULT","val",1)</f>
        <v>#REF!</v>
      </c>
      <c r="L996" s="133" t="e">
        <f>T1.role(K991&amp;"@"&amp;B996,"CPD_RESULT","val",2)</f>
        <v>#REF!</v>
      </c>
      <c r="M996" s="133" t="e">
        <f>T1.role(K991&amp;"@"&amp;B996,"CPD_RESULT","val",3)</f>
        <v>#REF!</v>
      </c>
      <c r="N996" s="133" t="e">
        <f>T1.role(K991&amp;"@"&amp;B996,"CPD_RESULT","val",4)</f>
        <v>#REF!</v>
      </c>
      <c r="O996" s="133" t="e">
        <f>T1.role(O991&amp;"@"&amp;B996,"CPD_RESULT","val",1)</f>
        <v>#REF!</v>
      </c>
      <c r="P996" s="133" t="e">
        <f>T1.role(O991&amp;"@"&amp;B996,"CPD_RESULT","val",2)</f>
        <v>#REF!</v>
      </c>
      <c r="Q996" s="133" t="e">
        <f>T1.role(O991&amp;"@"&amp;B996,"CPD_RESULT","val",3)</f>
        <v>#REF!</v>
      </c>
      <c r="R996" s="133" t="e">
        <f>T1.role(O991&amp;"@"&amp;B996,"CPD_RESULT","val",4)</f>
        <v>#REF!</v>
      </c>
      <c r="S996" s="49"/>
      <c r="T996" s="49"/>
      <c r="U996" s="49"/>
      <c r="V996" s="49"/>
      <c r="W996" s="49"/>
      <c r="X996" s="49"/>
      <c r="Y996" s="49"/>
      <c r="Z996" s="49"/>
    </row>
    <row r="997" spans="1:26" ht="11.25" customHeight="1">
      <c r="A997" s="49"/>
      <c r="B997" s="127">
        <v>0.2</v>
      </c>
      <c r="C997" s="133" t="e">
        <f>T1.role(C991&amp;"@"&amp;B997,"CPD_RESULT","val",1)</f>
        <v>#REF!</v>
      </c>
      <c r="D997" s="133" t="e">
        <f>T1.role(C991&amp;"@"&amp;B997,"CPD_RESULT","val",2)</f>
        <v>#REF!</v>
      </c>
      <c r="E997" s="133" t="e">
        <f>T1.role(C991&amp;"@"&amp;B997,"CPD_RESULT","val",3)</f>
        <v>#REF!</v>
      </c>
      <c r="F997" s="133" t="e">
        <f>T1.role(C991&amp;"@"&amp;B997,"CPD_RESULT","val",4)</f>
        <v>#REF!</v>
      </c>
      <c r="G997" s="133" t="e">
        <f>T1.role(G991&amp;"@"&amp;B997,"CPD_RESULT","val",1)</f>
        <v>#REF!</v>
      </c>
      <c r="H997" s="133" t="e">
        <f>T1.role(G991&amp;"@"&amp;B997,"CPD_RESULT","val",2)</f>
        <v>#REF!</v>
      </c>
      <c r="I997" s="133" t="e">
        <f>T1.role(G991&amp;"@"&amp;B997,"CPD_RESULT","val",3)</f>
        <v>#REF!</v>
      </c>
      <c r="J997" s="133" t="e">
        <f>T1.role(G991&amp;"@"&amp;B997,"CPD_RESULT","val",4)</f>
        <v>#REF!</v>
      </c>
      <c r="K997" s="133" t="e">
        <f>T1.role(K991&amp;"@"&amp;B997,"CPD_RESULT","val",1)</f>
        <v>#REF!</v>
      </c>
      <c r="L997" s="133" t="e">
        <f>T1.role(K991&amp;"@"&amp;B997,"CPD_RESULT","val",2)</f>
        <v>#REF!</v>
      </c>
      <c r="M997" s="133" t="e">
        <f>T1.role(K991&amp;"@"&amp;B997,"CPD_RESULT","val",3)</f>
        <v>#REF!</v>
      </c>
      <c r="N997" s="133" t="e">
        <f>T1.role(K991&amp;"@"&amp;B997,"CPD_RESULT","val",4)</f>
        <v>#REF!</v>
      </c>
      <c r="O997" s="133" t="e">
        <f>T1.role(O991&amp;"@"&amp;B997,"CPD_RESULT","val",1)</f>
        <v>#REF!</v>
      </c>
      <c r="P997" s="133" t="e">
        <f>T1.role(O991&amp;"@"&amp;B997,"CPD_RESULT","val",2)</f>
        <v>#REF!</v>
      </c>
      <c r="Q997" s="133" t="e">
        <f>T1.role(O991&amp;"@"&amp;B997,"CPD_RESULT","val",3)</f>
        <v>#REF!</v>
      </c>
      <c r="R997" s="133" t="e">
        <f>T1.role(O991&amp;"@"&amp;B997,"CPD_RESULT","val",4)</f>
        <v>#REF!</v>
      </c>
      <c r="S997" s="49"/>
      <c r="T997" s="49"/>
      <c r="U997" s="49"/>
      <c r="V997" s="49"/>
      <c r="W997" s="49"/>
      <c r="X997" s="49"/>
      <c r="Y997" s="49"/>
      <c r="Z997" s="49"/>
    </row>
    <row r="998" spans="1:26" ht="11.25" customHeight="1">
      <c r="A998" s="49"/>
      <c r="C998" s="49"/>
      <c r="D998" s="49"/>
      <c r="E998" s="49"/>
      <c r="F998" s="49"/>
      <c r="G998" s="49"/>
      <c r="H998" s="49"/>
      <c r="I998" s="49"/>
      <c r="K998" s="49"/>
      <c r="L998" s="49"/>
      <c r="M998" s="49"/>
      <c r="N998" s="49"/>
      <c r="O998" s="49"/>
      <c r="P998" s="49"/>
      <c r="Q998" s="49"/>
      <c r="R998" s="49"/>
      <c r="S998" s="49"/>
      <c r="T998" s="49"/>
      <c r="U998" s="49"/>
      <c r="V998" s="49"/>
      <c r="W998" s="49"/>
      <c r="X998" s="49"/>
      <c r="Y998" s="49"/>
      <c r="Z998" s="49"/>
    </row>
    <row r="999" spans="1:26" ht="11.25" customHeight="1">
      <c r="A999" s="49"/>
      <c r="B999" s="39"/>
      <c r="C999" s="76" t="s">
        <v>3379</v>
      </c>
      <c r="D999" s="47"/>
      <c r="E999" s="47"/>
      <c r="F999" s="128"/>
      <c r="G999" s="76" t="s">
        <v>3378</v>
      </c>
      <c r="H999" s="47"/>
      <c r="I999" s="47"/>
      <c r="J999" s="128"/>
      <c r="K999" s="76" t="s">
        <v>3377</v>
      </c>
      <c r="L999" s="47"/>
      <c r="M999" s="47"/>
      <c r="N999" s="128"/>
      <c r="O999" s="76" t="s">
        <v>3376</v>
      </c>
      <c r="P999" s="47"/>
      <c r="Q999" s="47"/>
      <c r="R999" s="128"/>
      <c r="S999" s="49"/>
      <c r="T999" s="49"/>
      <c r="U999" s="49"/>
      <c r="V999" s="49"/>
      <c r="W999" s="49"/>
      <c r="X999" s="49"/>
      <c r="Y999" s="49"/>
      <c r="Z999" s="49"/>
    </row>
    <row r="1000" spans="1:26" ht="11.25" customHeight="1">
      <c r="A1000" s="49"/>
      <c r="B1000" s="44"/>
      <c r="C1000" s="76" t="str">
        <f>T1.role(C999,"cpdid")</f>
        <v/>
      </c>
      <c r="D1000" s="47"/>
      <c r="E1000" s="47"/>
      <c r="F1000" s="128"/>
      <c r="G1000" s="76" t="str">
        <f>T1.role(G999,"cpdid")</f>
        <v/>
      </c>
      <c r="H1000" s="47"/>
      <c r="I1000" s="47"/>
      <c r="J1000" s="128"/>
      <c r="K1000" s="76" t="str">
        <f>T1.role(K999,"cpdid")</f>
        <v/>
      </c>
      <c r="L1000" s="47"/>
      <c r="M1000" s="47"/>
      <c r="N1000" s="128"/>
      <c r="O1000" s="76" t="str">
        <f>T1.role(O999,"cpdid")</f>
        <v/>
      </c>
      <c r="P1000" s="47"/>
      <c r="Q1000" s="47"/>
      <c r="R1000" s="128"/>
      <c r="S1000" s="49"/>
      <c r="T1000" s="49"/>
      <c r="U1000" s="49"/>
      <c r="V1000" s="49"/>
      <c r="W1000" s="49"/>
      <c r="X1000" s="49"/>
      <c r="Y1000" s="49"/>
      <c r="Z1000" s="49"/>
    </row>
    <row r="1001" spans="1:26" ht="11.25" customHeight="1">
      <c r="A1001" s="49"/>
      <c r="B1001" s="127">
        <v>20</v>
      </c>
      <c r="C1001" s="133" t="e">
        <f>T1.role(C999&amp;"@"&amp;B1001,"CPD_RESULT","val",1)</f>
        <v>#REF!</v>
      </c>
      <c r="D1001" s="133" t="e">
        <f>T1.role(C999&amp;"@"&amp;B1001,"CPD_RESULT","val",2)</f>
        <v>#REF!</v>
      </c>
      <c r="E1001" s="133" t="e">
        <f>T1.role(C999&amp;"@"&amp;B1001,"CPD_RESULT","val",3)</f>
        <v>#REF!</v>
      </c>
      <c r="F1001" s="133" t="e">
        <f>T1.role(C999&amp;"@"&amp;B1001,"CPD_RESULT","val",4)</f>
        <v>#REF!</v>
      </c>
      <c r="G1001" s="133" t="e">
        <f>T1.role(G999&amp;"@"&amp;B1001,"CPD_RESULT","val",1)</f>
        <v>#REF!</v>
      </c>
      <c r="H1001" s="133" t="e">
        <f>T1.role(G999&amp;"@"&amp;B1001,"CPD_RESULT","val",2)</f>
        <v>#REF!</v>
      </c>
      <c r="I1001" s="133" t="e">
        <f>T1.role(G999&amp;"@"&amp;B1001,"CPD_RESULT","val",3)</f>
        <v>#REF!</v>
      </c>
      <c r="J1001" s="133" t="e">
        <f>T1.role(G999&amp;"@"&amp;B1001,"CPD_RESULT","val",4)</f>
        <v>#REF!</v>
      </c>
      <c r="K1001" s="133" t="e">
        <f>T1.role(K999&amp;"@"&amp;B1001,"CPD_RESULT","val",1)</f>
        <v>#REF!</v>
      </c>
      <c r="L1001" s="133" t="e">
        <f>T1.role(K999&amp;"@"&amp;B1001,"CPD_RESULT","val",2)</f>
        <v>#REF!</v>
      </c>
      <c r="M1001" s="133" t="e">
        <f>T1.role(K999&amp;"@"&amp;B1001,"CPD_RESULT","val",3)</f>
        <v>#REF!</v>
      </c>
      <c r="N1001" s="133" t="e">
        <f>T1.role(K999&amp;"@"&amp;B1001,"CPD_RESULT","val",4)</f>
        <v>#REF!</v>
      </c>
      <c r="O1001" s="133" t="e">
        <f>T1.role(O999&amp;"@"&amp;B1001,"CPD_RESULT","val",1)</f>
        <v>#REF!</v>
      </c>
      <c r="P1001" s="133" t="e">
        <f>T1.role(O999&amp;"@"&amp;B1001,"CPD_RESULT","val",2)</f>
        <v>#REF!</v>
      </c>
      <c r="Q1001" s="133" t="e">
        <f>T1.role(O999&amp;"@"&amp;B1001,"CPD_RESULT","val",3)</f>
        <v>#REF!</v>
      </c>
      <c r="R1001" s="133" t="e">
        <f>T1.role(O999&amp;"@"&amp;B1001,"CPD_RESULT","val",4)</f>
        <v>#REF!</v>
      </c>
      <c r="S1001" s="49"/>
      <c r="T1001" s="49"/>
      <c r="U1001" s="49"/>
      <c r="V1001" s="49"/>
      <c r="W1001" s="49"/>
      <c r="X1001" s="49"/>
      <c r="Y1001" s="49"/>
      <c r="Z1001" s="49"/>
    </row>
    <row r="1002" spans="1:26" ht="11.25" customHeight="1">
      <c r="A1002" s="49"/>
      <c r="B1002" s="127">
        <v>6</v>
      </c>
      <c r="C1002" s="133" t="e">
        <f>T1.role(C999&amp;"@"&amp;B1002,"CPD_RESULT","val",1)</f>
        <v>#REF!</v>
      </c>
      <c r="D1002" s="133" t="e">
        <f>T1.role(C999&amp;"@"&amp;B1002,"CPD_RESULT","val",2)</f>
        <v>#REF!</v>
      </c>
      <c r="E1002" s="133" t="e">
        <f>T1.role(C999&amp;"@"&amp;B1002,"CPD_RESULT","val",3)</f>
        <v>#REF!</v>
      </c>
      <c r="F1002" s="133" t="e">
        <f>T1.role(C999&amp;"@"&amp;B1002,"CPD_RESULT","val",4)</f>
        <v>#REF!</v>
      </c>
      <c r="G1002" s="133" t="e">
        <f>T1.role(G999&amp;"@"&amp;B1002,"CPD_RESULT","val",1)</f>
        <v>#REF!</v>
      </c>
      <c r="H1002" s="133" t="e">
        <f>T1.role(G999&amp;"@"&amp;B1002,"CPD_RESULT","val",2)</f>
        <v>#REF!</v>
      </c>
      <c r="I1002" s="133" t="e">
        <f>T1.role(G999&amp;"@"&amp;B1002,"CPD_RESULT","val",3)</f>
        <v>#REF!</v>
      </c>
      <c r="J1002" s="133" t="e">
        <f>T1.role(G999&amp;"@"&amp;B1002,"CPD_RESULT","val",4)</f>
        <v>#REF!</v>
      </c>
      <c r="K1002" s="133" t="e">
        <f>T1.role(K999&amp;"@"&amp;B1002,"CPD_RESULT","val",1)</f>
        <v>#REF!</v>
      </c>
      <c r="L1002" s="133" t="e">
        <f>T1.role(K999&amp;"@"&amp;B1002,"CPD_RESULT","val",2)</f>
        <v>#REF!</v>
      </c>
      <c r="M1002" s="133" t="e">
        <f>T1.role(K999&amp;"@"&amp;B1002,"CPD_RESULT","val",3)</f>
        <v>#REF!</v>
      </c>
      <c r="N1002" s="133" t="e">
        <f>T1.role(K999&amp;"@"&amp;B1002,"CPD_RESULT","val",4)</f>
        <v>#REF!</v>
      </c>
      <c r="O1002" s="133" t="e">
        <f>T1.role(O999&amp;"@"&amp;B1002,"CPD_RESULT","val",1)</f>
        <v>#REF!</v>
      </c>
      <c r="P1002" s="133" t="e">
        <f>T1.role(O999&amp;"@"&amp;B1002,"CPD_RESULT","val",2)</f>
        <v>#REF!</v>
      </c>
      <c r="Q1002" s="133" t="e">
        <f>T1.role(O999&amp;"@"&amp;B1002,"CPD_RESULT","val",3)</f>
        <v>#REF!</v>
      </c>
      <c r="R1002" s="133" t="e">
        <f>T1.role(O999&amp;"@"&amp;B1002,"CPD_RESULT","val",4)</f>
        <v>#REF!</v>
      </c>
      <c r="S1002" s="49"/>
      <c r="T1002" s="49"/>
      <c r="U1002" s="49"/>
      <c r="V1002" s="49"/>
      <c r="W1002" s="49"/>
      <c r="X1002" s="49"/>
      <c r="Y1002" s="49"/>
      <c r="Z1002" s="49"/>
    </row>
    <row r="1003" spans="1:26" ht="11.25" customHeight="1">
      <c r="A1003" s="49"/>
      <c r="B1003" s="127">
        <v>2</v>
      </c>
      <c r="C1003" s="133" t="e">
        <f>T1.role(C999&amp;"@"&amp;B1003,"CPD_RESULT","val",1)</f>
        <v>#REF!</v>
      </c>
      <c r="D1003" s="133" t="e">
        <f>T1.role(C999&amp;"@"&amp;B1003,"CPD_RESULT","val",2)</f>
        <v>#REF!</v>
      </c>
      <c r="E1003" s="133" t="e">
        <f>T1.role(C999&amp;"@"&amp;B1003,"CPD_RESULT","val",3)</f>
        <v>#REF!</v>
      </c>
      <c r="F1003" s="133" t="e">
        <f>T1.role(C999&amp;"@"&amp;B1003,"CPD_RESULT","val",4)</f>
        <v>#REF!</v>
      </c>
      <c r="G1003" s="133" t="e">
        <f>T1.role(G999&amp;"@"&amp;B1003,"CPD_RESULT","val",1)</f>
        <v>#REF!</v>
      </c>
      <c r="H1003" s="133" t="e">
        <f>T1.role(G999&amp;"@"&amp;B1003,"CPD_RESULT","val",2)</f>
        <v>#REF!</v>
      </c>
      <c r="I1003" s="133" t="e">
        <f>T1.role(G999&amp;"@"&amp;B1003,"CPD_RESULT","val",3)</f>
        <v>#REF!</v>
      </c>
      <c r="J1003" s="133" t="e">
        <f>T1.role(G999&amp;"@"&amp;B1003,"CPD_RESULT","val",4)</f>
        <v>#REF!</v>
      </c>
      <c r="K1003" s="133" t="e">
        <f>T1.role(K999&amp;"@"&amp;B1003,"CPD_RESULT","val",1)</f>
        <v>#REF!</v>
      </c>
      <c r="L1003" s="133" t="e">
        <f>T1.role(K999&amp;"@"&amp;B1003,"CPD_RESULT","val",2)</f>
        <v>#REF!</v>
      </c>
      <c r="M1003" s="133" t="e">
        <f>T1.role(K999&amp;"@"&amp;B1003,"CPD_RESULT","val",3)</f>
        <v>#REF!</v>
      </c>
      <c r="N1003" s="133" t="e">
        <f>T1.role(K999&amp;"@"&amp;B1003,"CPD_RESULT","val",4)</f>
        <v>#REF!</v>
      </c>
      <c r="O1003" s="133" t="e">
        <f>T1.role(O999&amp;"@"&amp;B1003,"CPD_RESULT","val",1)</f>
        <v>#REF!</v>
      </c>
      <c r="P1003" s="133" t="e">
        <f>T1.role(O999&amp;"@"&amp;B1003,"CPD_RESULT","val",2)</f>
        <v>#REF!</v>
      </c>
      <c r="Q1003" s="133" t="e">
        <f>T1.role(O999&amp;"@"&amp;B1003,"CPD_RESULT","val",3)</f>
        <v>#REF!</v>
      </c>
      <c r="R1003" s="133" t="e">
        <f>T1.role(O999&amp;"@"&amp;B1003,"CPD_RESULT","val",4)</f>
        <v>#REF!</v>
      </c>
      <c r="S1003" s="49"/>
      <c r="T1003" s="49"/>
      <c r="U1003" s="49"/>
      <c r="V1003" s="49"/>
      <c r="W1003" s="49"/>
      <c r="X1003" s="49"/>
      <c r="Y1003" s="49"/>
      <c r="Z1003" s="49"/>
    </row>
    <row r="1004" spans="1:26" ht="11.25" customHeight="1">
      <c r="A1004" s="49"/>
      <c r="B1004" s="127">
        <v>0.6</v>
      </c>
      <c r="C1004" s="133" t="e">
        <f>T1.role(C999&amp;"@"&amp;B1004,"CPD_RESULT","val",1)</f>
        <v>#REF!</v>
      </c>
      <c r="D1004" s="133" t="e">
        <f>T1.role(C999&amp;"@"&amp;B1004,"CPD_RESULT","val",2)</f>
        <v>#REF!</v>
      </c>
      <c r="E1004" s="133" t="e">
        <f>T1.role(C999&amp;"@"&amp;B1004,"CPD_RESULT","val",3)</f>
        <v>#REF!</v>
      </c>
      <c r="F1004" s="133" t="e">
        <f>T1.role(C999&amp;"@"&amp;B1004,"CPD_RESULT","val",4)</f>
        <v>#REF!</v>
      </c>
      <c r="G1004" s="133" t="e">
        <f>T1.role(G999&amp;"@"&amp;B1004,"CPD_RESULT","val",1)</f>
        <v>#REF!</v>
      </c>
      <c r="H1004" s="133" t="e">
        <f>T1.role(G999&amp;"@"&amp;B1004,"CPD_RESULT","val",2)</f>
        <v>#REF!</v>
      </c>
      <c r="I1004" s="133" t="e">
        <f>T1.role(G999&amp;"@"&amp;B1004,"CPD_RESULT","val",3)</f>
        <v>#REF!</v>
      </c>
      <c r="J1004" s="133" t="e">
        <f>T1.role(G999&amp;"@"&amp;B1004,"CPD_RESULT","val",4)</f>
        <v>#REF!</v>
      </c>
      <c r="K1004" s="133" t="e">
        <f>T1.role(K999&amp;"@"&amp;B1004,"CPD_RESULT","val",1)</f>
        <v>#REF!</v>
      </c>
      <c r="L1004" s="133" t="e">
        <f>T1.role(K999&amp;"@"&amp;B1004,"CPD_RESULT","val",2)</f>
        <v>#REF!</v>
      </c>
      <c r="M1004" s="133" t="e">
        <f>T1.role(K999&amp;"@"&amp;B1004,"CPD_RESULT","val",3)</f>
        <v>#REF!</v>
      </c>
      <c r="N1004" s="133" t="e">
        <f>T1.role(K999&amp;"@"&amp;B1004,"CPD_RESULT","val",4)</f>
        <v>#REF!</v>
      </c>
      <c r="O1004" s="133" t="e">
        <f>T1.role(O999&amp;"@"&amp;B1004,"CPD_RESULT","val",1)</f>
        <v>#REF!</v>
      </c>
      <c r="P1004" s="133" t="e">
        <f>T1.role(O999&amp;"@"&amp;B1004,"CPD_RESULT","val",2)</f>
        <v>#REF!</v>
      </c>
      <c r="Q1004" s="133" t="e">
        <f>T1.role(O999&amp;"@"&amp;B1004,"CPD_RESULT","val",3)</f>
        <v>#REF!</v>
      </c>
      <c r="R1004" s="133" t="e">
        <f>T1.role(O999&amp;"@"&amp;B1004,"CPD_RESULT","val",4)</f>
        <v>#REF!</v>
      </c>
      <c r="S1004" s="49"/>
      <c r="T1004" s="49"/>
      <c r="U1004" s="49"/>
      <c r="V1004" s="49"/>
      <c r="W1004" s="49"/>
      <c r="X1004" s="49"/>
      <c r="Y1004" s="49"/>
      <c r="Z1004" s="49"/>
    </row>
    <row r="1005" spans="1:26" ht="11.25" customHeight="1">
      <c r="A1005" s="49"/>
      <c r="B1005" s="127">
        <v>0.2</v>
      </c>
      <c r="C1005" s="133" t="e">
        <f>T1.role(C999&amp;"@"&amp;B1005,"CPD_RESULT","val",1)</f>
        <v>#REF!</v>
      </c>
      <c r="D1005" s="133" t="e">
        <f>T1.role(C999&amp;"@"&amp;B1005,"CPD_RESULT","val",2)</f>
        <v>#REF!</v>
      </c>
      <c r="E1005" s="133" t="e">
        <f>T1.role(C999&amp;"@"&amp;B1005,"CPD_RESULT","val",3)</f>
        <v>#REF!</v>
      </c>
      <c r="F1005" s="133" t="e">
        <f>T1.role(C999&amp;"@"&amp;B1005,"CPD_RESULT","val",4)</f>
        <v>#REF!</v>
      </c>
      <c r="G1005" s="133" t="e">
        <f>T1.role(G999&amp;"@"&amp;B1005,"CPD_RESULT","val",1)</f>
        <v>#REF!</v>
      </c>
      <c r="H1005" s="133" t="e">
        <f>T1.role(G999&amp;"@"&amp;B1005,"CPD_RESULT","val",2)</f>
        <v>#REF!</v>
      </c>
      <c r="I1005" s="133" t="e">
        <f>T1.role(G999&amp;"@"&amp;B1005,"CPD_RESULT","val",3)</f>
        <v>#REF!</v>
      </c>
      <c r="J1005" s="133" t="e">
        <f>T1.role(G999&amp;"@"&amp;B1005,"CPD_RESULT","val",4)</f>
        <v>#REF!</v>
      </c>
      <c r="K1005" s="133" t="e">
        <f>T1.role(K999&amp;"@"&amp;B1005,"CPD_RESULT","val",1)</f>
        <v>#REF!</v>
      </c>
      <c r="L1005" s="133" t="e">
        <f>T1.role(K999&amp;"@"&amp;B1005,"CPD_RESULT","val",2)</f>
        <v>#REF!</v>
      </c>
      <c r="M1005" s="133" t="e">
        <f>T1.role(K999&amp;"@"&amp;B1005,"CPD_RESULT","val",3)</f>
        <v>#REF!</v>
      </c>
      <c r="N1005" s="133" t="e">
        <f>T1.role(K999&amp;"@"&amp;B1005,"CPD_RESULT","val",4)</f>
        <v>#REF!</v>
      </c>
      <c r="O1005" s="133" t="e">
        <f>T1.role(O999&amp;"@"&amp;B1005,"CPD_RESULT","val",1)</f>
        <v>#REF!</v>
      </c>
      <c r="P1005" s="133" t="e">
        <f>T1.role(O999&amp;"@"&amp;B1005,"CPD_RESULT","val",2)</f>
        <v>#REF!</v>
      </c>
      <c r="Q1005" s="133" t="e">
        <f>T1.role(O999&amp;"@"&amp;B1005,"CPD_RESULT","val",3)</f>
        <v>#REF!</v>
      </c>
      <c r="R1005" s="133" t="e">
        <f>T1.role(O999&amp;"@"&amp;B1005,"CPD_RESULT","val",4)</f>
        <v>#REF!</v>
      </c>
      <c r="S1005" s="49"/>
      <c r="T1005" s="49"/>
      <c r="U1005" s="49"/>
      <c r="V1005" s="49"/>
      <c r="W1005" s="49"/>
      <c r="X1005" s="49"/>
      <c r="Y1005" s="49"/>
      <c r="Z1005" s="49"/>
    </row>
    <row r="1006" spans="1:26" ht="11.25" customHeight="1">
      <c r="A1006" s="49"/>
      <c r="C1006" s="49"/>
      <c r="D1006" s="49"/>
      <c r="E1006" s="49"/>
      <c r="F1006" s="49"/>
      <c r="G1006" s="49"/>
      <c r="H1006" s="49"/>
      <c r="I1006" s="49"/>
      <c r="K1006" s="49"/>
      <c r="L1006" s="49"/>
      <c r="M1006" s="49"/>
      <c r="N1006" s="49"/>
      <c r="O1006" s="49"/>
      <c r="P1006" s="49"/>
      <c r="Q1006" s="49"/>
      <c r="R1006" s="49"/>
      <c r="S1006" s="49"/>
      <c r="T1006" s="49"/>
      <c r="U1006" s="49"/>
      <c r="V1006" s="49"/>
      <c r="W1006" s="49"/>
      <c r="X1006" s="49"/>
      <c r="Y1006" s="49"/>
      <c r="Z1006" s="49"/>
    </row>
    <row r="1007" spans="1:26" s="130" customFormat="1" ht="11.25" customHeight="1">
      <c r="A1007" s="129" t="s">
        <v>3380</v>
      </c>
    </row>
    <row r="1008" spans="1:26" ht="11.25" customHeight="1">
      <c r="A1008" s="49"/>
      <c r="C1008" s="49"/>
      <c r="D1008" s="49"/>
      <c r="E1008" s="49"/>
      <c r="F1008" s="49"/>
      <c r="G1008" s="49"/>
      <c r="H1008" s="49"/>
      <c r="I1008" s="49"/>
      <c r="K1008" s="49"/>
      <c r="L1008" s="49"/>
      <c r="M1008" s="49"/>
      <c r="N1008" s="49"/>
      <c r="O1008" s="49"/>
      <c r="P1008" s="49"/>
      <c r="Q1008" s="49"/>
      <c r="R1008" s="49"/>
      <c r="S1008" s="49"/>
      <c r="T1008" s="49"/>
      <c r="U1008" s="49"/>
      <c r="V1008" s="49"/>
      <c r="W1008" s="49"/>
      <c r="X1008" s="49"/>
      <c r="Y1008" s="49"/>
      <c r="Z1008" s="49"/>
    </row>
    <row r="1009" spans="1:34" ht="11.25" customHeight="1">
      <c r="A1009" s="49"/>
      <c r="B1009" s="39"/>
      <c r="C1009" s="76" t="s">
        <v>815</v>
      </c>
      <c r="D1009" s="47"/>
      <c r="E1009" s="47"/>
      <c r="F1009" s="140"/>
      <c r="G1009" s="76" t="s">
        <v>2001</v>
      </c>
      <c r="H1009" s="47"/>
      <c r="I1009" s="47"/>
      <c r="J1009" s="140"/>
      <c r="K1009" s="76" t="s">
        <v>2005</v>
      </c>
      <c r="L1009" s="47"/>
      <c r="M1009" s="47"/>
      <c r="N1009" s="140"/>
      <c r="O1009" s="76" t="s">
        <v>2006</v>
      </c>
      <c r="P1009" s="47"/>
      <c r="Q1009" s="47"/>
      <c r="R1009" s="140"/>
      <c r="S1009" s="76" t="s">
        <v>436</v>
      </c>
      <c r="T1009" s="47"/>
      <c r="U1009" s="47"/>
      <c r="V1009" s="140"/>
      <c r="W1009" s="76" t="s">
        <v>437</v>
      </c>
      <c r="X1009" s="47"/>
      <c r="Y1009" s="47"/>
      <c r="Z1009" s="140"/>
      <c r="AA1009" s="76" t="s">
        <v>438</v>
      </c>
      <c r="AB1009" s="47"/>
      <c r="AC1009" s="47"/>
      <c r="AD1009" s="140"/>
      <c r="AE1009" s="76" t="s">
        <v>439</v>
      </c>
      <c r="AF1009" s="47"/>
      <c r="AG1009" s="47"/>
      <c r="AH1009" s="140"/>
    </row>
    <row r="1010" spans="1:34" ht="11.25" customHeight="1">
      <c r="A1010" s="49"/>
      <c r="B1010" s="44"/>
      <c r="C1010" s="76" t="str">
        <f>T1.role(C1009,"cpdid")</f>
        <v/>
      </c>
      <c r="D1010" s="47"/>
      <c r="E1010" s="47"/>
      <c r="F1010" s="140"/>
      <c r="G1010" s="76" t="str">
        <f>T1.role(G1009,"cpdid")</f>
        <v/>
      </c>
      <c r="H1010" s="47"/>
      <c r="I1010" s="47"/>
      <c r="J1010" s="140"/>
      <c r="K1010" s="76" t="str">
        <f>T1.role(K1009,"cpdid")</f>
        <v/>
      </c>
      <c r="L1010" s="47"/>
      <c r="M1010" s="47"/>
      <c r="N1010" s="140"/>
      <c r="O1010" s="76" t="str">
        <f>T1.role(O1009,"cpdid")</f>
        <v/>
      </c>
      <c r="P1010" s="47"/>
      <c r="Q1010" s="47"/>
      <c r="R1010" s="140"/>
      <c r="S1010" s="76" t="str">
        <f>T1.role(S1009,"cpdid")</f>
        <v/>
      </c>
      <c r="T1010" s="47"/>
      <c r="U1010" s="47"/>
      <c r="V1010" s="140"/>
      <c r="W1010" s="76" t="str">
        <f>T1.role(W1009,"cpdid")</f>
        <v/>
      </c>
      <c r="X1010" s="47"/>
      <c r="Y1010" s="47"/>
      <c r="Z1010" s="140"/>
      <c r="AA1010" s="76" t="str">
        <f>T1.role(AA1009,"cpdid")</f>
        <v/>
      </c>
      <c r="AB1010" s="47"/>
      <c r="AC1010" s="47"/>
      <c r="AD1010" s="140"/>
      <c r="AE1010" s="76" t="str">
        <f>T1.role(AE1009,"cpdid")</f>
        <v/>
      </c>
      <c r="AF1010" s="47"/>
      <c r="AG1010" s="47"/>
      <c r="AH1010" s="140"/>
    </row>
    <row r="1011" spans="1:34" ht="11.25" customHeight="1">
      <c r="A1011" s="49"/>
      <c r="B1011" s="139">
        <v>20</v>
      </c>
      <c r="C1011" s="139" t="e">
        <f>T1.role(C1009&amp;"@"&amp;B1011,"CPD_RESULT","val",1)</f>
        <v>#REF!</v>
      </c>
      <c r="D1011" s="139" t="e">
        <f>T1.role(C1009&amp;"@"&amp;B1011,"CPD_RESULT","val",2)</f>
        <v>#REF!</v>
      </c>
      <c r="E1011" s="139" t="e">
        <f>T1.role(C1009&amp;"@"&amp;B1011,"CPD_RESULT","val",3)</f>
        <v>#REF!</v>
      </c>
      <c r="F1011" s="139" t="e">
        <f>T1.role(C1009&amp;"@"&amp;B1011,"CPD_RESULT","val",4)</f>
        <v>#REF!</v>
      </c>
      <c r="G1011" s="139" t="e">
        <f>T1.role(G1009&amp;"@"&amp;B1011,"CPD_RESULT","val",1)</f>
        <v>#REF!</v>
      </c>
      <c r="H1011" s="139" t="e">
        <f>T1.role(G1009&amp;"@"&amp;B1011,"CPD_RESULT","val",2)</f>
        <v>#REF!</v>
      </c>
      <c r="I1011" s="139" t="e">
        <f>T1.role(G1009&amp;"@"&amp;B1011,"CPD_RESULT","val",3)</f>
        <v>#REF!</v>
      </c>
      <c r="J1011" s="139" t="e">
        <f>T1.role(G1009&amp;"@"&amp;B1011,"CPD_RESULT","val",4)</f>
        <v>#REF!</v>
      </c>
      <c r="K1011" s="139" t="e">
        <f>T1.role(K1009&amp;"@"&amp;B1011,"CPD_RESULT","val",1)</f>
        <v>#REF!</v>
      </c>
      <c r="L1011" s="139" t="e">
        <f>T1.role(K1009&amp;"@"&amp;B1011,"CPD_RESULT","val",2)</f>
        <v>#REF!</v>
      </c>
      <c r="M1011" s="139" t="e">
        <f>T1.role(K1009&amp;"@"&amp;B1011,"CPD_RESULT","val",3)</f>
        <v>#REF!</v>
      </c>
      <c r="N1011" s="139" t="e">
        <f>T1.role(K1009&amp;"@"&amp;B1011,"CPD_RESULT","val",4)</f>
        <v>#REF!</v>
      </c>
      <c r="O1011" s="139" t="e">
        <f>T1.role(O1009&amp;"@"&amp;B1011,"CPD_RESULT","val",1)</f>
        <v>#REF!</v>
      </c>
      <c r="P1011" s="139" t="e">
        <f>T1.role(O1009&amp;"@"&amp;B1011,"CPD_RESULT","val",2)</f>
        <v>#REF!</v>
      </c>
      <c r="Q1011" s="139" t="e">
        <f>T1.role(O1009&amp;"@"&amp;B1011,"CPD_RESULT","val",3)</f>
        <v>#REF!</v>
      </c>
      <c r="R1011" s="139" t="e">
        <f>T1.role(O1009&amp;"@"&amp;B1011,"CPD_RESULT","val",4)</f>
        <v>#REF!</v>
      </c>
      <c r="S1011" s="139" t="e">
        <f>T1.role(S1009&amp;"@"&amp;B1011,"CPD_RESULT","val",1)</f>
        <v>#REF!</v>
      </c>
      <c r="T1011" s="139" t="e">
        <f>T1.role(S1009&amp;"@"&amp;B1011,"CPD_RESULT","val",1)</f>
        <v>#REF!</v>
      </c>
      <c r="U1011" s="139" t="e">
        <f>T1.role(S1009&amp;"@"&amp;B1011,"CPD_RESULT","val",1)</f>
        <v>#REF!</v>
      </c>
      <c r="V1011" s="139" t="e">
        <f>T1.role(S1009&amp;"@"&amp;B1011,"CPD_RESULT","val",1)</f>
        <v>#REF!</v>
      </c>
      <c r="W1011" s="139" t="e">
        <f>T1.role(W1009&amp;"@"&amp;B1011,"CPD_RESULT","val",1)</f>
        <v>#REF!</v>
      </c>
      <c r="X1011" s="139" t="e">
        <f>T1.role(W1009&amp;"@"&amp;B1011,"CPD_RESULT","val",1)</f>
        <v>#REF!</v>
      </c>
      <c r="Y1011" s="139" t="e">
        <f>T1.role(W1009&amp;"@"&amp;B1011,"CPD_RESULT","val",1)</f>
        <v>#REF!</v>
      </c>
      <c r="Z1011" s="139" t="e">
        <f>T1.role(W1009&amp;"@"&amp;B1011,"CPD_RESULT","val",1)</f>
        <v>#REF!</v>
      </c>
      <c r="AA1011" s="139" t="e">
        <f>T1.role(AA1009&amp;"@"&amp;B1011,"CPD_RESULT","val",1)</f>
        <v>#REF!</v>
      </c>
      <c r="AB1011" s="139" t="e">
        <f>T1.role(AA1009&amp;"@"&amp;B1011,"CPD_RESULT","val",1)</f>
        <v>#REF!</v>
      </c>
      <c r="AC1011" s="139" t="e">
        <f>T1.role(AA1009&amp;"@"&amp;B1011,"CPD_RESULT","val",1)</f>
        <v>#REF!</v>
      </c>
      <c r="AD1011" s="139" t="e">
        <f>T1.role(AA1009&amp;"@"&amp;B1011,"CPD_RESULT","val",1)</f>
        <v>#REF!</v>
      </c>
      <c r="AE1011" s="139" t="e">
        <f>T1.role(AE1009&amp;"@"&amp;B1011,"CPD_RESULT","val",1)</f>
        <v>#REF!</v>
      </c>
      <c r="AF1011" s="139" t="e">
        <f>T1.role(AE1009&amp;"@"&amp;B1011,"CPD_RESULT","val",1)</f>
        <v>#REF!</v>
      </c>
      <c r="AG1011" s="139" t="e">
        <f>T1.role(AE1009&amp;"@"&amp;B1011,"CPD_RESULT","val",1)</f>
        <v>#REF!</v>
      </c>
      <c r="AH1011" s="139" t="e">
        <f>T1.role(AE1009&amp;"@"&amp;B1011,"CPD_RESULT","val",1)</f>
        <v>#REF!</v>
      </c>
    </row>
    <row r="1012" spans="1:34" ht="11.25" customHeight="1">
      <c r="A1012" s="49"/>
      <c r="B1012" s="139">
        <v>6</v>
      </c>
      <c r="C1012" s="139" t="e">
        <f>T1.role(C1009&amp;"@"&amp;B1012,"CPD_RESULT","val",1)</f>
        <v>#REF!</v>
      </c>
      <c r="D1012" s="139" t="e">
        <f>T1.role(C1009&amp;"@"&amp;B1012,"CPD_RESULT","val",2)</f>
        <v>#REF!</v>
      </c>
      <c r="E1012" s="139" t="e">
        <f>T1.role(C1009&amp;"@"&amp;B1012,"CPD_RESULT","val",3)</f>
        <v>#REF!</v>
      </c>
      <c r="F1012" s="139" t="e">
        <f>T1.role(C1009&amp;"@"&amp;B1012,"CPD_RESULT","val",4)</f>
        <v>#REF!</v>
      </c>
      <c r="G1012" s="139" t="e">
        <f>T1.role(G1009&amp;"@"&amp;B1012,"CPD_RESULT","val",1)</f>
        <v>#REF!</v>
      </c>
      <c r="H1012" s="139" t="e">
        <f>T1.role(G1009&amp;"@"&amp;B1012,"CPD_RESULT","val",2)</f>
        <v>#REF!</v>
      </c>
      <c r="I1012" s="139" t="e">
        <f>T1.role(G1009&amp;"@"&amp;B1012,"CPD_RESULT","val",3)</f>
        <v>#REF!</v>
      </c>
      <c r="J1012" s="139" t="e">
        <f>T1.role(G1009&amp;"@"&amp;B1012,"CPD_RESULT","val",4)</f>
        <v>#REF!</v>
      </c>
      <c r="K1012" s="139" t="e">
        <f>T1.role(K1009&amp;"@"&amp;B1012,"CPD_RESULT","val",1)</f>
        <v>#REF!</v>
      </c>
      <c r="L1012" s="139" t="e">
        <f>T1.role(K1009&amp;"@"&amp;B1012,"CPD_RESULT","val",2)</f>
        <v>#REF!</v>
      </c>
      <c r="M1012" s="139" t="e">
        <f>T1.role(K1009&amp;"@"&amp;B1012,"CPD_RESULT","val",3)</f>
        <v>#REF!</v>
      </c>
      <c r="N1012" s="139" t="e">
        <f>T1.role(K1009&amp;"@"&amp;B1012,"CPD_RESULT","val",4)</f>
        <v>#REF!</v>
      </c>
      <c r="O1012" s="139" t="e">
        <f>T1.role(O1009&amp;"@"&amp;B1012,"CPD_RESULT","val",1)</f>
        <v>#REF!</v>
      </c>
      <c r="P1012" s="139" t="e">
        <f>T1.role(O1009&amp;"@"&amp;B1012,"CPD_RESULT","val",2)</f>
        <v>#REF!</v>
      </c>
      <c r="Q1012" s="139" t="e">
        <f>T1.role(O1009&amp;"@"&amp;B1012,"CPD_RESULT","val",3)</f>
        <v>#REF!</v>
      </c>
      <c r="R1012" s="139" t="e">
        <f>T1.role(O1009&amp;"@"&amp;B1012,"CPD_RESULT","val",4)</f>
        <v>#REF!</v>
      </c>
      <c r="S1012" s="139" t="e">
        <f>T1.role(S1009&amp;"@"&amp;B1012,"CPD_RESULT","val",1)</f>
        <v>#REF!</v>
      </c>
      <c r="T1012" s="139" t="e">
        <f>T1.role(S1009&amp;"@"&amp;B1012,"CPD_RESULT","val",1)</f>
        <v>#REF!</v>
      </c>
      <c r="U1012" s="139" t="e">
        <f>T1.role(S1009&amp;"@"&amp;B1012,"CPD_RESULT","val",1)</f>
        <v>#REF!</v>
      </c>
      <c r="V1012" s="139" t="e">
        <f>T1.role(S1009&amp;"@"&amp;B1012,"CPD_RESULT","val",1)</f>
        <v>#REF!</v>
      </c>
      <c r="W1012" s="139" t="e">
        <f>T1.role(W1009&amp;"@"&amp;B1012,"CPD_RESULT","val",1)</f>
        <v>#REF!</v>
      </c>
      <c r="X1012" s="139" t="e">
        <f>T1.role(W1009&amp;"@"&amp;B1012,"CPD_RESULT","val",1)</f>
        <v>#REF!</v>
      </c>
      <c r="Y1012" s="139" t="e">
        <f>T1.role(W1009&amp;"@"&amp;B1012,"CPD_RESULT","val",1)</f>
        <v>#REF!</v>
      </c>
      <c r="Z1012" s="139" t="e">
        <f>T1.role(W1009&amp;"@"&amp;B1012,"CPD_RESULT","val",1)</f>
        <v>#REF!</v>
      </c>
      <c r="AA1012" s="139" t="e">
        <f>T1.role(AA1009&amp;"@"&amp;B1012,"CPD_RESULT","val",1)</f>
        <v>#REF!</v>
      </c>
      <c r="AB1012" s="139" t="e">
        <f>T1.role(AA1009&amp;"@"&amp;B1012,"CPD_RESULT","val",1)</f>
        <v>#REF!</v>
      </c>
      <c r="AC1012" s="139" t="e">
        <f>T1.role(AA1009&amp;"@"&amp;B1012,"CPD_RESULT","val",1)</f>
        <v>#REF!</v>
      </c>
      <c r="AD1012" s="139" t="e">
        <f>T1.role(AA1009&amp;"@"&amp;B1012,"CPD_RESULT","val",1)</f>
        <v>#REF!</v>
      </c>
      <c r="AE1012" s="139" t="e">
        <f>T1.role(AE1009&amp;"@"&amp;B1012,"CPD_RESULT","val",1)</f>
        <v>#REF!</v>
      </c>
      <c r="AF1012" s="139" t="e">
        <f>T1.role(AE1009&amp;"@"&amp;B1012,"CPD_RESULT","val",1)</f>
        <v>#REF!</v>
      </c>
      <c r="AG1012" s="139" t="e">
        <f>T1.role(AE1009&amp;"@"&amp;B1012,"CPD_RESULT","val",1)</f>
        <v>#REF!</v>
      </c>
      <c r="AH1012" s="139" t="e">
        <f>T1.role(AE1009&amp;"@"&amp;B1012,"CPD_RESULT","val",1)</f>
        <v>#REF!</v>
      </c>
    </row>
    <row r="1013" spans="1:34" ht="11.25" customHeight="1">
      <c r="A1013" s="49"/>
      <c r="B1013" s="139">
        <v>2</v>
      </c>
      <c r="C1013" s="139" t="e">
        <f>T1.role(C1009&amp;"@"&amp;B1013,"CPD_RESULT","val",1)</f>
        <v>#REF!</v>
      </c>
      <c r="D1013" s="139" t="e">
        <f>T1.role(C1009&amp;"@"&amp;B1013,"CPD_RESULT","val",2)</f>
        <v>#REF!</v>
      </c>
      <c r="E1013" s="139" t="e">
        <f>T1.role(C1009&amp;"@"&amp;B1013,"CPD_RESULT","val",3)</f>
        <v>#REF!</v>
      </c>
      <c r="F1013" s="139" t="e">
        <f>T1.role(C1009&amp;"@"&amp;B1013,"CPD_RESULT","val",4)</f>
        <v>#REF!</v>
      </c>
      <c r="G1013" s="139" t="e">
        <f>T1.role(G1009&amp;"@"&amp;B1013,"CPD_RESULT","val",1)</f>
        <v>#REF!</v>
      </c>
      <c r="H1013" s="139" t="e">
        <f>T1.role(G1009&amp;"@"&amp;B1013,"CPD_RESULT","val",2)</f>
        <v>#REF!</v>
      </c>
      <c r="I1013" s="139" t="e">
        <f>T1.role(G1009&amp;"@"&amp;B1013,"CPD_RESULT","val",3)</f>
        <v>#REF!</v>
      </c>
      <c r="J1013" s="139" t="e">
        <f>T1.role(G1009&amp;"@"&amp;B1013,"CPD_RESULT","val",4)</f>
        <v>#REF!</v>
      </c>
      <c r="K1013" s="139" t="e">
        <f>T1.role(K1009&amp;"@"&amp;B1013,"CPD_RESULT","val",1)</f>
        <v>#REF!</v>
      </c>
      <c r="L1013" s="139" t="e">
        <f>T1.role(K1009&amp;"@"&amp;B1013,"CPD_RESULT","val",2)</f>
        <v>#REF!</v>
      </c>
      <c r="M1013" s="139" t="e">
        <f>T1.role(K1009&amp;"@"&amp;B1013,"CPD_RESULT","val",3)</f>
        <v>#REF!</v>
      </c>
      <c r="N1013" s="139" t="e">
        <f>T1.role(K1009&amp;"@"&amp;B1013,"CPD_RESULT","val",4)</f>
        <v>#REF!</v>
      </c>
      <c r="O1013" s="139" t="e">
        <f>T1.role(O1009&amp;"@"&amp;B1013,"CPD_RESULT","val",1)</f>
        <v>#REF!</v>
      </c>
      <c r="P1013" s="139" t="e">
        <f>T1.role(O1009&amp;"@"&amp;B1013,"CPD_RESULT","val",2)</f>
        <v>#REF!</v>
      </c>
      <c r="Q1013" s="139" t="e">
        <f>T1.role(O1009&amp;"@"&amp;B1013,"CPD_RESULT","val",3)</f>
        <v>#REF!</v>
      </c>
      <c r="R1013" s="139" t="e">
        <f>T1.role(O1009&amp;"@"&amp;B1013,"CPD_RESULT","val",4)</f>
        <v>#REF!</v>
      </c>
      <c r="S1013" s="139" t="e">
        <f>T1.role(S1009&amp;"@"&amp;B1013,"CPD_RESULT","val",1)</f>
        <v>#REF!</v>
      </c>
      <c r="T1013" s="139" t="e">
        <f>T1.role(S1009&amp;"@"&amp;B1013,"CPD_RESULT","val",1)</f>
        <v>#REF!</v>
      </c>
      <c r="U1013" s="139" t="e">
        <f>T1.role(S1009&amp;"@"&amp;B1013,"CPD_RESULT","val",1)</f>
        <v>#REF!</v>
      </c>
      <c r="V1013" s="139" t="e">
        <f>T1.role(S1009&amp;"@"&amp;B1013,"CPD_RESULT","val",1)</f>
        <v>#REF!</v>
      </c>
      <c r="W1013" s="139" t="e">
        <f>T1.role(W1009&amp;"@"&amp;B1013,"CPD_RESULT","val",1)</f>
        <v>#REF!</v>
      </c>
      <c r="X1013" s="139" t="e">
        <f>T1.role(W1009&amp;"@"&amp;B1013,"CPD_RESULT","val",1)</f>
        <v>#REF!</v>
      </c>
      <c r="Y1013" s="139" t="e">
        <f>T1.role(W1009&amp;"@"&amp;B1013,"CPD_RESULT","val",1)</f>
        <v>#REF!</v>
      </c>
      <c r="Z1013" s="139" t="e">
        <f>T1.role(W1009&amp;"@"&amp;B1013,"CPD_RESULT","val",1)</f>
        <v>#REF!</v>
      </c>
      <c r="AA1013" s="139" t="e">
        <f>T1.role(AA1009&amp;"@"&amp;B1013,"CPD_RESULT","val",1)</f>
        <v>#REF!</v>
      </c>
      <c r="AB1013" s="139" t="e">
        <f>T1.role(AA1009&amp;"@"&amp;B1013,"CPD_RESULT","val",1)</f>
        <v>#REF!</v>
      </c>
      <c r="AC1013" s="139" t="e">
        <f>T1.role(AA1009&amp;"@"&amp;B1013,"CPD_RESULT","val",1)</f>
        <v>#REF!</v>
      </c>
      <c r="AD1013" s="139" t="e">
        <f>T1.role(AA1009&amp;"@"&amp;B1013,"CPD_RESULT","val",1)</f>
        <v>#REF!</v>
      </c>
      <c r="AE1013" s="139" t="e">
        <f>T1.role(AE1009&amp;"@"&amp;B1013,"CPD_RESULT","val",1)</f>
        <v>#REF!</v>
      </c>
      <c r="AF1013" s="139" t="e">
        <f>T1.role(AE1009&amp;"@"&amp;B1013,"CPD_RESULT","val",1)</f>
        <v>#REF!</v>
      </c>
      <c r="AG1013" s="139" t="e">
        <f>T1.role(AE1009&amp;"@"&amp;B1013,"CPD_RESULT","val",1)</f>
        <v>#REF!</v>
      </c>
      <c r="AH1013" s="139" t="e">
        <f>T1.role(AE1009&amp;"@"&amp;B1013,"CPD_RESULT","val",1)</f>
        <v>#REF!</v>
      </c>
    </row>
    <row r="1014" spans="1:34" ht="11.25" customHeight="1">
      <c r="A1014" s="49"/>
      <c r="B1014" s="139">
        <v>0.6</v>
      </c>
      <c r="C1014" s="139" t="e">
        <f>T1.role(C1009&amp;"@"&amp;B1014,"CPD_RESULT","val",1)</f>
        <v>#REF!</v>
      </c>
      <c r="D1014" s="139" t="e">
        <f>T1.role(C1009&amp;"@"&amp;B1014,"CPD_RESULT","val",2)</f>
        <v>#REF!</v>
      </c>
      <c r="E1014" s="139" t="e">
        <f>T1.role(C1009&amp;"@"&amp;B1014,"CPD_RESULT","val",3)</f>
        <v>#REF!</v>
      </c>
      <c r="F1014" s="139" t="e">
        <f>T1.role(C1009&amp;"@"&amp;B1014,"CPD_RESULT","val",4)</f>
        <v>#REF!</v>
      </c>
      <c r="G1014" s="139" t="e">
        <f>T1.role(G1009&amp;"@"&amp;B1014,"CPD_RESULT","val",1)</f>
        <v>#REF!</v>
      </c>
      <c r="H1014" s="139" t="e">
        <f>T1.role(G1009&amp;"@"&amp;B1014,"CPD_RESULT","val",2)</f>
        <v>#REF!</v>
      </c>
      <c r="I1014" s="139" t="e">
        <f>T1.role(G1009&amp;"@"&amp;B1014,"CPD_RESULT","val",3)</f>
        <v>#REF!</v>
      </c>
      <c r="J1014" s="139" t="e">
        <f>T1.role(G1009&amp;"@"&amp;B1014,"CPD_RESULT","val",4)</f>
        <v>#REF!</v>
      </c>
      <c r="K1014" s="139" t="e">
        <f>T1.role(K1009&amp;"@"&amp;B1014,"CPD_RESULT","val",1)</f>
        <v>#REF!</v>
      </c>
      <c r="L1014" s="139" t="e">
        <f>T1.role(K1009&amp;"@"&amp;B1014,"CPD_RESULT","val",2)</f>
        <v>#REF!</v>
      </c>
      <c r="M1014" s="139" t="e">
        <f>T1.role(K1009&amp;"@"&amp;B1014,"CPD_RESULT","val",3)</f>
        <v>#REF!</v>
      </c>
      <c r="N1014" s="139" t="e">
        <f>T1.role(K1009&amp;"@"&amp;B1014,"CPD_RESULT","val",4)</f>
        <v>#REF!</v>
      </c>
      <c r="O1014" s="139" t="e">
        <f>T1.role(O1009&amp;"@"&amp;B1014,"CPD_RESULT","val",1)</f>
        <v>#REF!</v>
      </c>
      <c r="P1014" s="139" t="e">
        <f>T1.role(O1009&amp;"@"&amp;B1014,"CPD_RESULT","val",2)</f>
        <v>#REF!</v>
      </c>
      <c r="Q1014" s="139" t="e">
        <f>T1.role(O1009&amp;"@"&amp;B1014,"CPD_RESULT","val",3)</f>
        <v>#REF!</v>
      </c>
      <c r="R1014" s="139" t="e">
        <f>T1.role(O1009&amp;"@"&amp;B1014,"CPD_RESULT","val",4)</f>
        <v>#REF!</v>
      </c>
      <c r="S1014" s="139" t="e">
        <f>T1.role(S1009&amp;"@"&amp;B1014,"CPD_RESULT","val",1)</f>
        <v>#REF!</v>
      </c>
      <c r="T1014" s="139" t="e">
        <f>T1.role(S1009&amp;"@"&amp;B1014,"CPD_RESULT","val",1)</f>
        <v>#REF!</v>
      </c>
      <c r="U1014" s="139" t="e">
        <f>T1.role(S1009&amp;"@"&amp;B1014,"CPD_RESULT","val",1)</f>
        <v>#REF!</v>
      </c>
      <c r="V1014" s="139" t="e">
        <f>T1.role(S1009&amp;"@"&amp;B1014,"CPD_RESULT","val",1)</f>
        <v>#REF!</v>
      </c>
      <c r="W1014" s="139" t="e">
        <f>T1.role(W1009&amp;"@"&amp;B1014,"CPD_RESULT","val",1)</f>
        <v>#REF!</v>
      </c>
      <c r="X1014" s="139" t="e">
        <f>T1.role(W1009&amp;"@"&amp;B1014,"CPD_RESULT","val",1)</f>
        <v>#REF!</v>
      </c>
      <c r="Y1014" s="139" t="e">
        <f>T1.role(W1009&amp;"@"&amp;B1014,"CPD_RESULT","val",1)</f>
        <v>#REF!</v>
      </c>
      <c r="Z1014" s="139" t="e">
        <f>T1.role(W1009&amp;"@"&amp;B1014,"CPD_RESULT","val",1)</f>
        <v>#REF!</v>
      </c>
      <c r="AA1014" s="139" t="e">
        <f>T1.role(AA1009&amp;"@"&amp;B1014,"CPD_RESULT","val",1)</f>
        <v>#REF!</v>
      </c>
      <c r="AB1014" s="139" t="e">
        <f>T1.role(AA1009&amp;"@"&amp;B1014,"CPD_RESULT","val",1)</f>
        <v>#REF!</v>
      </c>
      <c r="AC1014" s="139" t="e">
        <f>T1.role(AA1009&amp;"@"&amp;B1014,"CPD_RESULT","val",1)</f>
        <v>#REF!</v>
      </c>
      <c r="AD1014" s="139" t="e">
        <f>T1.role(AA1009&amp;"@"&amp;B1014,"CPD_RESULT","val",1)</f>
        <v>#REF!</v>
      </c>
      <c r="AE1014" s="139" t="e">
        <f>T1.role(AE1009&amp;"@"&amp;B1014,"CPD_RESULT","val",1)</f>
        <v>#REF!</v>
      </c>
      <c r="AF1014" s="139" t="e">
        <f>T1.role(AE1009&amp;"@"&amp;B1014,"CPD_RESULT","val",1)</f>
        <v>#REF!</v>
      </c>
      <c r="AG1014" s="139" t="e">
        <f>T1.role(AE1009&amp;"@"&amp;B1014,"CPD_RESULT","val",1)</f>
        <v>#REF!</v>
      </c>
      <c r="AH1014" s="139" t="e">
        <f>T1.role(AE1009&amp;"@"&amp;B1014,"CPD_RESULT","val",1)</f>
        <v>#REF!</v>
      </c>
    </row>
    <row r="1015" spans="1:34" ht="11.25" customHeight="1">
      <c r="A1015" s="49"/>
      <c r="B1015" s="139">
        <v>0.2</v>
      </c>
      <c r="C1015" s="139" t="e">
        <f>T1.role(C1009&amp;"@"&amp;B1015,"CPD_RESULT","val",1)</f>
        <v>#REF!</v>
      </c>
      <c r="D1015" s="139" t="e">
        <f>T1.role(C1009&amp;"@"&amp;B1015,"CPD_RESULT","val",2)</f>
        <v>#REF!</v>
      </c>
      <c r="E1015" s="139" t="e">
        <f>T1.role(C1009&amp;"@"&amp;B1015,"CPD_RESULT","val",3)</f>
        <v>#REF!</v>
      </c>
      <c r="F1015" s="139" t="e">
        <f>T1.role(C1009&amp;"@"&amp;B1015,"CPD_RESULT","val",4)</f>
        <v>#REF!</v>
      </c>
      <c r="G1015" s="139" t="e">
        <f>T1.role(G1009&amp;"@"&amp;B1015,"CPD_RESULT","val",1)</f>
        <v>#REF!</v>
      </c>
      <c r="H1015" s="139" t="e">
        <f>T1.role(G1009&amp;"@"&amp;B1015,"CPD_RESULT","val",2)</f>
        <v>#REF!</v>
      </c>
      <c r="I1015" s="139" t="e">
        <f>T1.role(G1009&amp;"@"&amp;B1015,"CPD_RESULT","val",3)</f>
        <v>#REF!</v>
      </c>
      <c r="J1015" s="139" t="e">
        <f>T1.role(G1009&amp;"@"&amp;B1015,"CPD_RESULT","val",4)</f>
        <v>#REF!</v>
      </c>
      <c r="K1015" s="139" t="e">
        <f>T1.role(K1009&amp;"@"&amp;B1015,"CPD_RESULT","val",1)</f>
        <v>#REF!</v>
      </c>
      <c r="L1015" s="139" t="e">
        <f>T1.role(K1009&amp;"@"&amp;B1015,"CPD_RESULT","val",2)</f>
        <v>#REF!</v>
      </c>
      <c r="M1015" s="139" t="e">
        <f>T1.role(K1009&amp;"@"&amp;B1015,"CPD_RESULT","val",3)</f>
        <v>#REF!</v>
      </c>
      <c r="N1015" s="139" t="e">
        <f>T1.role(K1009&amp;"@"&amp;B1015,"CPD_RESULT","val",4)</f>
        <v>#REF!</v>
      </c>
      <c r="O1015" s="139" t="e">
        <f>T1.role(O1009&amp;"@"&amp;B1015,"CPD_RESULT","val",1)</f>
        <v>#REF!</v>
      </c>
      <c r="P1015" s="139" t="e">
        <f>T1.role(O1009&amp;"@"&amp;B1015,"CPD_RESULT","val",2)</f>
        <v>#REF!</v>
      </c>
      <c r="Q1015" s="139" t="e">
        <f>T1.role(O1009&amp;"@"&amp;B1015,"CPD_RESULT","val",3)</f>
        <v>#REF!</v>
      </c>
      <c r="R1015" s="139" t="e">
        <f>T1.role(O1009&amp;"@"&amp;B1015,"CPD_RESULT","val",4)</f>
        <v>#REF!</v>
      </c>
      <c r="S1015" s="139" t="e">
        <f>T1.role(S1009&amp;"@"&amp;B1015,"CPD_RESULT","val",1)</f>
        <v>#REF!</v>
      </c>
      <c r="T1015" s="139" t="e">
        <f>T1.role(S1009&amp;"@"&amp;B1015,"CPD_RESULT","val",1)</f>
        <v>#REF!</v>
      </c>
      <c r="U1015" s="139" t="e">
        <f>T1.role(S1009&amp;"@"&amp;B1015,"CPD_RESULT","val",1)</f>
        <v>#REF!</v>
      </c>
      <c r="V1015" s="139" t="e">
        <f>T1.role(S1009&amp;"@"&amp;B1015,"CPD_RESULT","val",1)</f>
        <v>#REF!</v>
      </c>
      <c r="W1015" s="139" t="e">
        <f>T1.role(W1009&amp;"@"&amp;B1015,"CPD_RESULT","val",1)</f>
        <v>#REF!</v>
      </c>
      <c r="X1015" s="139" t="e">
        <f>T1.role(W1009&amp;"@"&amp;B1015,"CPD_RESULT","val",1)</f>
        <v>#REF!</v>
      </c>
      <c r="Y1015" s="139" t="e">
        <f>T1.role(W1009&amp;"@"&amp;B1015,"CPD_RESULT","val",1)</f>
        <v>#REF!</v>
      </c>
      <c r="Z1015" s="139" t="e">
        <f>T1.role(W1009&amp;"@"&amp;B1015,"CPD_RESULT","val",1)</f>
        <v>#REF!</v>
      </c>
      <c r="AA1015" s="139" t="e">
        <f>T1.role(AA1009&amp;"@"&amp;B1015,"CPD_RESULT","val",1)</f>
        <v>#REF!</v>
      </c>
      <c r="AB1015" s="139" t="e">
        <f>T1.role(AA1009&amp;"@"&amp;B1015,"CPD_RESULT","val",1)</f>
        <v>#REF!</v>
      </c>
      <c r="AC1015" s="139" t="e">
        <f>T1.role(AA1009&amp;"@"&amp;B1015,"CPD_RESULT","val",1)</f>
        <v>#REF!</v>
      </c>
      <c r="AD1015" s="139" t="e">
        <f>T1.role(AA1009&amp;"@"&amp;B1015,"CPD_RESULT","val",1)</f>
        <v>#REF!</v>
      </c>
      <c r="AE1015" s="139" t="e">
        <f>T1.role(AE1009&amp;"@"&amp;B1015,"CPD_RESULT","val",1)</f>
        <v>#REF!</v>
      </c>
      <c r="AF1015" s="139" t="e">
        <f>T1.role(AE1009&amp;"@"&amp;B1015,"CPD_RESULT","val",1)</f>
        <v>#REF!</v>
      </c>
      <c r="AG1015" s="139" t="e">
        <f>T1.role(AE1009&amp;"@"&amp;B1015,"CPD_RESULT","val",1)</f>
        <v>#REF!</v>
      </c>
      <c r="AH1015" s="139" t="e">
        <f>T1.role(AE1009&amp;"@"&amp;B1015,"CPD_RESULT","val",1)</f>
        <v>#REF!</v>
      </c>
    </row>
    <row r="1016" spans="1:34" ht="11.25" customHeight="1">
      <c r="A1016" s="49"/>
      <c r="C1016" s="49"/>
      <c r="D1016" s="49"/>
      <c r="E1016" s="49"/>
      <c r="F1016" s="49"/>
      <c r="G1016" s="49"/>
      <c r="H1016" s="49"/>
      <c r="I1016" s="49"/>
      <c r="K1016" s="49"/>
      <c r="L1016" s="49"/>
      <c r="M1016" s="49"/>
      <c r="N1016" s="49"/>
      <c r="O1016" s="49"/>
      <c r="P1016" s="49"/>
      <c r="Q1016" s="49"/>
      <c r="R1016" s="49"/>
      <c r="S1016" s="49"/>
      <c r="T1016" s="49"/>
      <c r="U1016" s="49"/>
      <c r="V1016" s="49"/>
      <c r="W1016" s="49"/>
      <c r="X1016" s="49"/>
      <c r="Y1016" s="49"/>
      <c r="Z1016" s="49"/>
    </row>
    <row r="1017" spans="1:34" ht="11.25" customHeight="1">
      <c r="A1017" s="49"/>
      <c r="B1017" s="39"/>
      <c r="C1017" s="76" t="s">
        <v>3381</v>
      </c>
      <c r="D1017" s="47"/>
      <c r="E1017" s="47"/>
      <c r="F1017" s="140"/>
      <c r="G1017" s="76" t="s">
        <v>2</v>
      </c>
      <c r="H1017" s="47"/>
      <c r="I1017" s="47"/>
      <c r="J1017" s="140"/>
      <c r="K1017" s="76" t="s">
        <v>4</v>
      </c>
      <c r="L1017" s="47"/>
      <c r="M1017" s="47"/>
      <c r="N1017" s="140"/>
      <c r="O1017" s="76" t="s">
        <v>6</v>
      </c>
      <c r="P1017" s="47"/>
      <c r="Q1017" s="47"/>
      <c r="R1017" s="140"/>
      <c r="S1017" s="76" t="s">
        <v>1</v>
      </c>
      <c r="T1017" s="47"/>
      <c r="U1017" s="47"/>
      <c r="V1017" s="140"/>
      <c r="W1017" s="76" t="s">
        <v>3</v>
      </c>
      <c r="X1017" s="47"/>
      <c r="Y1017" s="47"/>
      <c r="Z1017" s="140"/>
      <c r="AA1017" s="76" t="s">
        <v>5</v>
      </c>
      <c r="AB1017" s="47"/>
      <c r="AC1017" s="47"/>
      <c r="AD1017" s="140"/>
      <c r="AE1017" s="76" t="s">
        <v>7</v>
      </c>
      <c r="AF1017" s="47"/>
      <c r="AG1017" s="47"/>
      <c r="AH1017" s="140"/>
    </row>
    <row r="1018" spans="1:34" ht="11.25" customHeight="1">
      <c r="A1018" s="49"/>
      <c r="B1018" s="44"/>
      <c r="C1018" s="76" t="str">
        <f>T1.role(C1017,"cpdid")</f>
        <v/>
      </c>
      <c r="D1018" s="47"/>
      <c r="E1018" s="47"/>
      <c r="F1018" s="140"/>
      <c r="G1018" s="76" t="str">
        <f>T1.role(G1017,"cpdid")</f>
        <v/>
      </c>
      <c r="H1018" s="47"/>
      <c r="I1018" s="47"/>
      <c r="J1018" s="140"/>
      <c r="K1018" s="76" t="str">
        <f>T1.role(K1017,"cpdid")</f>
        <v/>
      </c>
      <c r="L1018" s="47"/>
      <c r="M1018" s="47"/>
      <c r="N1018" s="140"/>
      <c r="O1018" s="76" t="str">
        <f>T1.role(O1017,"cpdid")</f>
        <v/>
      </c>
      <c r="P1018" s="47"/>
      <c r="Q1018" s="47"/>
      <c r="R1018" s="140"/>
      <c r="S1018" s="76" t="str">
        <f>T1.role(S1017,"cpdid")</f>
        <v/>
      </c>
      <c r="T1018" s="47"/>
      <c r="U1018" s="47"/>
      <c r="V1018" s="140"/>
      <c r="W1018" s="76" t="str">
        <f>T1.role(W1017,"cpdid")</f>
        <v/>
      </c>
      <c r="X1018" s="47"/>
      <c r="Y1018" s="47"/>
      <c r="Z1018" s="140"/>
      <c r="AA1018" s="76" t="str">
        <f>T1.role(AA1017,"cpdid")</f>
        <v/>
      </c>
      <c r="AB1018" s="47"/>
      <c r="AC1018" s="47"/>
      <c r="AD1018" s="140"/>
      <c r="AE1018" s="76" t="str">
        <f>T1.role(AE1017,"cpdid")</f>
        <v/>
      </c>
      <c r="AF1018" s="47"/>
      <c r="AG1018" s="47"/>
      <c r="AH1018" s="140"/>
    </row>
    <row r="1019" spans="1:34" ht="11.25" customHeight="1">
      <c r="A1019" s="49"/>
      <c r="B1019" s="139">
        <v>20</v>
      </c>
      <c r="C1019" s="139" t="e">
        <f>T1.role(C1017&amp;"@"&amp;B1019,"CPD_RESULT","val",1)</f>
        <v>#REF!</v>
      </c>
      <c r="D1019" s="139" t="e">
        <f>T1.role(C1017&amp;"@"&amp;B1019,"CPD_RESULT","val",2)</f>
        <v>#REF!</v>
      </c>
      <c r="E1019" s="139" t="e">
        <f>T1.role(C1017&amp;"@"&amp;B1019,"CPD_RESULT","val",3)</f>
        <v>#REF!</v>
      </c>
      <c r="F1019" s="139" t="e">
        <f>T1.role(C1017&amp;"@"&amp;B1019,"CPD_RESULT","val",4)</f>
        <v>#REF!</v>
      </c>
      <c r="G1019" s="139" t="e">
        <f>T1.role(G1017&amp;"@"&amp;B1019,"CPD_RESULT","val",1)</f>
        <v>#REF!</v>
      </c>
      <c r="H1019" s="139" t="e">
        <f>T1.role(G1017&amp;"@"&amp;B1019,"CPD_RESULT","val",2)</f>
        <v>#REF!</v>
      </c>
      <c r="I1019" s="139" t="e">
        <f>T1.role(G1017&amp;"@"&amp;B1019,"CPD_RESULT","val",3)</f>
        <v>#REF!</v>
      </c>
      <c r="J1019" s="139" t="e">
        <f>T1.role(G1017&amp;"@"&amp;B1019,"CPD_RESULT","val",4)</f>
        <v>#REF!</v>
      </c>
      <c r="K1019" s="139" t="e">
        <f>T1.role(K1017&amp;"@"&amp;B1019,"CPD_RESULT","val",1)</f>
        <v>#REF!</v>
      </c>
      <c r="L1019" s="139" t="e">
        <f>T1.role(K1017&amp;"@"&amp;B1019,"CPD_RESULT","val",2)</f>
        <v>#REF!</v>
      </c>
      <c r="M1019" s="139" t="e">
        <f>T1.role(K1017&amp;"@"&amp;B1019,"CPD_RESULT","val",3)</f>
        <v>#REF!</v>
      </c>
      <c r="N1019" s="139" t="e">
        <f>T1.role(K1017&amp;"@"&amp;B1019,"CPD_RESULT","val",4)</f>
        <v>#REF!</v>
      </c>
      <c r="O1019" s="139" t="e">
        <f>T1.role(O1017&amp;"@"&amp;B1019,"CPD_RESULT","val",1)</f>
        <v>#REF!</v>
      </c>
      <c r="P1019" s="139" t="e">
        <f>T1.role(O1017&amp;"@"&amp;B1019,"CPD_RESULT","val",2)</f>
        <v>#REF!</v>
      </c>
      <c r="Q1019" s="139" t="e">
        <f>T1.role(O1017&amp;"@"&amp;B1019,"CPD_RESULT","val",3)</f>
        <v>#REF!</v>
      </c>
      <c r="R1019" s="139" t="e">
        <f>T1.role(O1017&amp;"@"&amp;B1019,"CPD_RESULT","val",4)</f>
        <v>#REF!</v>
      </c>
      <c r="S1019" s="139" t="e">
        <f>T1.role(S1017&amp;"@"&amp;B1019,"CPD_RESULT","val",1)</f>
        <v>#REF!</v>
      </c>
      <c r="T1019" s="139" t="e">
        <f>T1.role(S1017&amp;"@"&amp;B1019,"CPD_RESULT","val",1)</f>
        <v>#REF!</v>
      </c>
      <c r="U1019" s="139" t="e">
        <f>T1.role(S1017&amp;"@"&amp;B1019,"CPD_RESULT","val",1)</f>
        <v>#REF!</v>
      </c>
      <c r="V1019" s="139" t="e">
        <f>T1.role(S1017&amp;"@"&amp;B1019,"CPD_RESULT","val",1)</f>
        <v>#REF!</v>
      </c>
      <c r="W1019" s="139" t="e">
        <f>T1.role(W1017&amp;"@"&amp;B1019,"CPD_RESULT","val",1)</f>
        <v>#REF!</v>
      </c>
      <c r="X1019" s="139" t="e">
        <f>T1.role(W1017&amp;"@"&amp;B1019,"CPD_RESULT","val",1)</f>
        <v>#REF!</v>
      </c>
      <c r="Y1019" s="139" t="e">
        <f>T1.role(W1017&amp;"@"&amp;B1019,"CPD_RESULT","val",1)</f>
        <v>#REF!</v>
      </c>
      <c r="Z1019" s="139" t="e">
        <f>T1.role(W1017&amp;"@"&amp;B1019,"CPD_RESULT","val",1)</f>
        <v>#REF!</v>
      </c>
      <c r="AA1019" s="139" t="e">
        <f>T1.role(AA1017&amp;"@"&amp;B1019,"CPD_RESULT","val",1)</f>
        <v>#REF!</v>
      </c>
      <c r="AB1019" s="139" t="e">
        <f>T1.role(AA1017&amp;"@"&amp;B1019,"CPD_RESULT","val",1)</f>
        <v>#REF!</v>
      </c>
      <c r="AC1019" s="139" t="e">
        <f>T1.role(AA1017&amp;"@"&amp;B1019,"CPD_RESULT","val",1)</f>
        <v>#REF!</v>
      </c>
      <c r="AD1019" s="139" t="e">
        <f>T1.role(AA1017&amp;"@"&amp;B1019,"CPD_RESULT","val",1)</f>
        <v>#REF!</v>
      </c>
      <c r="AE1019" s="139" t="e">
        <f>T1.role(AE1017&amp;"@"&amp;B1019,"CPD_RESULT","val",1)</f>
        <v>#REF!</v>
      </c>
      <c r="AF1019" s="139" t="e">
        <f>T1.role(AE1017&amp;"@"&amp;B1019,"CPD_RESULT","val",1)</f>
        <v>#REF!</v>
      </c>
      <c r="AG1019" s="139" t="e">
        <f>T1.role(AE1017&amp;"@"&amp;B1019,"CPD_RESULT","val",1)</f>
        <v>#REF!</v>
      </c>
      <c r="AH1019" s="139" t="e">
        <f>T1.role(AE1017&amp;"@"&amp;B1019,"CPD_RESULT","val",1)</f>
        <v>#REF!</v>
      </c>
    </row>
    <row r="1020" spans="1:34" ht="11.25" customHeight="1">
      <c r="A1020" s="49"/>
      <c r="B1020" s="139">
        <v>6</v>
      </c>
      <c r="C1020" s="139" t="e">
        <f>T1.role(C1017&amp;"@"&amp;B1020,"CPD_RESULT","val",1)</f>
        <v>#REF!</v>
      </c>
      <c r="D1020" s="139" t="e">
        <f>T1.role(C1017&amp;"@"&amp;B1020,"CPD_RESULT","val",2)</f>
        <v>#REF!</v>
      </c>
      <c r="E1020" s="139" t="e">
        <f>T1.role(C1017&amp;"@"&amp;B1020,"CPD_RESULT","val",3)</f>
        <v>#REF!</v>
      </c>
      <c r="F1020" s="139" t="e">
        <f>T1.role(C1017&amp;"@"&amp;B1020,"CPD_RESULT","val",4)</f>
        <v>#REF!</v>
      </c>
      <c r="G1020" s="139" t="e">
        <f>T1.role(G1017&amp;"@"&amp;B1020,"CPD_RESULT","val",1)</f>
        <v>#REF!</v>
      </c>
      <c r="H1020" s="139" t="e">
        <f>T1.role(G1017&amp;"@"&amp;B1020,"CPD_RESULT","val",2)</f>
        <v>#REF!</v>
      </c>
      <c r="I1020" s="139" t="e">
        <f>T1.role(G1017&amp;"@"&amp;B1020,"CPD_RESULT","val",3)</f>
        <v>#REF!</v>
      </c>
      <c r="J1020" s="139" t="e">
        <f>T1.role(G1017&amp;"@"&amp;B1020,"CPD_RESULT","val",4)</f>
        <v>#REF!</v>
      </c>
      <c r="K1020" s="139" t="e">
        <f>T1.role(K1017&amp;"@"&amp;B1020,"CPD_RESULT","val",1)</f>
        <v>#REF!</v>
      </c>
      <c r="L1020" s="139" t="e">
        <f>T1.role(K1017&amp;"@"&amp;B1020,"CPD_RESULT","val",2)</f>
        <v>#REF!</v>
      </c>
      <c r="M1020" s="139" t="e">
        <f>T1.role(K1017&amp;"@"&amp;B1020,"CPD_RESULT","val",3)</f>
        <v>#REF!</v>
      </c>
      <c r="N1020" s="139" t="e">
        <f>T1.role(K1017&amp;"@"&amp;B1020,"CPD_RESULT","val",4)</f>
        <v>#REF!</v>
      </c>
      <c r="O1020" s="139" t="e">
        <f>T1.role(O1017&amp;"@"&amp;B1020,"CPD_RESULT","val",1)</f>
        <v>#REF!</v>
      </c>
      <c r="P1020" s="139" t="e">
        <f>T1.role(O1017&amp;"@"&amp;B1020,"CPD_RESULT","val",2)</f>
        <v>#REF!</v>
      </c>
      <c r="Q1020" s="139" t="e">
        <f>T1.role(O1017&amp;"@"&amp;B1020,"CPD_RESULT","val",3)</f>
        <v>#REF!</v>
      </c>
      <c r="R1020" s="139" t="e">
        <f>T1.role(O1017&amp;"@"&amp;B1020,"CPD_RESULT","val",4)</f>
        <v>#REF!</v>
      </c>
      <c r="S1020" s="139" t="e">
        <f>T1.role(S1017&amp;"@"&amp;B1020,"CPD_RESULT","val",1)</f>
        <v>#REF!</v>
      </c>
      <c r="T1020" s="139" t="e">
        <f>T1.role(S1017&amp;"@"&amp;B1020,"CPD_RESULT","val",1)</f>
        <v>#REF!</v>
      </c>
      <c r="U1020" s="139" t="e">
        <f>T1.role(S1017&amp;"@"&amp;B1020,"CPD_RESULT","val",1)</f>
        <v>#REF!</v>
      </c>
      <c r="V1020" s="139" t="e">
        <f>T1.role(S1017&amp;"@"&amp;B1020,"CPD_RESULT","val",1)</f>
        <v>#REF!</v>
      </c>
      <c r="W1020" s="139" t="e">
        <f>T1.role(W1017&amp;"@"&amp;B1020,"CPD_RESULT","val",1)</f>
        <v>#REF!</v>
      </c>
      <c r="X1020" s="139" t="e">
        <f>T1.role(W1017&amp;"@"&amp;B1020,"CPD_RESULT","val",1)</f>
        <v>#REF!</v>
      </c>
      <c r="Y1020" s="139" t="e">
        <f>T1.role(W1017&amp;"@"&amp;B1020,"CPD_RESULT","val",1)</f>
        <v>#REF!</v>
      </c>
      <c r="Z1020" s="139" t="e">
        <f>T1.role(W1017&amp;"@"&amp;B1020,"CPD_RESULT","val",1)</f>
        <v>#REF!</v>
      </c>
      <c r="AA1020" s="139" t="e">
        <f>T1.role(AA1017&amp;"@"&amp;B1020,"CPD_RESULT","val",1)</f>
        <v>#REF!</v>
      </c>
      <c r="AB1020" s="139" t="e">
        <f>T1.role(AA1017&amp;"@"&amp;B1020,"CPD_RESULT","val",1)</f>
        <v>#REF!</v>
      </c>
      <c r="AC1020" s="139" t="e">
        <f>T1.role(AA1017&amp;"@"&amp;B1020,"CPD_RESULT","val",1)</f>
        <v>#REF!</v>
      </c>
      <c r="AD1020" s="139" t="e">
        <f>T1.role(AA1017&amp;"@"&amp;B1020,"CPD_RESULT","val",1)</f>
        <v>#REF!</v>
      </c>
      <c r="AE1020" s="139" t="e">
        <f>T1.role(AE1017&amp;"@"&amp;B1020,"CPD_RESULT","val",1)</f>
        <v>#REF!</v>
      </c>
      <c r="AF1020" s="139" t="e">
        <f>T1.role(AE1017&amp;"@"&amp;B1020,"CPD_RESULT","val",1)</f>
        <v>#REF!</v>
      </c>
      <c r="AG1020" s="139" t="e">
        <f>T1.role(AE1017&amp;"@"&amp;B1020,"CPD_RESULT","val",1)</f>
        <v>#REF!</v>
      </c>
      <c r="AH1020" s="139" t="e">
        <f>T1.role(AE1017&amp;"@"&amp;B1020,"CPD_RESULT","val",1)</f>
        <v>#REF!</v>
      </c>
    </row>
    <row r="1021" spans="1:34" ht="11.25" customHeight="1">
      <c r="A1021" s="49"/>
      <c r="B1021" s="139">
        <v>2</v>
      </c>
      <c r="C1021" s="139" t="e">
        <f>T1.role(C1017&amp;"@"&amp;B1021,"CPD_RESULT","val",1)</f>
        <v>#REF!</v>
      </c>
      <c r="D1021" s="139" t="e">
        <f>T1.role(C1017&amp;"@"&amp;B1021,"CPD_RESULT","val",2)</f>
        <v>#REF!</v>
      </c>
      <c r="E1021" s="139" t="e">
        <f>T1.role(C1017&amp;"@"&amp;B1021,"CPD_RESULT","val",3)</f>
        <v>#REF!</v>
      </c>
      <c r="F1021" s="139" t="e">
        <f>T1.role(C1017&amp;"@"&amp;B1021,"CPD_RESULT","val",4)</f>
        <v>#REF!</v>
      </c>
      <c r="G1021" s="139" t="e">
        <f>T1.role(G1017&amp;"@"&amp;B1021,"CPD_RESULT","val",1)</f>
        <v>#REF!</v>
      </c>
      <c r="H1021" s="139" t="e">
        <f>T1.role(G1017&amp;"@"&amp;B1021,"CPD_RESULT","val",2)</f>
        <v>#REF!</v>
      </c>
      <c r="I1021" s="139" t="e">
        <f>T1.role(G1017&amp;"@"&amp;B1021,"CPD_RESULT","val",3)</f>
        <v>#REF!</v>
      </c>
      <c r="J1021" s="139" t="e">
        <f>T1.role(G1017&amp;"@"&amp;B1021,"CPD_RESULT","val",4)</f>
        <v>#REF!</v>
      </c>
      <c r="K1021" s="139" t="e">
        <f>T1.role(K1017&amp;"@"&amp;B1021,"CPD_RESULT","val",1)</f>
        <v>#REF!</v>
      </c>
      <c r="L1021" s="139" t="e">
        <f>T1.role(K1017&amp;"@"&amp;B1021,"CPD_RESULT","val",2)</f>
        <v>#REF!</v>
      </c>
      <c r="M1021" s="139" t="e">
        <f>T1.role(K1017&amp;"@"&amp;B1021,"CPD_RESULT","val",3)</f>
        <v>#REF!</v>
      </c>
      <c r="N1021" s="139" t="e">
        <f>T1.role(K1017&amp;"@"&amp;B1021,"CPD_RESULT","val",4)</f>
        <v>#REF!</v>
      </c>
      <c r="O1021" s="139" t="e">
        <f>T1.role(O1017&amp;"@"&amp;B1021,"CPD_RESULT","val",1)</f>
        <v>#REF!</v>
      </c>
      <c r="P1021" s="139" t="e">
        <f>T1.role(O1017&amp;"@"&amp;B1021,"CPD_RESULT","val",2)</f>
        <v>#REF!</v>
      </c>
      <c r="Q1021" s="139" t="e">
        <f>T1.role(O1017&amp;"@"&amp;B1021,"CPD_RESULT","val",3)</f>
        <v>#REF!</v>
      </c>
      <c r="R1021" s="139" t="e">
        <f>T1.role(O1017&amp;"@"&amp;B1021,"CPD_RESULT","val",4)</f>
        <v>#REF!</v>
      </c>
      <c r="S1021" s="139" t="e">
        <f>T1.role(S1017&amp;"@"&amp;B1021,"CPD_RESULT","val",1)</f>
        <v>#REF!</v>
      </c>
      <c r="T1021" s="139" t="e">
        <f>T1.role(S1017&amp;"@"&amp;B1021,"CPD_RESULT","val",1)</f>
        <v>#REF!</v>
      </c>
      <c r="U1021" s="139" t="e">
        <f>T1.role(S1017&amp;"@"&amp;B1021,"CPD_RESULT","val",1)</f>
        <v>#REF!</v>
      </c>
      <c r="V1021" s="139" t="e">
        <f>T1.role(S1017&amp;"@"&amp;B1021,"CPD_RESULT","val",1)</f>
        <v>#REF!</v>
      </c>
      <c r="W1021" s="139" t="e">
        <f>T1.role(W1017&amp;"@"&amp;B1021,"CPD_RESULT","val",1)</f>
        <v>#REF!</v>
      </c>
      <c r="X1021" s="139" t="e">
        <f>T1.role(W1017&amp;"@"&amp;B1021,"CPD_RESULT","val",1)</f>
        <v>#REF!</v>
      </c>
      <c r="Y1021" s="139" t="e">
        <f>T1.role(W1017&amp;"@"&amp;B1021,"CPD_RESULT","val",1)</f>
        <v>#REF!</v>
      </c>
      <c r="Z1021" s="139" t="e">
        <f>T1.role(W1017&amp;"@"&amp;B1021,"CPD_RESULT","val",1)</f>
        <v>#REF!</v>
      </c>
      <c r="AA1021" s="139" t="e">
        <f>T1.role(AA1017&amp;"@"&amp;B1021,"CPD_RESULT","val",1)</f>
        <v>#REF!</v>
      </c>
      <c r="AB1021" s="139" t="e">
        <f>T1.role(AA1017&amp;"@"&amp;B1021,"CPD_RESULT","val",1)</f>
        <v>#REF!</v>
      </c>
      <c r="AC1021" s="139" t="e">
        <f>T1.role(AA1017&amp;"@"&amp;B1021,"CPD_RESULT","val",1)</f>
        <v>#REF!</v>
      </c>
      <c r="AD1021" s="139" t="e">
        <f>T1.role(AA1017&amp;"@"&amp;B1021,"CPD_RESULT","val",1)</f>
        <v>#REF!</v>
      </c>
      <c r="AE1021" s="139" t="e">
        <f>T1.role(AE1017&amp;"@"&amp;B1021,"CPD_RESULT","val",1)</f>
        <v>#REF!</v>
      </c>
      <c r="AF1021" s="139" t="e">
        <f>T1.role(AE1017&amp;"@"&amp;B1021,"CPD_RESULT","val",1)</f>
        <v>#REF!</v>
      </c>
      <c r="AG1021" s="139" t="e">
        <f>T1.role(AE1017&amp;"@"&amp;B1021,"CPD_RESULT","val",1)</f>
        <v>#REF!</v>
      </c>
      <c r="AH1021" s="139" t="e">
        <f>T1.role(AE1017&amp;"@"&amp;B1021,"CPD_RESULT","val",1)</f>
        <v>#REF!</v>
      </c>
    </row>
    <row r="1022" spans="1:34" ht="11.25" customHeight="1">
      <c r="A1022" s="49"/>
      <c r="B1022" s="139">
        <v>0.6</v>
      </c>
      <c r="C1022" s="139" t="e">
        <f>T1.role(C1017&amp;"@"&amp;B1022,"CPD_RESULT","val",1)</f>
        <v>#REF!</v>
      </c>
      <c r="D1022" s="139" t="e">
        <f>T1.role(C1017&amp;"@"&amp;B1022,"CPD_RESULT","val",2)</f>
        <v>#REF!</v>
      </c>
      <c r="E1022" s="139" t="e">
        <f>T1.role(C1017&amp;"@"&amp;B1022,"CPD_RESULT","val",3)</f>
        <v>#REF!</v>
      </c>
      <c r="F1022" s="139" t="e">
        <f>T1.role(C1017&amp;"@"&amp;B1022,"CPD_RESULT","val",4)</f>
        <v>#REF!</v>
      </c>
      <c r="G1022" s="139" t="e">
        <f>T1.role(G1017&amp;"@"&amp;B1022,"CPD_RESULT","val",1)</f>
        <v>#REF!</v>
      </c>
      <c r="H1022" s="139" t="e">
        <f>T1.role(G1017&amp;"@"&amp;B1022,"CPD_RESULT","val",2)</f>
        <v>#REF!</v>
      </c>
      <c r="I1022" s="139" t="e">
        <f>T1.role(G1017&amp;"@"&amp;B1022,"CPD_RESULT","val",3)</f>
        <v>#REF!</v>
      </c>
      <c r="J1022" s="139" t="e">
        <f>T1.role(G1017&amp;"@"&amp;B1022,"CPD_RESULT","val",4)</f>
        <v>#REF!</v>
      </c>
      <c r="K1022" s="139" t="e">
        <f>T1.role(K1017&amp;"@"&amp;B1022,"CPD_RESULT","val",1)</f>
        <v>#REF!</v>
      </c>
      <c r="L1022" s="139" t="e">
        <f>T1.role(K1017&amp;"@"&amp;B1022,"CPD_RESULT","val",2)</f>
        <v>#REF!</v>
      </c>
      <c r="M1022" s="139" t="e">
        <f>T1.role(K1017&amp;"@"&amp;B1022,"CPD_RESULT","val",3)</f>
        <v>#REF!</v>
      </c>
      <c r="N1022" s="139" t="e">
        <f>T1.role(K1017&amp;"@"&amp;B1022,"CPD_RESULT","val",4)</f>
        <v>#REF!</v>
      </c>
      <c r="O1022" s="139" t="e">
        <f>T1.role(O1017&amp;"@"&amp;B1022,"CPD_RESULT","val",1)</f>
        <v>#REF!</v>
      </c>
      <c r="P1022" s="139" t="e">
        <f>T1.role(O1017&amp;"@"&amp;B1022,"CPD_RESULT","val",2)</f>
        <v>#REF!</v>
      </c>
      <c r="Q1022" s="139" t="e">
        <f>T1.role(O1017&amp;"@"&amp;B1022,"CPD_RESULT","val",3)</f>
        <v>#REF!</v>
      </c>
      <c r="R1022" s="139" t="e">
        <f>T1.role(O1017&amp;"@"&amp;B1022,"CPD_RESULT","val",4)</f>
        <v>#REF!</v>
      </c>
      <c r="S1022" s="139" t="e">
        <f>T1.role(S1017&amp;"@"&amp;B1022,"CPD_RESULT","val",1)</f>
        <v>#REF!</v>
      </c>
      <c r="T1022" s="139" t="e">
        <f>T1.role(S1017&amp;"@"&amp;B1022,"CPD_RESULT","val",1)</f>
        <v>#REF!</v>
      </c>
      <c r="U1022" s="139" t="e">
        <f>T1.role(S1017&amp;"@"&amp;B1022,"CPD_RESULT","val",1)</f>
        <v>#REF!</v>
      </c>
      <c r="V1022" s="139" t="e">
        <f>T1.role(S1017&amp;"@"&amp;B1022,"CPD_RESULT","val",1)</f>
        <v>#REF!</v>
      </c>
      <c r="W1022" s="139" t="e">
        <f>T1.role(W1017&amp;"@"&amp;B1022,"CPD_RESULT","val",1)</f>
        <v>#REF!</v>
      </c>
      <c r="X1022" s="139" t="e">
        <f>T1.role(W1017&amp;"@"&amp;B1022,"CPD_RESULT","val",1)</f>
        <v>#REF!</v>
      </c>
      <c r="Y1022" s="139" t="e">
        <f>T1.role(W1017&amp;"@"&amp;B1022,"CPD_RESULT","val",1)</f>
        <v>#REF!</v>
      </c>
      <c r="Z1022" s="139" t="e">
        <f>T1.role(W1017&amp;"@"&amp;B1022,"CPD_RESULT","val",1)</f>
        <v>#REF!</v>
      </c>
      <c r="AA1022" s="139" t="e">
        <f>T1.role(AA1017&amp;"@"&amp;B1022,"CPD_RESULT","val",1)</f>
        <v>#REF!</v>
      </c>
      <c r="AB1022" s="139" t="e">
        <f>T1.role(AA1017&amp;"@"&amp;B1022,"CPD_RESULT","val",1)</f>
        <v>#REF!</v>
      </c>
      <c r="AC1022" s="139" t="e">
        <f>T1.role(AA1017&amp;"@"&amp;B1022,"CPD_RESULT","val",1)</f>
        <v>#REF!</v>
      </c>
      <c r="AD1022" s="139" t="e">
        <f>T1.role(AA1017&amp;"@"&amp;B1022,"CPD_RESULT","val",1)</f>
        <v>#REF!</v>
      </c>
      <c r="AE1022" s="139" t="e">
        <f>T1.role(AE1017&amp;"@"&amp;B1022,"CPD_RESULT","val",1)</f>
        <v>#REF!</v>
      </c>
      <c r="AF1022" s="139" t="e">
        <f>T1.role(AE1017&amp;"@"&amp;B1022,"CPD_RESULT","val",1)</f>
        <v>#REF!</v>
      </c>
      <c r="AG1022" s="139" t="e">
        <f>T1.role(AE1017&amp;"@"&amp;B1022,"CPD_RESULT","val",1)</f>
        <v>#REF!</v>
      </c>
      <c r="AH1022" s="139" t="e">
        <f>T1.role(AE1017&amp;"@"&amp;B1022,"CPD_RESULT","val",1)</f>
        <v>#REF!</v>
      </c>
    </row>
    <row r="1023" spans="1:34" ht="11.25" customHeight="1">
      <c r="A1023" s="49"/>
      <c r="B1023" s="139">
        <v>0.2</v>
      </c>
      <c r="C1023" s="139" t="e">
        <f>T1.role(C1017&amp;"@"&amp;B1023,"CPD_RESULT","val",1)</f>
        <v>#REF!</v>
      </c>
      <c r="D1023" s="139" t="e">
        <f>T1.role(C1017&amp;"@"&amp;B1023,"CPD_RESULT","val",2)</f>
        <v>#REF!</v>
      </c>
      <c r="E1023" s="139" t="e">
        <f>T1.role(C1017&amp;"@"&amp;B1023,"CPD_RESULT","val",3)</f>
        <v>#REF!</v>
      </c>
      <c r="F1023" s="139" t="e">
        <f>T1.role(C1017&amp;"@"&amp;B1023,"CPD_RESULT","val",4)</f>
        <v>#REF!</v>
      </c>
      <c r="G1023" s="139" t="e">
        <f>T1.role(G1017&amp;"@"&amp;B1023,"CPD_RESULT","val",1)</f>
        <v>#REF!</v>
      </c>
      <c r="H1023" s="139" t="e">
        <f>T1.role(G1017&amp;"@"&amp;B1023,"CPD_RESULT","val",2)</f>
        <v>#REF!</v>
      </c>
      <c r="I1023" s="139" t="e">
        <f>T1.role(G1017&amp;"@"&amp;B1023,"CPD_RESULT","val",3)</f>
        <v>#REF!</v>
      </c>
      <c r="J1023" s="139" t="e">
        <f>T1.role(G1017&amp;"@"&amp;B1023,"CPD_RESULT","val",4)</f>
        <v>#REF!</v>
      </c>
      <c r="K1023" s="139" t="e">
        <f>T1.role(K1017&amp;"@"&amp;B1023,"CPD_RESULT","val",1)</f>
        <v>#REF!</v>
      </c>
      <c r="L1023" s="139" t="e">
        <f>T1.role(K1017&amp;"@"&amp;B1023,"CPD_RESULT","val",2)</f>
        <v>#REF!</v>
      </c>
      <c r="M1023" s="139" t="e">
        <f>T1.role(K1017&amp;"@"&amp;B1023,"CPD_RESULT","val",3)</f>
        <v>#REF!</v>
      </c>
      <c r="N1023" s="139" t="e">
        <f>T1.role(K1017&amp;"@"&amp;B1023,"CPD_RESULT","val",4)</f>
        <v>#REF!</v>
      </c>
      <c r="O1023" s="139" t="e">
        <f>T1.role(O1017&amp;"@"&amp;B1023,"CPD_RESULT","val",1)</f>
        <v>#REF!</v>
      </c>
      <c r="P1023" s="139" t="e">
        <f>T1.role(O1017&amp;"@"&amp;B1023,"CPD_RESULT","val",2)</f>
        <v>#REF!</v>
      </c>
      <c r="Q1023" s="139" t="e">
        <f>T1.role(O1017&amp;"@"&amp;B1023,"CPD_RESULT","val",3)</f>
        <v>#REF!</v>
      </c>
      <c r="R1023" s="139" t="e">
        <f>T1.role(O1017&amp;"@"&amp;B1023,"CPD_RESULT","val",4)</f>
        <v>#REF!</v>
      </c>
      <c r="S1023" s="139" t="e">
        <f>T1.role(S1017&amp;"@"&amp;B1023,"CPD_RESULT","val",1)</f>
        <v>#REF!</v>
      </c>
      <c r="T1023" s="139" t="e">
        <f>T1.role(S1017&amp;"@"&amp;B1023,"CPD_RESULT","val",1)</f>
        <v>#REF!</v>
      </c>
      <c r="U1023" s="139" t="e">
        <f>T1.role(S1017&amp;"@"&amp;B1023,"CPD_RESULT","val",1)</f>
        <v>#REF!</v>
      </c>
      <c r="V1023" s="139" t="e">
        <f>T1.role(S1017&amp;"@"&amp;B1023,"CPD_RESULT","val",1)</f>
        <v>#REF!</v>
      </c>
      <c r="W1023" s="139" t="e">
        <f>T1.role(W1017&amp;"@"&amp;B1023,"CPD_RESULT","val",1)</f>
        <v>#REF!</v>
      </c>
      <c r="X1023" s="139" t="e">
        <f>T1.role(W1017&amp;"@"&amp;B1023,"CPD_RESULT","val",1)</f>
        <v>#REF!</v>
      </c>
      <c r="Y1023" s="139" t="e">
        <f>T1.role(W1017&amp;"@"&amp;B1023,"CPD_RESULT","val",1)</f>
        <v>#REF!</v>
      </c>
      <c r="Z1023" s="139" t="e">
        <f>T1.role(W1017&amp;"@"&amp;B1023,"CPD_RESULT","val",1)</f>
        <v>#REF!</v>
      </c>
      <c r="AA1023" s="139" t="e">
        <f>T1.role(AA1017&amp;"@"&amp;B1023,"CPD_RESULT","val",1)</f>
        <v>#REF!</v>
      </c>
      <c r="AB1023" s="139" t="e">
        <f>T1.role(AA1017&amp;"@"&amp;B1023,"CPD_RESULT","val",1)</f>
        <v>#REF!</v>
      </c>
      <c r="AC1023" s="139" t="e">
        <f>T1.role(AA1017&amp;"@"&amp;B1023,"CPD_RESULT","val",1)</f>
        <v>#REF!</v>
      </c>
      <c r="AD1023" s="139" t="e">
        <f>T1.role(AA1017&amp;"@"&amp;B1023,"CPD_RESULT","val",1)</f>
        <v>#REF!</v>
      </c>
      <c r="AE1023" s="139" t="e">
        <f>T1.role(AE1017&amp;"@"&amp;B1023,"CPD_RESULT","val",1)</f>
        <v>#REF!</v>
      </c>
      <c r="AF1023" s="139" t="e">
        <f>T1.role(AE1017&amp;"@"&amp;B1023,"CPD_RESULT","val",1)</f>
        <v>#REF!</v>
      </c>
      <c r="AG1023" s="139" t="e">
        <f>T1.role(AE1017&amp;"@"&amp;B1023,"CPD_RESULT","val",1)</f>
        <v>#REF!</v>
      </c>
      <c r="AH1023" s="139" t="e">
        <f>T1.role(AE1017&amp;"@"&amp;B1023,"CPD_RESULT","val",1)</f>
        <v>#REF!</v>
      </c>
    </row>
    <row r="1024" spans="1:34" ht="11.25" customHeight="1">
      <c r="A1024" s="49"/>
      <c r="C1024" s="49"/>
      <c r="D1024" s="49"/>
      <c r="E1024" s="49"/>
      <c r="F1024" s="49"/>
      <c r="G1024" s="49"/>
      <c r="H1024" s="49"/>
      <c r="I1024" s="49"/>
      <c r="K1024" s="49"/>
      <c r="L1024" s="49"/>
      <c r="M1024" s="49"/>
      <c r="N1024" s="49"/>
      <c r="O1024" s="49"/>
      <c r="P1024" s="49"/>
      <c r="Q1024" s="49"/>
      <c r="R1024" s="49"/>
      <c r="S1024" s="49"/>
      <c r="T1024" s="49"/>
      <c r="U1024" s="49"/>
      <c r="V1024" s="49"/>
      <c r="W1024" s="49"/>
      <c r="X1024" s="49"/>
      <c r="Y1024" s="49"/>
      <c r="Z1024" s="49"/>
    </row>
    <row r="1025" spans="1:34" ht="11.25" customHeight="1">
      <c r="A1025" s="49"/>
      <c r="B1025" s="39"/>
      <c r="C1025" s="76" t="s">
        <v>3382</v>
      </c>
      <c r="D1025" s="47"/>
      <c r="E1025" s="47"/>
      <c r="F1025" s="140"/>
      <c r="G1025" s="76" t="s">
        <v>820</v>
      </c>
      <c r="H1025" s="47"/>
      <c r="I1025" s="47"/>
      <c r="J1025" s="140"/>
      <c r="K1025" s="76" t="s">
        <v>478</v>
      </c>
      <c r="L1025" s="47"/>
      <c r="M1025" s="47"/>
      <c r="N1025" s="140"/>
      <c r="O1025" s="76" t="s">
        <v>497</v>
      </c>
      <c r="P1025" s="47"/>
      <c r="Q1025" s="47"/>
      <c r="R1025" s="140"/>
      <c r="S1025" s="76" t="s">
        <v>516</v>
      </c>
      <c r="T1025" s="47"/>
      <c r="U1025" s="47"/>
      <c r="V1025" s="140"/>
      <c r="W1025" s="76" t="s">
        <v>535</v>
      </c>
      <c r="X1025" s="47"/>
      <c r="Y1025" s="47"/>
      <c r="Z1025" s="140"/>
      <c r="AA1025" s="76" t="s">
        <v>554</v>
      </c>
      <c r="AB1025" s="47"/>
      <c r="AC1025" s="47"/>
      <c r="AD1025" s="140"/>
      <c r="AE1025" s="76" t="s">
        <v>573</v>
      </c>
      <c r="AF1025" s="47"/>
      <c r="AG1025" s="47"/>
      <c r="AH1025" s="140"/>
    </row>
    <row r="1026" spans="1:34" ht="11.25" customHeight="1">
      <c r="A1026" s="49"/>
      <c r="B1026" s="44"/>
      <c r="C1026" s="76" t="str">
        <f>T1.role(C1025,"cpdid")</f>
        <v/>
      </c>
      <c r="D1026" s="47"/>
      <c r="E1026" s="47"/>
      <c r="F1026" s="140"/>
      <c r="G1026" s="76" t="str">
        <f>T1.role(G1025,"cpdid")</f>
        <v/>
      </c>
      <c r="H1026" s="47"/>
      <c r="I1026" s="47"/>
      <c r="J1026" s="140"/>
      <c r="K1026" s="76" t="str">
        <f>T1.role(K1025,"cpdid")</f>
        <v/>
      </c>
      <c r="L1026" s="47"/>
      <c r="M1026" s="47"/>
      <c r="N1026" s="140"/>
      <c r="O1026" s="76" t="str">
        <f>T1.role(O1025,"cpdid")</f>
        <v/>
      </c>
      <c r="P1026" s="47"/>
      <c r="Q1026" s="47"/>
      <c r="R1026" s="140"/>
      <c r="S1026" s="76" t="str">
        <f>T1.role(S1025,"cpdid")</f>
        <v/>
      </c>
      <c r="T1026" s="47"/>
      <c r="U1026" s="47"/>
      <c r="V1026" s="140"/>
      <c r="W1026" s="76" t="str">
        <f>T1.role(W1025,"cpdid")</f>
        <v/>
      </c>
      <c r="X1026" s="47"/>
      <c r="Y1026" s="47"/>
      <c r="Z1026" s="140"/>
      <c r="AA1026" s="76" t="str">
        <f>T1.role(AA1025,"cpdid")</f>
        <v/>
      </c>
      <c r="AB1026" s="47"/>
      <c r="AC1026" s="47"/>
      <c r="AD1026" s="140"/>
      <c r="AE1026" s="76" t="str">
        <f>T1.role(AE1025,"cpdid")</f>
        <v/>
      </c>
      <c r="AF1026" s="47"/>
      <c r="AG1026" s="47"/>
      <c r="AH1026" s="140"/>
    </row>
    <row r="1027" spans="1:34" ht="11.25" customHeight="1">
      <c r="A1027" s="49"/>
      <c r="B1027" s="139">
        <v>20</v>
      </c>
      <c r="C1027" s="139" t="e">
        <f>T1.role(C1025&amp;"@"&amp;B1027,"CPD_RESULT","val",1)</f>
        <v>#REF!</v>
      </c>
      <c r="D1027" s="139" t="e">
        <f>T1.role(C1025&amp;"@"&amp;B1027,"CPD_RESULT","val",2)</f>
        <v>#REF!</v>
      </c>
      <c r="E1027" s="139" t="e">
        <f>T1.role(C1025&amp;"@"&amp;B1027,"CPD_RESULT","val",3)</f>
        <v>#REF!</v>
      </c>
      <c r="F1027" s="139" t="e">
        <f>T1.role(C1025&amp;"@"&amp;B1027,"CPD_RESULT","val",4)</f>
        <v>#REF!</v>
      </c>
      <c r="G1027" s="139" t="e">
        <f>T1.role(G1025&amp;"@"&amp;B1027,"CPD_RESULT","val",1)</f>
        <v>#REF!</v>
      </c>
      <c r="H1027" s="139" t="e">
        <f>T1.role(G1025&amp;"@"&amp;B1027,"CPD_RESULT","val",2)</f>
        <v>#REF!</v>
      </c>
      <c r="I1027" s="139" t="e">
        <f>T1.role(G1025&amp;"@"&amp;B1027,"CPD_RESULT","val",3)</f>
        <v>#REF!</v>
      </c>
      <c r="J1027" s="139" t="e">
        <f>T1.role(G1025&amp;"@"&amp;B1027,"CPD_RESULT","val",4)</f>
        <v>#REF!</v>
      </c>
      <c r="K1027" s="139" t="e">
        <f>T1.role(K1025&amp;"@"&amp;B1027,"CPD_RESULT","val",1)</f>
        <v>#REF!</v>
      </c>
      <c r="L1027" s="139" t="e">
        <f>T1.role(K1025&amp;"@"&amp;B1027,"CPD_RESULT","val",2)</f>
        <v>#REF!</v>
      </c>
      <c r="M1027" s="139" t="e">
        <f>T1.role(K1025&amp;"@"&amp;B1027,"CPD_RESULT","val",3)</f>
        <v>#REF!</v>
      </c>
      <c r="N1027" s="139" t="e">
        <f>T1.role(K1025&amp;"@"&amp;B1027,"CPD_RESULT","val",4)</f>
        <v>#REF!</v>
      </c>
      <c r="O1027" s="139" t="e">
        <f>T1.role(O1025&amp;"@"&amp;B1027,"CPD_RESULT","val",1)</f>
        <v>#REF!</v>
      </c>
      <c r="P1027" s="139" t="e">
        <f>T1.role(O1025&amp;"@"&amp;B1027,"CPD_RESULT","val",2)</f>
        <v>#REF!</v>
      </c>
      <c r="Q1027" s="139" t="e">
        <f>T1.role(O1025&amp;"@"&amp;B1027,"CPD_RESULT","val",3)</f>
        <v>#REF!</v>
      </c>
      <c r="R1027" s="139" t="e">
        <f>T1.role(O1025&amp;"@"&amp;B1027,"CPD_RESULT","val",4)</f>
        <v>#REF!</v>
      </c>
      <c r="S1027" s="139" t="e">
        <f>T1.role(S1025&amp;"@"&amp;B1027,"CPD_RESULT","val",1)</f>
        <v>#REF!</v>
      </c>
      <c r="T1027" s="139" t="e">
        <f>T1.role(S1025&amp;"@"&amp;B1027,"CPD_RESULT","val",1)</f>
        <v>#REF!</v>
      </c>
      <c r="U1027" s="139" t="e">
        <f>T1.role(S1025&amp;"@"&amp;B1027,"CPD_RESULT","val",1)</f>
        <v>#REF!</v>
      </c>
      <c r="V1027" s="139" t="e">
        <f>T1.role(S1025&amp;"@"&amp;B1027,"CPD_RESULT","val",1)</f>
        <v>#REF!</v>
      </c>
      <c r="W1027" s="139" t="e">
        <f>T1.role(W1025&amp;"@"&amp;B1027,"CPD_RESULT","val",1)</f>
        <v>#REF!</v>
      </c>
      <c r="X1027" s="139" t="e">
        <f>T1.role(W1025&amp;"@"&amp;B1027,"CPD_RESULT","val",1)</f>
        <v>#REF!</v>
      </c>
      <c r="Y1027" s="139" t="e">
        <f>T1.role(W1025&amp;"@"&amp;B1027,"CPD_RESULT","val",1)</f>
        <v>#REF!</v>
      </c>
      <c r="Z1027" s="139" t="e">
        <f>T1.role(W1025&amp;"@"&amp;B1027,"CPD_RESULT","val",1)</f>
        <v>#REF!</v>
      </c>
      <c r="AA1027" s="139" t="e">
        <f>T1.role(AA1025&amp;"@"&amp;B1027,"CPD_RESULT","val",1)</f>
        <v>#REF!</v>
      </c>
      <c r="AB1027" s="139" t="e">
        <f>T1.role(AA1025&amp;"@"&amp;B1027,"CPD_RESULT","val",1)</f>
        <v>#REF!</v>
      </c>
      <c r="AC1027" s="139" t="e">
        <f>T1.role(AA1025&amp;"@"&amp;B1027,"CPD_RESULT","val",1)</f>
        <v>#REF!</v>
      </c>
      <c r="AD1027" s="139" t="e">
        <f>T1.role(AA1025&amp;"@"&amp;B1027,"CPD_RESULT","val",1)</f>
        <v>#REF!</v>
      </c>
      <c r="AE1027" s="139" t="e">
        <f>T1.role(AE1025&amp;"@"&amp;B1027,"CPD_RESULT","val",1)</f>
        <v>#REF!</v>
      </c>
      <c r="AF1027" s="139" t="e">
        <f>T1.role(AE1025&amp;"@"&amp;B1027,"CPD_RESULT","val",1)</f>
        <v>#REF!</v>
      </c>
      <c r="AG1027" s="139" t="e">
        <f>T1.role(AE1025&amp;"@"&amp;B1027,"CPD_RESULT","val",1)</f>
        <v>#REF!</v>
      </c>
      <c r="AH1027" s="139" t="e">
        <f>T1.role(AE1025&amp;"@"&amp;B1027,"CPD_RESULT","val",1)</f>
        <v>#REF!</v>
      </c>
    </row>
    <row r="1028" spans="1:34" ht="11.25" customHeight="1">
      <c r="A1028" s="49"/>
      <c r="B1028" s="139">
        <v>6</v>
      </c>
      <c r="C1028" s="139" t="e">
        <f>T1.role(C1025&amp;"@"&amp;B1028,"CPD_RESULT","val",1)</f>
        <v>#REF!</v>
      </c>
      <c r="D1028" s="139" t="e">
        <f>T1.role(C1025&amp;"@"&amp;B1028,"CPD_RESULT","val",2)</f>
        <v>#REF!</v>
      </c>
      <c r="E1028" s="139" t="e">
        <f>T1.role(C1025&amp;"@"&amp;B1028,"CPD_RESULT","val",3)</f>
        <v>#REF!</v>
      </c>
      <c r="F1028" s="139" t="e">
        <f>T1.role(C1025&amp;"@"&amp;B1028,"CPD_RESULT","val",4)</f>
        <v>#REF!</v>
      </c>
      <c r="G1028" s="139" t="e">
        <f>T1.role(G1025&amp;"@"&amp;B1028,"CPD_RESULT","val",1)</f>
        <v>#REF!</v>
      </c>
      <c r="H1028" s="139" t="e">
        <f>T1.role(G1025&amp;"@"&amp;B1028,"CPD_RESULT","val",2)</f>
        <v>#REF!</v>
      </c>
      <c r="I1028" s="139" t="e">
        <f>T1.role(G1025&amp;"@"&amp;B1028,"CPD_RESULT","val",3)</f>
        <v>#REF!</v>
      </c>
      <c r="J1028" s="139" t="e">
        <f>T1.role(G1025&amp;"@"&amp;B1028,"CPD_RESULT","val",4)</f>
        <v>#REF!</v>
      </c>
      <c r="K1028" s="139" t="e">
        <f>T1.role(K1025&amp;"@"&amp;B1028,"CPD_RESULT","val",1)</f>
        <v>#REF!</v>
      </c>
      <c r="L1028" s="139" t="e">
        <f>T1.role(K1025&amp;"@"&amp;B1028,"CPD_RESULT","val",2)</f>
        <v>#REF!</v>
      </c>
      <c r="M1028" s="139" t="e">
        <f>T1.role(K1025&amp;"@"&amp;B1028,"CPD_RESULT","val",3)</f>
        <v>#REF!</v>
      </c>
      <c r="N1028" s="139" t="e">
        <f>T1.role(K1025&amp;"@"&amp;B1028,"CPD_RESULT","val",4)</f>
        <v>#REF!</v>
      </c>
      <c r="O1028" s="139" t="e">
        <f>T1.role(O1025&amp;"@"&amp;B1028,"CPD_RESULT","val",1)</f>
        <v>#REF!</v>
      </c>
      <c r="P1028" s="139" t="e">
        <f>T1.role(O1025&amp;"@"&amp;B1028,"CPD_RESULT","val",2)</f>
        <v>#REF!</v>
      </c>
      <c r="Q1028" s="139" t="e">
        <f>T1.role(O1025&amp;"@"&amp;B1028,"CPD_RESULT","val",3)</f>
        <v>#REF!</v>
      </c>
      <c r="R1028" s="139" t="e">
        <f>T1.role(O1025&amp;"@"&amp;B1028,"CPD_RESULT","val",4)</f>
        <v>#REF!</v>
      </c>
      <c r="S1028" s="139" t="e">
        <f>T1.role(S1025&amp;"@"&amp;B1028,"CPD_RESULT","val",1)</f>
        <v>#REF!</v>
      </c>
      <c r="T1028" s="139" t="e">
        <f>T1.role(S1025&amp;"@"&amp;B1028,"CPD_RESULT","val",1)</f>
        <v>#REF!</v>
      </c>
      <c r="U1028" s="139" t="e">
        <f>T1.role(S1025&amp;"@"&amp;B1028,"CPD_RESULT","val",1)</f>
        <v>#REF!</v>
      </c>
      <c r="V1028" s="139" t="e">
        <f>T1.role(S1025&amp;"@"&amp;B1028,"CPD_RESULT","val",1)</f>
        <v>#REF!</v>
      </c>
      <c r="W1028" s="139" t="e">
        <f>T1.role(W1025&amp;"@"&amp;B1028,"CPD_RESULT","val",1)</f>
        <v>#REF!</v>
      </c>
      <c r="X1028" s="139" t="e">
        <f>T1.role(W1025&amp;"@"&amp;B1028,"CPD_RESULT","val",1)</f>
        <v>#REF!</v>
      </c>
      <c r="Y1028" s="139" t="e">
        <f>T1.role(W1025&amp;"@"&amp;B1028,"CPD_RESULT","val",1)</f>
        <v>#REF!</v>
      </c>
      <c r="Z1028" s="139" t="e">
        <f>T1.role(W1025&amp;"@"&amp;B1028,"CPD_RESULT","val",1)</f>
        <v>#REF!</v>
      </c>
      <c r="AA1028" s="139" t="e">
        <f>T1.role(AA1025&amp;"@"&amp;B1028,"CPD_RESULT","val",1)</f>
        <v>#REF!</v>
      </c>
      <c r="AB1028" s="139" t="e">
        <f>T1.role(AA1025&amp;"@"&amp;B1028,"CPD_RESULT","val",1)</f>
        <v>#REF!</v>
      </c>
      <c r="AC1028" s="139" t="e">
        <f>T1.role(AA1025&amp;"@"&amp;B1028,"CPD_RESULT","val",1)</f>
        <v>#REF!</v>
      </c>
      <c r="AD1028" s="139" t="e">
        <f>T1.role(AA1025&amp;"@"&amp;B1028,"CPD_RESULT","val",1)</f>
        <v>#REF!</v>
      </c>
      <c r="AE1028" s="139" t="e">
        <f>T1.role(AE1025&amp;"@"&amp;B1028,"CPD_RESULT","val",1)</f>
        <v>#REF!</v>
      </c>
      <c r="AF1028" s="139" t="e">
        <f>T1.role(AE1025&amp;"@"&amp;B1028,"CPD_RESULT","val",1)</f>
        <v>#REF!</v>
      </c>
      <c r="AG1028" s="139" t="e">
        <f>T1.role(AE1025&amp;"@"&amp;B1028,"CPD_RESULT","val",1)</f>
        <v>#REF!</v>
      </c>
      <c r="AH1028" s="139" t="e">
        <f>T1.role(AE1025&amp;"@"&amp;B1028,"CPD_RESULT","val",1)</f>
        <v>#REF!</v>
      </c>
    </row>
    <row r="1029" spans="1:34" ht="11.25" customHeight="1">
      <c r="A1029" s="49"/>
      <c r="B1029" s="139">
        <v>2</v>
      </c>
      <c r="C1029" s="139" t="e">
        <f>T1.role(C1025&amp;"@"&amp;B1029,"CPD_RESULT","val",1)</f>
        <v>#REF!</v>
      </c>
      <c r="D1029" s="139" t="e">
        <f>T1.role(C1025&amp;"@"&amp;B1029,"CPD_RESULT","val",2)</f>
        <v>#REF!</v>
      </c>
      <c r="E1029" s="139" t="e">
        <f>T1.role(C1025&amp;"@"&amp;B1029,"CPD_RESULT","val",3)</f>
        <v>#REF!</v>
      </c>
      <c r="F1029" s="139" t="e">
        <f>T1.role(C1025&amp;"@"&amp;B1029,"CPD_RESULT","val",4)</f>
        <v>#REF!</v>
      </c>
      <c r="G1029" s="139" t="e">
        <f>T1.role(G1025&amp;"@"&amp;B1029,"CPD_RESULT","val",1)</f>
        <v>#REF!</v>
      </c>
      <c r="H1029" s="139" t="e">
        <f>T1.role(G1025&amp;"@"&amp;B1029,"CPD_RESULT","val",2)</f>
        <v>#REF!</v>
      </c>
      <c r="I1029" s="139" t="e">
        <f>T1.role(G1025&amp;"@"&amp;B1029,"CPD_RESULT","val",3)</f>
        <v>#REF!</v>
      </c>
      <c r="J1029" s="139" t="e">
        <f>T1.role(G1025&amp;"@"&amp;B1029,"CPD_RESULT","val",4)</f>
        <v>#REF!</v>
      </c>
      <c r="K1029" s="139" t="e">
        <f>T1.role(K1025&amp;"@"&amp;B1029,"CPD_RESULT","val",1)</f>
        <v>#REF!</v>
      </c>
      <c r="L1029" s="139" t="e">
        <f>T1.role(K1025&amp;"@"&amp;B1029,"CPD_RESULT","val",2)</f>
        <v>#REF!</v>
      </c>
      <c r="M1029" s="139" t="e">
        <f>T1.role(K1025&amp;"@"&amp;B1029,"CPD_RESULT","val",3)</f>
        <v>#REF!</v>
      </c>
      <c r="N1029" s="139" t="e">
        <f>T1.role(K1025&amp;"@"&amp;B1029,"CPD_RESULT","val",4)</f>
        <v>#REF!</v>
      </c>
      <c r="O1029" s="139" t="e">
        <f>T1.role(O1025&amp;"@"&amp;B1029,"CPD_RESULT","val",1)</f>
        <v>#REF!</v>
      </c>
      <c r="P1029" s="139" t="e">
        <f>T1.role(O1025&amp;"@"&amp;B1029,"CPD_RESULT","val",2)</f>
        <v>#REF!</v>
      </c>
      <c r="Q1029" s="139" t="e">
        <f>T1.role(O1025&amp;"@"&amp;B1029,"CPD_RESULT","val",3)</f>
        <v>#REF!</v>
      </c>
      <c r="R1029" s="139" t="e">
        <f>T1.role(O1025&amp;"@"&amp;B1029,"CPD_RESULT","val",4)</f>
        <v>#REF!</v>
      </c>
      <c r="S1029" s="139" t="e">
        <f>T1.role(S1025&amp;"@"&amp;B1029,"CPD_RESULT","val",1)</f>
        <v>#REF!</v>
      </c>
      <c r="T1029" s="139" t="e">
        <f>T1.role(S1025&amp;"@"&amp;B1029,"CPD_RESULT","val",1)</f>
        <v>#REF!</v>
      </c>
      <c r="U1029" s="139" t="e">
        <f>T1.role(S1025&amp;"@"&amp;B1029,"CPD_RESULT","val",1)</f>
        <v>#REF!</v>
      </c>
      <c r="V1029" s="139" t="e">
        <f>T1.role(S1025&amp;"@"&amp;B1029,"CPD_RESULT","val",1)</f>
        <v>#REF!</v>
      </c>
      <c r="W1029" s="139" t="e">
        <f>T1.role(W1025&amp;"@"&amp;B1029,"CPD_RESULT","val",1)</f>
        <v>#REF!</v>
      </c>
      <c r="X1029" s="139" t="e">
        <f>T1.role(W1025&amp;"@"&amp;B1029,"CPD_RESULT","val",1)</f>
        <v>#REF!</v>
      </c>
      <c r="Y1029" s="139" t="e">
        <f>T1.role(W1025&amp;"@"&amp;B1029,"CPD_RESULT","val",1)</f>
        <v>#REF!</v>
      </c>
      <c r="Z1029" s="139" t="e">
        <f>T1.role(W1025&amp;"@"&amp;B1029,"CPD_RESULT","val",1)</f>
        <v>#REF!</v>
      </c>
      <c r="AA1029" s="139" t="e">
        <f>T1.role(AA1025&amp;"@"&amp;B1029,"CPD_RESULT","val",1)</f>
        <v>#REF!</v>
      </c>
      <c r="AB1029" s="139" t="e">
        <f>T1.role(AA1025&amp;"@"&amp;B1029,"CPD_RESULT","val",1)</f>
        <v>#REF!</v>
      </c>
      <c r="AC1029" s="139" t="e">
        <f>T1.role(AA1025&amp;"@"&amp;B1029,"CPD_RESULT","val",1)</f>
        <v>#REF!</v>
      </c>
      <c r="AD1029" s="139" t="e">
        <f>T1.role(AA1025&amp;"@"&amp;B1029,"CPD_RESULT","val",1)</f>
        <v>#REF!</v>
      </c>
      <c r="AE1029" s="139" t="e">
        <f>T1.role(AE1025&amp;"@"&amp;B1029,"CPD_RESULT","val",1)</f>
        <v>#REF!</v>
      </c>
      <c r="AF1029" s="139" t="e">
        <f>T1.role(AE1025&amp;"@"&amp;B1029,"CPD_RESULT","val",1)</f>
        <v>#REF!</v>
      </c>
      <c r="AG1029" s="139" t="e">
        <f>T1.role(AE1025&amp;"@"&amp;B1029,"CPD_RESULT","val",1)</f>
        <v>#REF!</v>
      </c>
      <c r="AH1029" s="139" t="e">
        <f>T1.role(AE1025&amp;"@"&amp;B1029,"CPD_RESULT","val",1)</f>
        <v>#REF!</v>
      </c>
    </row>
    <row r="1030" spans="1:34" ht="11.25" customHeight="1">
      <c r="A1030" s="49"/>
      <c r="B1030" s="139">
        <v>0.6</v>
      </c>
      <c r="C1030" s="139" t="e">
        <f>T1.role(C1025&amp;"@"&amp;B1030,"CPD_RESULT","val",1)</f>
        <v>#REF!</v>
      </c>
      <c r="D1030" s="139" t="e">
        <f>T1.role(C1025&amp;"@"&amp;B1030,"CPD_RESULT","val",2)</f>
        <v>#REF!</v>
      </c>
      <c r="E1030" s="139" t="e">
        <f>T1.role(C1025&amp;"@"&amp;B1030,"CPD_RESULT","val",3)</f>
        <v>#REF!</v>
      </c>
      <c r="F1030" s="139" t="e">
        <f>T1.role(C1025&amp;"@"&amp;B1030,"CPD_RESULT","val",4)</f>
        <v>#REF!</v>
      </c>
      <c r="G1030" s="139" t="e">
        <f>T1.role(G1025&amp;"@"&amp;B1030,"CPD_RESULT","val",1)</f>
        <v>#REF!</v>
      </c>
      <c r="H1030" s="139" t="e">
        <f>T1.role(G1025&amp;"@"&amp;B1030,"CPD_RESULT","val",2)</f>
        <v>#REF!</v>
      </c>
      <c r="I1030" s="139" t="e">
        <f>T1.role(G1025&amp;"@"&amp;B1030,"CPD_RESULT","val",3)</f>
        <v>#REF!</v>
      </c>
      <c r="J1030" s="139" t="e">
        <f>T1.role(G1025&amp;"@"&amp;B1030,"CPD_RESULT","val",4)</f>
        <v>#REF!</v>
      </c>
      <c r="K1030" s="139" t="e">
        <f>T1.role(K1025&amp;"@"&amp;B1030,"CPD_RESULT","val",1)</f>
        <v>#REF!</v>
      </c>
      <c r="L1030" s="139" t="e">
        <f>T1.role(K1025&amp;"@"&amp;B1030,"CPD_RESULT","val",2)</f>
        <v>#REF!</v>
      </c>
      <c r="M1030" s="139" t="e">
        <f>T1.role(K1025&amp;"@"&amp;B1030,"CPD_RESULT","val",3)</f>
        <v>#REF!</v>
      </c>
      <c r="N1030" s="139" t="e">
        <f>T1.role(K1025&amp;"@"&amp;B1030,"CPD_RESULT","val",4)</f>
        <v>#REF!</v>
      </c>
      <c r="O1030" s="139" t="e">
        <f>T1.role(O1025&amp;"@"&amp;B1030,"CPD_RESULT","val",1)</f>
        <v>#REF!</v>
      </c>
      <c r="P1030" s="139" t="e">
        <f>T1.role(O1025&amp;"@"&amp;B1030,"CPD_RESULT","val",2)</f>
        <v>#REF!</v>
      </c>
      <c r="Q1030" s="139" t="e">
        <f>T1.role(O1025&amp;"@"&amp;B1030,"CPD_RESULT","val",3)</f>
        <v>#REF!</v>
      </c>
      <c r="R1030" s="139" t="e">
        <f>T1.role(O1025&amp;"@"&amp;B1030,"CPD_RESULT","val",4)</f>
        <v>#REF!</v>
      </c>
      <c r="S1030" s="139" t="e">
        <f>T1.role(S1025&amp;"@"&amp;B1030,"CPD_RESULT","val",1)</f>
        <v>#REF!</v>
      </c>
      <c r="T1030" s="139" t="e">
        <f>T1.role(S1025&amp;"@"&amp;B1030,"CPD_RESULT","val",1)</f>
        <v>#REF!</v>
      </c>
      <c r="U1030" s="139" t="e">
        <f>T1.role(S1025&amp;"@"&amp;B1030,"CPD_RESULT","val",1)</f>
        <v>#REF!</v>
      </c>
      <c r="V1030" s="139" t="e">
        <f>T1.role(S1025&amp;"@"&amp;B1030,"CPD_RESULT","val",1)</f>
        <v>#REF!</v>
      </c>
      <c r="W1030" s="139" t="e">
        <f>T1.role(W1025&amp;"@"&amp;B1030,"CPD_RESULT","val",1)</f>
        <v>#REF!</v>
      </c>
      <c r="X1030" s="139" t="e">
        <f>T1.role(W1025&amp;"@"&amp;B1030,"CPD_RESULT","val",1)</f>
        <v>#REF!</v>
      </c>
      <c r="Y1030" s="139" t="e">
        <f>T1.role(W1025&amp;"@"&amp;B1030,"CPD_RESULT","val",1)</f>
        <v>#REF!</v>
      </c>
      <c r="Z1030" s="139" t="e">
        <f>T1.role(W1025&amp;"@"&amp;B1030,"CPD_RESULT","val",1)</f>
        <v>#REF!</v>
      </c>
      <c r="AA1030" s="139" t="e">
        <f>T1.role(AA1025&amp;"@"&amp;B1030,"CPD_RESULT","val",1)</f>
        <v>#REF!</v>
      </c>
      <c r="AB1030" s="139" t="e">
        <f>T1.role(AA1025&amp;"@"&amp;B1030,"CPD_RESULT","val",1)</f>
        <v>#REF!</v>
      </c>
      <c r="AC1030" s="139" t="e">
        <f>T1.role(AA1025&amp;"@"&amp;B1030,"CPD_RESULT","val",1)</f>
        <v>#REF!</v>
      </c>
      <c r="AD1030" s="139" t="e">
        <f>T1.role(AA1025&amp;"@"&amp;B1030,"CPD_RESULT","val",1)</f>
        <v>#REF!</v>
      </c>
      <c r="AE1030" s="139" t="e">
        <f>T1.role(AE1025&amp;"@"&amp;B1030,"CPD_RESULT","val",1)</f>
        <v>#REF!</v>
      </c>
      <c r="AF1030" s="139" t="e">
        <f>T1.role(AE1025&amp;"@"&amp;B1030,"CPD_RESULT","val",1)</f>
        <v>#REF!</v>
      </c>
      <c r="AG1030" s="139" t="e">
        <f>T1.role(AE1025&amp;"@"&amp;B1030,"CPD_RESULT","val",1)</f>
        <v>#REF!</v>
      </c>
      <c r="AH1030" s="139" t="e">
        <f>T1.role(AE1025&amp;"@"&amp;B1030,"CPD_RESULT","val",1)</f>
        <v>#REF!</v>
      </c>
    </row>
    <row r="1031" spans="1:34" ht="11.25" customHeight="1">
      <c r="A1031" s="49"/>
      <c r="B1031" s="139">
        <v>0.2</v>
      </c>
      <c r="C1031" s="139" t="e">
        <f>T1.role(C1025&amp;"@"&amp;B1031,"CPD_RESULT","val",1)</f>
        <v>#REF!</v>
      </c>
      <c r="D1031" s="139" t="e">
        <f>T1.role(C1025&amp;"@"&amp;B1031,"CPD_RESULT","val",2)</f>
        <v>#REF!</v>
      </c>
      <c r="E1031" s="139" t="e">
        <f>T1.role(C1025&amp;"@"&amp;B1031,"CPD_RESULT","val",3)</f>
        <v>#REF!</v>
      </c>
      <c r="F1031" s="139" t="e">
        <f>T1.role(C1025&amp;"@"&amp;B1031,"CPD_RESULT","val",4)</f>
        <v>#REF!</v>
      </c>
      <c r="G1031" s="139" t="e">
        <f>T1.role(G1025&amp;"@"&amp;B1031,"CPD_RESULT","val",1)</f>
        <v>#REF!</v>
      </c>
      <c r="H1031" s="139" t="e">
        <f>T1.role(G1025&amp;"@"&amp;B1031,"CPD_RESULT","val",2)</f>
        <v>#REF!</v>
      </c>
      <c r="I1031" s="139" t="e">
        <f>T1.role(G1025&amp;"@"&amp;B1031,"CPD_RESULT","val",3)</f>
        <v>#REF!</v>
      </c>
      <c r="J1031" s="139" t="e">
        <f>T1.role(G1025&amp;"@"&amp;B1031,"CPD_RESULT","val",4)</f>
        <v>#REF!</v>
      </c>
      <c r="K1031" s="139" t="e">
        <f>T1.role(K1025&amp;"@"&amp;B1031,"CPD_RESULT","val",1)</f>
        <v>#REF!</v>
      </c>
      <c r="L1031" s="139" t="e">
        <f>T1.role(K1025&amp;"@"&amp;B1031,"CPD_RESULT","val",2)</f>
        <v>#REF!</v>
      </c>
      <c r="M1031" s="139" t="e">
        <f>T1.role(K1025&amp;"@"&amp;B1031,"CPD_RESULT","val",3)</f>
        <v>#REF!</v>
      </c>
      <c r="N1031" s="139" t="e">
        <f>T1.role(K1025&amp;"@"&amp;B1031,"CPD_RESULT","val",4)</f>
        <v>#REF!</v>
      </c>
      <c r="O1031" s="139" t="e">
        <f>T1.role(O1025&amp;"@"&amp;B1031,"CPD_RESULT","val",1)</f>
        <v>#REF!</v>
      </c>
      <c r="P1031" s="139" t="e">
        <f>T1.role(O1025&amp;"@"&amp;B1031,"CPD_RESULT","val",2)</f>
        <v>#REF!</v>
      </c>
      <c r="Q1031" s="139" t="e">
        <f>T1.role(O1025&amp;"@"&amp;B1031,"CPD_RESULT","val",3)</f>
        <v>#REF!</v>
      </c>
      <c r="R1031" s="139" t="e">
        <f>T1.role(O1025&amp;"@"&amp;B1031,"CPD_RESULT","val",4)</f>
        <v>#REF!</v>
      </c>
      <c r="S1031" s="139" t="e">
        <f>T1.role(S1025&amp;"@"&amp;B1031,"CPD_RESULT","val",1)</f>
        <v>#REF!</v>
      </c>
      <c r="T1031" s="139" t="e">
        <f>T1.role(S1025&amp;"@"&amp;B1031,"CPD_RESULT","val",1)</f>
        <v>#REF!</v>
      </c>
      <c r="U1031" s="139" t="e">
        <f>T1.role(S1025&amp;"@"&amp;B1031,"CPD_RESULT","val",1)</f>
        <v>#REF!</v>
      </c>
      <c r="V1031" s="139" t="e">
        <f>T1.role(S1025&amp;"@"&amp;B1031,"CPD_RESULT","val",1)</f>
        <v>#REF!</v>
      </c>
      <c r="W1031" s="139" t="e">
        <f>T1.role(W1025&amp;"@"&amp;B1031,"CPD_RESULT","val",1)</f>
        <v>#REF!</v>
      </c>
      <c r="X1031" s="139" t="e">
        <f>T1.role(W1025&amp;"@"&amp;B1031,"CPD_RESULT","val",1)</f>
        <v>#REF!</v>
      </c>
      <c r="Y1031" s="139" t="e">
        <f>T1.role(W1025&amp;"@"&amp;B1031,"CPD_RESULT","val",1)</f>
        <v>#REF!</v>
      </c>
      <c r="Z1031" s="139" t="e">
        <f>T1.role(W1025&amp;"@"&amp;B1031,"CPD_RESULT","val",1)</f>
        <v>#REF!</v>
      </c>
      <c r="AA1031" s="139" t="e">
        <f>T1.role(AA1025&amp;"@"&amp;B1031,"CPD_RESULT","val",1)</f>
        <v>#REF!</v>
      </c>
      <c r="AB1031" s="139" t="e">
        <f>T1.role(AA1025&amp;"@"&amp;B1031,"CPD_RESULT","val",1)</f>
        <v>#REF!</v>
      </c>
      <c r="AC1031" s="139" t="e">
        <f>T1.role(AA1025&amp;"@"&amp;B1031,"CPD_RESULT","val",1)</f>
        <v>#REF!</v>
      </c>
      <c r="AD1031" s="139" t="e">
        <f>T1.role(AA1025&amp;"@"&amp;B1031,"CPD_RESULT","val",1)</f>
        <v>#REF!</v>
      </c>
      <c r="AE1031" s="139" t="e">
        <f>T1.role(AE1025&amp;"@"&amp;B1031,"CPD_RESULT","val",1)</f>
        <v>#REF!</v>
      </c>
      <c r="AF1031" s="139" t="e">
        <f>T1.role(AE1025&amp;"@"&amp;B1031,"CPD_RESULT","val",1)</f>
        <v>#REF!</v>
      </c>
      <c r="AG1031" s="139" t="e">
        <f>T1.role(AE1025&amp;"@"&amp;B1031,"CPD_RESULT","val",1)</f>
        <v>#REF!</v>
      </c>
      <c r="AH1031" s="139" t="e">
        <f>T1.role(AE1025&amp;"@"&amp;B1031,"CPD_RESULT","val",1)</f>
        <v>#REF!</v>
      </c>
    </row>
    <row r="1032" spans="1:34" ht="11.25" customHeight="1">
      <c r="A1032" s="49"/>
      <c r="C1032" s="49"/>
      <c r="D1032" s="49"/>
      <c r="E1032" s="49"/>
      <c r="F1032" s="49"/>
      <c r="G1032" s="49"/>
      <c r="H1032" s="49"/>
      <c r="I1032" s="49"/>
      <c r="K1032" s="49"/>
      <c r="L1032" s="49"/>
      <c r="M1032" s="49"/>
      <c r="N1032" s="49"/>
      <c r="O1032" s="49"/>
      <c r="P1032" s="49"/>
      <c r="Q1032" s="49"/>
      <c r="R1032" s="49"/>
      <c r="S1032" s="49"/>
      <c r="T1032" s="49"/>
      <c r="U1032" s="49"/>
      <c r="V1032" s="49"/>
      <c r="W1032" s="49"/>
      <c r="X1032" s="49"/>
      <c r="Y1032" s="49"/>
      <c r="Z1032" s="49"/>
    </row>
    <row r="1033" spans="1:34" ht="11.25" customHeight="1">
      <c r="A1033" s="49"/>
      <c r="B1033" s="39"/>
      <c r="C1033" s="76" t="s">
        <v>3383</v>
      </c>
      <c r="D1033" s="47"/>
      <c r="E1033" s="47"/>
      <c r="F1033" s="140"/>
      <c r="G1033" s="76" t="s">
        <v>609</v>
      </c>
      <c r="H1033" s="47"/>
      <c r="I1033" s="47"/>
      <c r="J1033" s="140"/>
      <c r="K1033" s="76" t="s">
        <v>628</v>
      </c>
      <c r="L1033" s="47"/>
      <c r="M1033" s="47"/>
      <c r="N1033" s="140"/>
      <c r="O1033" s="76" t="s">
        <v>647</v>
      </c>
      <c r="P1033" s="47"/>
      <c r="Q1033" s="47"/>
      <c r="R1033" s="140"/>
      <c r="S1033" s="76" t="s">
        <v>665</v>
      </c>
      <c r="T1033" s="47"/>
      <c r="U1033" s="47"/>
      <c r="V1033" s="140"/>
      <c r="W1033" s="76" t="s">
        <v>684</v>
      </c>
      <c r="X1033" s="47"/>
      <c r="Y1033" s="47"/>
      <c r="Z1033" s="140"/>
      <c r="AA1033" s="76" t="s">
        <v>703</v>
      </c>
      <c r="AB1033" s="47"/>
      <c r="AC1033" s="47"/>
      <c r="AD1033" s="140"/>
      <c r="AE1033" s="76" t="s">
        <v>722</v>
      </c>
      <c r="AF1033" s="47"/>
      <c r="AG1033" s="47"/>
      <c r="AH1033" s="140"/>
    </row>
    <row r="1034" spans="1:34" ht="11.25" customHeight="1">
      <c r="A1034" s="49"/>
      <c r="B1034" s="44"/>
      <c r="C1034" s="76" t="str">
        <f>T1.role(C1033,"cpdid")</f>
        <v/>
      </c>
      <c r="D1034" s="47"/>
      <c r="E1034" s="47"/>
      <c r="F1034" s="140"/>
      <c r="G1034" s="76" t="str">
        <f>T1.role(G1033,"cpdid")</f>
        <v/>
      </c>
      <c r="H1034" s="47"/>
      <c r="I1034" s="47"/>
      <c r="J1034" s="140"/>
      <c r="K1034" s="76" t="str">
        <f>T1.role(K1033,"cpdid")</f>
        <v/>
      </c>
      <c r="L1034" s="47"/>
      <c r="M1034" s="47"/>
      <c r="N1034" s="140"/>
      <c r="O1034" s="76" t="str">
        <f>T1.role(O1033,"cpdid")</f>
        <v/>
      </c>
      <c r="P1034" s="47"/>
      <c r="Q1034" s="47"/>
      <c r="R1034" s="140"/>
      <c r="S1034" s="76" t="str">
        <f>T1.role(S1033,"cpdid")</f>
        <v/>
      </c>
      <c r="T1034" s="47"/>
      <c r="U1034" s="47"/>
      <c r="V1034" s="140"/>
      <c r="W1034" s="76" t="str">
        <f>T1.role(W1033,"cpdid")</f>
        <v/>
      </c>
      <c r="X1034" s="47"/>
      <c r="Y1034" s="47"/>
      <c r="Z1034" s="140"/>
      <c r="AA1034" s="76" t="str">
        <f>T1.role(AA1033,"cpdid")</f>
        <v/>
      </c>
      <c r="AB1034" s="47"/>
      <c r="AC1034" s="47"/>
      <c r="AD1034" s="140"/>
      <c r="AE1034" s="76" t="str">
        <f>T1.role(AE1033,"cpdid")</f>
        <v/>
      </c>
      <c r="AF1034" s="47"/>
      <c r="AG1034" s="47"/>
      <c r="AH1034" s="140"/>
    </row>
    <row r="1035" spans="1:34" ht="11.25" customHeight="1">
      <c r="A1035" s="49"/>
      <c r="B1035" s="139">
        <v>20</v>
      </c>
      <c r="C1035" s="139" t="e">
        <f>T1.role(C1033&amp;"@"&amp;B1035,"CPD_RESULT","val",1)</f>
        <v>#REF!</v>
      </c>
      <c r="D1035" s="139" t="e">
        <f>T1.role(C1033&amp;"@"&amp;B1035,"CPD_RESULT","val",2)</f>
        <v>#REF!</v>
      </c>
      <c r="E1035" s="139" t="e">
        <f>T1.role(C1033&amp;"@"&amp;B1035,"CPD_RESULT","val",3)</f>
        <v>#REF!</v>
      </c>
      <c r="F1035" s="139" t="e">
        <f>T1.role(C1033&amp;"@"&amp;B1035,"CPD_RESULT","val",4)</f>
        <v>#REF!</v>
      </c>
      <c r="G1035" s="139" t="e">
        <f>T1.role(G1033&amp;"@"&amp;B1035,"CPD_RESULT","val",1)</f>
        <v>#REF!</v>
      </c>
      <c r="H1035" s="139" t="e">
        <f>T1.role(G1033&amp;"@"&amp;B1035,"CPD_RESULT","val",2)</f>
        <v>#REF!</v>
      </c>
      <c r="I1035" s="139" t="e">
        <f>T1.role(G1033&amp;"@"&amp;B1035,"CPD_RESULT","val",3)</f>
        <v>#REF!</v>
      </c>
      <c r="J1035" s="139" t="e">
        <f>T1.role(G1033&amp;"@"&amp;B1035,"CPD_RESULT","val",4)</f>
        <v>#REF!</v>
      </c>
      <c r="K1035" s="139" t="e">
        <f>T1.role(K1033&amp;"@"&amp;B1035,"CPD_RESULT","val",1)</f>
        <v>#REF!</v>
      </c>
      <c r="L1035" s="139" t="e">
        <f>T1.role(K1033&amp;"@"&amp;B1035,"CPD_RESULT","val",2)</f>
        <v>#REF!</v>
      </c>
      <c r="M1035" s="139" t="e">
        <f>T1.role(K1033&amp;"@"&amp;B1035,"CPD_RESULT","val",3)</f>
        <v>#REF!</v>
      </c>
      <c r="N1035" s="139" t="e">
        <f>T1.role(K1033&amp;"@"&amp;B1035,"CPD_RESULT","val",4)</f>
        <v>#REF!</v>
      </c>
      <c r="O1035" s="139" t="e">
        <f>T1.role(O1033&amp;"@"&amp;B1035,"CPD_RESULT","val",1)</f>
        <v>#REF!</v>
      </c>
      <c r="P1035" s="139" t="e">
        <f>T1.role(O1033&amp;"@"&amp;B1035,"CPD_RESULT","val",2)</f>
        <v>#REF!</v>
      </c>
      <c r="Q1035" s="139" t="e">
        <f>T1.role(O1033&amp;"@"&amp;B1035,"CPD_RESULT","val",3)</f>
        <v>#REF!</v>
      </c>
      <c r="R1035" s="139" t="e">
        <f>T1.role(O1033&amp;"@"&amp;B1035,"CPD_RESULT","val",4)</f>
        <v>#REF!</v>
      </c>
      <c r="S1035" s="139" t="e">
        <f>T1.role(S1033&amp;"@"&amp;B1035,"CPD_RESULT","val",1)</f>
        <v>#REF!</v>
      </c>
      <c r="T1035" s="139" t="e">
        <f>T1.role(S1033&amp;"@"&amp;B1035,"CPD_RESULT","val",1)</f>
        <v>#REF!</v>
      </c>
      <c r="U1035" s="139" t="e">
        <f>T1.role(S1033&amp;"@"&amp;B1035,"CPD_RESULT","val",1)</f>
        <v>#REF!</v>
      </c>
      <c r="V1035" s="139" t="e">
        <f>T1.role(S1033&amp;"@"&amp;B1035,"CPD_RESULT","val",1)</f>
        <v>#REF!</v>
      </c>
      <c r="W1035" s="139" t="e">
        <f>T1.role(W1033&amp;"@"&amp;B1035,"CPD_RESULT","val",1)</f>
        <v>#REF!</v>
      </c>
      <c r="X1035" s="139" t="e">
        <f>T1.role(W1033&amp;"@"&amp;B1035,"CPD_RESULT","val",1)</f>
        <v>#REF!</v>
      </c>
      <c r="Y1035" s="139" t="e">
        <f>T1.role(W1033&amp;"@"&amp;B1035,"CPD_RESULT","val",1)</f>
        <v>#REF!</v>
      </c>
      <c r="Z1035" s="139" t="e">
        <f>T1.role(W1033&amp;"@"&amp;B1035,"CPD_RESULT","val",1)</f>
        <v>#REF!</v>
      </c>
      <c r="AA1035" s="139" t="e">
        <f>T1.role(AA1033&amp;"@"&amp;B1035,"CPD_RESULT","val",1)</f>
        <v>#REF!</v>
      </c>
      <c r="AB1035" s="139" t="e">
        <f>T1.role(AA1033&amp;"@"&amp;B1035,"CPD_RESULT","val",1)</f>
        <v>#REF!</v>
      </c>
      <c r="AC1035" s="139" t="e">
        <f>T1.role(AA1033&amp;"@"&amp;B1035,"CPD_RESULT","val",1)</f>
        <v>#REF!</v>
      </c>
      <c r="AD1035" s="139" t="e">
        <f>T1.role(AA1033&amp;"@"&amp;B1035,"CPD_RESULT","val",1)</f>
        <v>#REF!</v>
      </c>
      <c r="AE1035" s="139" t="e">
        <f>T1.role(AE1033&amp;"@"&amp;B1035,"CPD_RESULT","val",1)</f>
        <v>#REF!</v>
      </c>
      <c r="AF1035" s="139" t="e">
        <f>T1.role(AE1033&amp;"@"&amp;B1035,"CPD_RESULT","val",1)</f>
        <v>#REF!</v>
      </c>
      <c r="AG1035" s="139" t="e">
        <f>T1.role(AE1033&amp;"@"&amp;B1035,"CPD_RESULT","val",1)</f>
        <v>#REF!</v>
      </c>
      <c r="AH1035" s="139" t="e">
        <f>T1.role(AE1033&amp;"@"&amp;B1035,"CPD_RESULT","val",1)</f>
        <v>#REF!</v>
      </c>
    </row>
    <row r="1036" spans="1:34" ht="11.25" customHeight="1">
      <c r="A1036" s="49"/>
      <c r="B1036" s="139">
        <v>6</v>
      </c>
      <c r="C1036" s="139" t="e">
        <f>T1.role(C1033&amp;"@"&amp;B1036,"CPD_RESULT","val",1)</f>
        <v>#REF!</v>
      </c>
      <c r="D1036" s="139" t="e">
        <f>T1.role(C1033&amp;"@"&amp;B1036,"CPD_RESULT","val",2)</f>
        <v>#REF!</v>
      </c>
      <c r="E1036" s="139" t="e">
        <f>T1.role(C1033&amp;"@"&amp;B1036,"CPD_RESULT","val",3)</f>
        <v>#REF!</v>
      </c>
      <c r="F1036" s="139" t="e">
        <f>T1.role(C1033&amp;"@"&amp;B1036,"CPD_RESULT","val",4)</f>
        <v>#REF!</v>
      </c>
      <c r="G1036" s="139" t="e">
        <f>T1.role(G1033&amp;"@"&amp;B1036,"CPD_RESULT","val",1)</f>
        <v>#REF!</v>
      </c>
      <c r="H1036" s="139" t="e">
        <f>T1.role(G1033&amp;"@"&amp;B1036,"CPD_RESULT","val",2)</f>
        <v>#REF!</v>
      </c>
      <c r="I1036" s="139" t="e">
        <f>T1.role(G1033&amp;"@"&amp;B1036,"CPD_RESULT","val",3)</f>
        <v>#REF!</v>
      </c>
      <c r="J1036" s="139" t="e">
        <f>T1.role(G1033&amp;"@"&amp;B1036,"CPD_RESULT","val",4)</f>
        <v>#REF!</v>
      </c>
      <c r="K1036" s="139" t="e">
        <f>T1.role(K1033&amp;"@"&amp;B1036,"CPD_RESULT","val",1)</f>
        <v>#REF!</v>
      </c>
      <c r="L1036" s="139" t="e">
        <f>T1.role(K1033&amp;"@"&amp;B1036,"CPD_RESULT","val",2)</f>
        <v>#REF!</v>
      </c>
      <c r="M1036" s="139" t="e">
        <f>T1.role(K1033&amp;"@"&amp;B1036,"CPD_RESULT","val",3)</f>
        <v>#REF!</v>
      </c>
      <c r="N1036" s="139" t="e">
        <f>T1.role(K1033&amp;"@"&amp;B1036,"CPD_RESULT","val",4)</f>
        <v>#REF!</v>
      </c>
      <c r="O1036" s="139" t="e">
        <f>T1.role(O1033&amp;"@"&amp;B1036,"CPD_RESULT","val",1)</f>
        <v>#REF!</v>
      </c>
      <c r="P1036" s="139" t="e">
        <f>T1.role(O1033&amp;"@"&amp;B1036,"CPD_RESULT","val",2)</f>
        <v>#REF!</v>
      </c>
      <c r="Q1036" s="139" t="e">
        <f>T1.role(O1033&amp;"@"&amp;B1036,"CPD_RESULT","val",3)</f>
        <v>#REF!</v>
      </c>
      <c r="R1036" s="139" t="e">
        <f>T1.role(O1033&amp;"@"&amp;B1036,"CPD_RESULT","val",4)</f>
        <v>#REF!</v>
      </c>
      <c r="S1036" s="139" t="e">
        <f>T1.role(S1033&amp;"@"&amp;B1036,"CPD_RESULT","val",1)</f>
        <v>#REF!</v>
      </c>
      <c r="T1036" s="139" t="e">
        <f>T1.role(S1033&amp;"@"&amp;B1036,"CPD_RESULT","val",1)</f>
        <v>#REF!</v>
      </c>
      <c r="U1036" s="139" t="e">
        <f>T1.role(S1033&amp;"@"&amp;B1036,"CPD_RESULT","val",1)</f>
        <v>#REF!</v>
      </c>
      <c r="V1036" s="139" t="e">
        <f>T1.role(S1033&amp;"@"&amp;B1036,"CPD_RESULT","val",1)</f>
        <v>#REF!</v>
      </c>
      <c r="W1036" s="139" t="e">
        <f>T1.role(W1033&amp;"@"&amp;B1036,"CPD_RESULT","val",1)</f>
        <v>#REF!</v>
      </c>
      <c r="X1036" s="139" t="e">
        <f>T1.role(W1033&amp;"@"&amp;B1036,"CPD_RESULT","val",1)</f>
        <v>#REF!</v>
      </c>
      <c r="Y1036" s="139" t="e">
        <f>T1.role(W1033&amp;"@"&amp;B1036,"CPD_RESULT","val",1)</f>
        <v>#REF!</v>
      </c>
      <c r="Z1036" s="139" t="e">
        <f>T1.role(W1033&amp;"@"&amp;B1036,"CPD_RESULT","val",1)</f>
        <v>#REF!</v>
      </c>
      <c r="AA1036" s="139" t="e">
        <f>T1.role(AA1033&amp;"@"&amp;B1036,"CPD_RESULT","val",1)</f>
        <v>#REF!</v>
      </c>
      <c r="AB1036" s="139" t="e">
        <f>T1.role(AA1033&amp;"@"&amp;B1036,"CPD_RESULT","val",1)</f>
        <v>#REF!</v>
      </c>
      <c r="AC1036" s="139" t="e">
        <f>T1.role(AA1033&amp;"@"&amp;B1036,"CPD_RESULT","val",1)</f>
        <v>#REF!</v>
      </c>
      <c r="AD1036" s="139" t="e">
        <f>T1.role(AA1033&amp;"@"&amp;B1036,"CPD_RESULT","val",1)</f>
        <v>#REF!</v>
      </c>
      <c r="AE1036" s="139" t="e">
        <f>T1.role(AE1033&amp;"@"&amp;B1036,"CPD_RESULT","val",1)</f>
        <v>#REF!</v>
      </c>
      <c r="AF1036" s="139" t="e">
        <f>T1.role(AE1033&amp;"@"&amp;B1036,"CPD_RESULT","val",1)</f>
        <v>#REF!</v>
      </c>
      <c r="AG1036" s="139" t="e">
        <f>T1.role(AE1033&amp;"@"&amp;B1036,"CPD_RESULT","val",1)</f>
        <v>#REF!</v>
      </c>
      <c r="AH1036" s="139" t="e">
        <f>T1.role(AE1033&amp;"@"&amp;B1036,"CPD_RESULT","val",1)</f>
        <v>#REF!</v>
      </c>
    </row>
    <row r="1037" spans="1:34" ht="11.25" customHeight="1">
      <c r="A1037" s="49"/>
      <c r="B1037" s="139">
        <v>2</v>
      </c>
      <c r="C1037" s="139" t="e">
        <f>T1.role(C1033&amp;"@"&amp;B1037,"CPD_RESULT","val",1)</f>
        <v>#REF!</v>
      </c>
      <c r="D1037" s="139" t="e">
        <f>T1.role(C1033&amp;"@"&amp;B1037,"CPD_RESULT","val",2)</f>
        <v>#REF!</v>
      </c>
      <c r="E1037" s="139" t="e">
        <f>T1.role(C1033&amp;"@"&amp;B1037,"CPD_RESULT","val",3)</f>
        <v>#REF!</v>
      </c>
      <c r="F1037" s="139" t="e">
        <f>T1.role(C1033&amp;"@"&amp;B1037,"CPD_RESULT","val",4)</f>
        <v>#REF!</v>
      </c>
      <c r="G1037" s="139" t="e">
        <f>T1.role(G1033&amp;"@"&amp;B1037,"CPD_RESULT","val",1)</f>
        <v>#REF!</v>
      </c>
      <c r="H1037" s="139" t="e">
        <f>T1.role(G1033&amp;"@"&amp;B1037,"CPD_RESULT","val",2)</f>
        <v>#REF!</v>
      </c>
      <c r="I1037" s="139" t="e">
        <f>T1.role(G1033&amp;"@"&amp;B1037,"CPD_RESULT","val",3)</f>
        <v>#REF!</v>
      </c>
      <c r="J1037" s="139" t="e">
        <f>T1.role(G1033&amp;"@"&amp;B1037,"CPD_RESULT","val",4)</f>
        <v>#REF!</v>
      </c>
      <c r="K1037" s="139" t="e">
        <f>T1.role(K1033&amp;"@"&amp;B1037,"CPD_RESULT","val",1)</f>
        <v>#REF!</v>
      </c>
      <c r="L1037" s="139" t="e">
        <f>T1.role(K1033&amp;"@"&amp;B1037,"CPD_RESULT","val",2)</f>
        <v>#REF!</v>
      </c>
      <c r="M1037" s="139" t="e">
        <f>T1.role(K1033&amp;"@"&amp;B1037,"CPD_RESULT","val",3)</f>
        <v>#REF!</v>
      </c>
      <c r="N1037" s="139" t="e">
        <f>T1.role(K1033&amp;"@"&amp;B1037,"CPD_RESULT","val",4)</f>
        <v>#REF!</v>
      </c>
      <c r="O1037" s="139" t="e">
        <f>T1.role(O1033&amp;"@"&amp;B1037,"CPD_RESULT","val",1)</f>
        <v>#REF!</v>
      </c>
      <c r="P1037" s="139" t="e">
        <f>T1.role(O1033&amp;"@"&amp;B1037,"CPD_RESULT","val",2)</f>
        <v>#REF!</v>
      </c>
      <c r="Q1037" s="139" t="e">
        <f>T1.role(O1033&amp;"@"&amp;B1037,"CPD_RESULT","val",3)</f>
        <v>#REF!</v>
      </c>
      <c r="R1037" s="139" t="e">
        <f>T1.role(O1033&amp;"@"&amp;B1037,"CPD_RESULT","val",4)</f>
        <v>#REF!</v>
      </c>
      <c r="S1037" s="139" t="e">
        <f>T1.role(S1033&amp;"@"&amp;B1037,"CPD_RESULT","val",1)</f>
        <v>#REF!</v>
      </c>
      <c r="T1037" s="139" t="e">
        <f>T1.role(S1033&amp;"@"&amp;B1037,"CPD_RESULT","val",1)</f>
        <v>#REF!</v>
      </c>
      <c r="U1037" s="139" t="e">
        <f>T1.role(S1033&amp;"@"&amp;B1037,"CPD_RESULT","val",1)</f>
        <v>#REF!</v>
      </c>
      <c r="V1037" s="139" t="e">
        <f>T1.role(S1033&amp;"@"&amp;B1037,"CPD_RESULT","val",1)</f>
        <v>#REF!</v>
      </c>
      <c r="W1037" s="139" t="e">
        <f>T1.role(W1033&amp;"@"&amp;B1037,"CPD_RESULT","val",1)</f>
        <v>#REF!</v>
      </c>
      <c r="X1037" s="139" t="e">
        <f>T1.role(W1033&amp;"@"&amp;B1037,"CPD_RESULT","val",1)</f>
        <v>#REF!</v>
      </c>
      <c r="Y1037" s="139" t="e">
        <f>T1.role(W1033&amp;"@"&amp;B1037,"CPD_RESULT","val",1)</f>
        <v>#REF!</v>
      </c>
      <c r="Z1037" s="139" t="e">
        <f>T1.role(W1033&amp;"@"&amp;B1037,"CPD_RESULT","val",1)</f>
        <v>#REF!</v>
      </c>
      <c r="AA1037" s="139" t="e">
        <f>T1.role(AA1033&amp;"@"&amp;B1037,"CPD_RESULT","val",1)</f>
        <v>#REF!</v>
      </c>
      <c r="AB1037" s="139" t="e">
        <f>T1.role(AA1033&amp;"@"&amp;B1037,"CPD_RESULT","val",1)</f>
        <v>#REF!</v>
      </c>
      <c r="AC1037" s="139" t="e">
        <f>T1.role(AA1033&amp;"@"&amp;B1037,"CPD_RESULT","val",1)</f>
        <v>#REF!</v>
      </c>
      <c r="AD1037" s="139" t="e">
        <f>T1.role(AA1033&amp;"@"&amp;B1037,"CPD_RESULT","val",1)</f>
        <v>#REF!</v>
      </c>
      <c r="AE1037" s="139" t="e">
        <f>T1.role(AE1033&amp;"@"&amp;B1037,"CPD_RESULT","val",1)</f>
        <v>#REF!</v>
      </c>
      <c r="AF1037" s="139" t="e">
        <f>T1.role(AE1033&amp;"@"&amp;B1037,"CPD_RESULT","val",1)</f>
        <v>#REF!</v>
      </c>
      <c r="AG1037" s="139" t="e">
        <f>T1.role(AE1033&amp;"@"&amp;B1037,"CPD_RESULT","val",1)</f>
        <v>#REF!</v>
      </c>
      <c r="AH1037" s="139" t="e">
        <f>T1.role(AE1033&amp;"@"&amp;B1037,"CPD_RESULT","val",1)</f>
        <v>#REF!</v>
      </c>
    </row>
    <row r="1038" spans="1:34" ht="11.25" customHeight="1">
      <c r="A1038" s="49"/>
      <c r="B1038" s="139">
        <v>0.6</v>
      </c>
      <c r="C1038" s="139" t="e">
        <f>T1.role(C1033&amp;"@"&amp;B1038,"CPD_RESULT","val",1)</f>
        <v>#REF!</v>
      </c>
      <c r="D1038" s="139" t="e">
        <f>T1.role(C1033&amp;"@"&amp;B1038,"CPD_RESULT","val",2)</f>
        <v>#REF!</v>
      </c>
      <c r="E1038" s="139" t="e">
        <f>T1.role(C1033&amp;"@"&amp;B1038,"CPD_RESULT","val",3)</f>
        <v>#REF!</v>
      </c>
      <c r="F1038" s="139" t="e">
        <f>T1.role(C1033&amp;"@"&amp;B1038,"CPD_RESULT","val",4)</f>
        <v>#REF!</v>
      </c>
      <c r="G1038" s="139" t="e">
        <f>T1.role(G1033&amp;"@"&amp;B1038,"CPD_RESULT","val",1)</f>
        <v>#REF!</v>
      </c>
      <c r="H1038" s="139" t="e">
        <f>T1.role(G1033&amp;"@"&amp;B1038,"CPD_RESULT","val",2)</f>
        <v>#REF!</v>
      </c>
      <c r="I1038" s="139" t="e">
        <f>T1.role(G1033&amp;"@"&amp;B1038,"CPD_RESULT","val",3)</f>
        <v>#REF!</v>
      </c>
      <c r="J1038" s="139" t="e">
        <f>T1.role(G1033&amp;"@"&amp;B1038,"CPD_RESULT","val",4)</f>
        <v>#REF!</v>
      </c>
      <c r="K1038" s="139" t="e">
        <f>T1.role(K1033&amp;"@"&amp;B1038,"CPD_RESULT","val",1)</f>
        <v>#REF!</v>
      </c>
      <c r="L1038" s="139" t="e">
        <f>T1.role(K1033&amp;"@"&amp;B1038,"CPD_RESULT","val",2)</f>
        <v>#REF!</v>
      </c>
      <c r="M1038" s="139" t="e">
        <f>T1.role(K1033&amp;"@"&amp;B1038,"CPD_RESULT","val",3)</f>
        <v>#REF!</v>
      </c>
      <c r="N1038" s="139" t="e">
        <f>T1.role(K1033&amp;"@"&amp;B1038,"CPD_RESULT","val",4)</f>
        <v>#REF!</v>
      </c>
      <c r="O1038" s="139" t="e">
        <f>T1.role(O1033&amp;"@"&amp;B1038,"CPD_RESULT","val",1)</f>
        <v>#REF!</v>
      </c>
      <c r="P1038" s="139" t="e">
        <f>T1.role(O1033&amp;"@"&amp;B1038,"CPD_RESULT","val",2)</f>
        <v>#REF!</v>
      </c>
      <c r="Q1038" s="139" t="e">
        <f>T1.role(O1033&amp;"@"&amp;B1038,"CPD_RESULT","val",3)</f>
        <v>#REF!</v>
      </c>
      <c r="R1038" s="139" t="e">
        <f>T1.role(O1033&amp;"@"&amp;B1038,"CPD_RESULT","val",4)</f>
        <v>#REF!</v>
      </c>
      <c r="S1038" s="139" t="e">
        <f>T1.role(S1033&amp;"@"&amp;B1038,"CPD_RESULT","val",1)</f>
        <v>#REF!</v>
      </c>
      <c r="T1038" s="139" t="e">
        <f>T1.role(S1033&amp;"@"&amp;B1038,"CPD_RESULT","val",1)</f>
        <v>#REF!</v>
      </c>
      <c r="U1038" s="139" t="e">
        <f>T1.role(S1033&amp;"@"&amp;B1038,"CPD_RESULT","val",1)</f>
        <v>#REF!</v>
      </c>
      <c r="V1038" s="139" t="e">
        <f>T1.role(S1033&amp;"@"&amp;B1038,"CPD_RESULT","val",1)</f>
        <v>#REF!</v>
      </c>
      <c r="W1038" s="139" t="e">
        <f>T1.role(W1033&amp;"@"&amp;B1038,"CPD_RESULT","val",1)</f>
        <v>#REF!</v>
      </c>
      <c r="X1038" s="139" t="e">
        <f>T1.role(W1033&amp;"@"&amp;B1038,"CPD_RESULT","val",1)</f>
        <v>#REF!</v>
      </c>
      <c r="Y1038" s="139" t="e">
        <f>T1.role(W1033&amp;"@"&amp;B1038,"CPD_RESULT","val",1)</f>
        <v>#REF!</v>
      </c>
      <c r="Z1038" s="139" t="e">
        <f>T1.role(W1033&amp;"@"&amp;B1038,"CPD_RESULT","val",1)</f>
        <v>#REF!</v>
      </c>
      <c r="AA1038" s="139" t="e">
        <f>T1.role(AA1033&amp;"@"&amp;B1038,"CPD_RESULT","val",1)</f>
        <v>#REF!</v>
      </c>
      <c r="AB1038" s="139" t="e">
        <f>T1.role(AA1033&amp;"@"&amp;B1038,"CPD_RESULT","val",1)</f>
        <v>#REF!</v>
      </c>
      <c r="AC1038" s="139" t="e">
        <f>T1.role(AA1033&amp;"@"&amp;B1038,"CPD_RESULT","val",1)</f>
        <v>#REF!</v>
      </c>
      <c r="AD1038" s="139" t="e">
        <f>T1.role(AA1033&amp;"@"&amp;B1038,"CPD_RESULT","val",1)</f>
        <v>#REF!</v>
      </c>
      <c r="AE1038" s="139" t="e">
        <f>T1.role(AE1033&amp;"@"&amp;B1038,"CPD_RESULT","val",1)</f>
        <v>#REF!</v>
      </c>
      <c r="AF1038" s="139" t="e">
        <f>T1.role(AE1033&amp;"@"&amp;B1038,"CPD_RESULT","val",1)</f>
        <v>#REF!</v>
      </c>
      <c r="AG1038" s="139" t="e">
        <f>T1.role(AE1033&amp;"@"&amp;B1038,"CPD_RESULT","val",1)</f>
        <v>#REF!</v>
      </c>
      <c r="AH1038" s="139" t="e">
        <f>T1.role(AE1033&amp;"@"&amp;B1038,"CPD_RESULT","val",1)</f>
        <v>#REF!</v>
      </c>
    </row>
    <row r="1039" spans="1:34" ht="11.25" customHeight="1">
      <c r="A1039" s="49"/>
      <c r="B1039" s="139">
        <v>0.2</v>
      </c>
      <c r="C1039" s="139" t="e">
        <f>T1.role(C1033&amp;"@"&amp;B1039,"CPD_RESULT","val",1)</f>
        <v>#REF!</v>
      </c>
      <c r="D1039" s="139" t="e">
        <f>T1.role(C1033&amp;"@"&amp;B1039,"CPD_RESULT","val",2)</f>
        <v>#REF!</v>
      </c>
      <c r="E1039" s="139" t="e">
        <f>T1.role(C1033&amp;"@"&amp;B1039,"CPD_RESULT","val",3)</f>
        <v>#REF!</v>
      </c>
      <c r="F1039" s="139" t="e">
        <f>T1.role(C1033&amp;"@"&amp;B1039,"CPD_RESULT","val",4)</f>
        <v>#REF!</v>
      </c>
      <c r="G1039" s="139" t="e">
        <f>T1.role(G1033&amp;"@"&amp;B1039,"CPD_RESULT","val",1)</f>
        <v>#REF!</v>
      </c>
      <c r="H1039" s="139" t="e">
        <f>T1.role(G1033&amp;"@"&amp;B1039,"CPD_RESULT","val",2)</f>
        <v>#REF!</v>
      </c>
      <c r="I1039" s="139" t="e">
        <f>T1.role(G1033&amp;"@"&amp;B1039,"CPD_RESULT","val",3)</f>
        <v>#REF!</v>
      </c>
      <c r="J1039" s="139" t="e">
        <f>T1.role(G1033&amp;"@"&amp;B1039,"CPD_RESULT","val",4)</f>
        <v>#REF!</v>
      </c>
      <c r="K1039" s="139" t="e">
        <f>T1.role(K1033&amp;"@"&amp;B1039,"CPD_RESULT","val",1)</f>
        <v>#REF!</v>
      </c>
      <c r="L1039" s="139" t="e">
        <f>T1.role(K1033&amp;"@"&amp;B1039,"CPD_RESULT","val",2)</f>
        <v>#REF!</v>
      </c>
      <c r="M1039" s="139" t="e">
        <f>T1.role(K1033&amp;"@"&amp;B1039,"CPD_RESULT","val",3)</f>
        <v>#REF!</v>
      </c>
      <c r="N1039" s="139" t="e">
        <f>T1.role(K1033&amp;"@"&amp;B1039,"CPD_RESULT","val",4)</f>
        <v>#REF!</v>
      </c>
      <c r="O1039" s="139" t="e">
        <f>T1.role(O1033&amp;"@"&amp;B1039,"CPD_RESULT","val",1)</f>
        <v>#REF!</v>
      </c>
      <c r="P1039" s="139" t="e">
        <f>T1.role(O1033&amp;"@"&amp;B1039,"CPD_RESULT","val",2)</f>
        <v>#REF!</v>
      </c>
      <c r="Q1039" s="139" t="e">
        <f>T1.role(O1033&amp;"@"&amp;B1039,"CPD_RESULT","val",3)</f>
        <v>#REF!</v>
      </c>
      <c r="R1039" s="139" t="e">
        <f>T1.role(O1033&amp;"@"&amp;B1039,"CPD_RESULT","val",4)</f>
        <v>#REF!</v>
      </c>
      <c r="S1039" s="139" t="e">
        <f>T1.role(S1033&amp;"@"&amp;B1039,"CPD_RESULT","val",1)</f>
        <v>#REF!</v>
      </c>
      <c r="T1039" s="139" t="e">
        <f>T1.role(S1033&amp;"@"&amp;B1039,"CPD_RESULT","val",1)</f>
        <v>#REF!</v>
      </c>
      <c r="U1039" s="139" t="e">
        <f>T1.role(S1033&amp;"@"&amp;B1039,"CPD_RESULT","val",1)</f>
        <v>#REF!</v>
      </c>
      <c r="V1039" s="139" t="e">
        <f>T1.role(S1033&amp;"@"&amp;B1039,"CPD_RESULT","val",1)</f>
        <v>#REF!</v>
      </c>
      <c r="W1039" s="139" t="e">
        <f>T1.role(W1033&amp;"@"&amp;B1039,"CPD_RESULT","val",1)</f>
        <v>#REF!</v>
      </c>
      <c r="X1039" s="139" t="e">
        <f>T1.role(W1033&amp;"@"&amp;B1039,"CPD_RESULT","val",1)</f>
        <v>#REF!</v>
      </c>
      <c r="Y1039" s="139" t="e">
        <f>T1.role(W1033&amp;"@"&amp;B1039,"CPD_RESULT","val",1)</f>
        <v>#REF!</v>
      </c>
      <c r="Z1039" s="139" t="e">
        <f>T1.role(W1033&amp;"@"&amp;B1039,"CPD_RESULT","val",1)</f>
        <v>#REF!</v>
      </c>
      <c r="AA1039" s="139" t="e">
        <f>T1.role(AA1033&amp;"@"&amp;B1039,"CPD_RESULT","val",1)</f>
        <v>#REF!</v>
      </c>
      <c r="AB1039" s="139" t="e">
        <f>T1.role(AA1033&amp;"@"&amp;B1039,"CPD_RESULT","val",1)</f>
        <v>#REF!</v>
      </c>
      <c r="AC1039" s="139" t="e">
        <f>T1.role(AA1033&amp;"@"&amp;B1039,"CPD_RESULT","val",1)</f>
        <v>#REF!</v>
      </c>
      <c r="AD1039" s="139" t="e">
        <f>T1.role(AA1033&amp;"@"&amp;B1039,"CPD_RESULT","val",1)</f>
        <v>#REF!</v>
      </c>
      <c r="AE1039" s="139" t="e">
        <f>T1.role(AE1033&amp;"@"&amp;B1039,"CPD_RESULT","val",1)</f>
        <v>#REF!</v>
      </c>
      <c r="AF1039" s="139" t="e">
        <f>T1.role(AE1033&amp;"@"&amp;B1039,"CPD_RESULT","val",1)</f>
        <v>#REF!</v>
      </c>
      <c r="AG1039" s="139" t="e">
        <f>T1.role(AE1033&amp;"@"&amp;B1039,"CPD_RESULT","val",1)</f>
        <v>#REF!</v>
      </c>
      <c r="AH1039" s="139" t="e">
        <f>T1.role(AE1033&amp;"@"&amp;B1039,"CPD_RESULT","val",1)</f>
        <v>#REF!</v>
      </c>
    </row>
    <row r="1040" spans="1:34" ht="11.25" customHeight="1">
      <c r="A1040" s="49"/>
      <c r="C1040" s="49"/>
      <c r="D1040" s="49"/>
      <c r="E1040" s="49"/>
      <c r="F1040" s="49"/>
      <c r="G1040" s="49"/>
      <c r="H1040" s="49"/>
      <c r="I1040" s="49"/>
      <c r="K1040" s="49"/>
      <c r="L1040" s="49"/>
      <c r="M1040" s="49"/>
      <c r="N1040" s="49"/>
      <c r="O1040" s="49"/>
      <c r="P1040" s="49"/>
      <c r="Q1040" s="49"/>
      <c r="R1040" s="49"/>
      <c r="S1040" s="49"/>
      <c r="T1040" s="49"/>
      <c r="U1040" s="49"/>
      <c r="V1040" s="49"/>
      <c r="W1040" s="49"/>
      <c r="X1040" s="49"/>
      <c r="Y1040" s="49"/>
      <c r="Z1040" s="49"/>
    </row>
    <row r="1041" spans="1:34" ht="11.25" customHeight="1">
      <c r="A1041" s="49"/>
      <c r="B1041" s="39"/>
      <c r="C1041" s="76" t="s">
        <v>3384</v>
      </c>
      <c r="D1041" s="47"/>
      <c r="E1041" s="47"/>
      <c r="F1041" s="140"/>
      <c r="G1041" s="76" t="s">
        <v>460</v>
      </c>
      <c r="H1041" s="47"/>
      <c r="I1041" s="47"/>
      <c r="J1041" s="140"/>
      <c r="K1041" s="76" t="s">
        <v>479</v>
      </c>
      <c r="L1041" s="47"/>
      <c r="M1041" s="47"/>
      <c r="N1041" s="140"/>
      <c r="O1041" s="76" t="s">
        <v>498</v>
      </c>
      <c r="P1041" s="47"/>
      <c r="Q1041" s="47"/>
      <c r="R1041" s="140"/>
      <c r="S1041" s="76" t="s">
        <v>517</v>
      </c>
      <c r="T1041" s="47"/>
      <c r="U1041" s="47"/>
      <c r="V1041" s="140"/>
      <c r="W1041" s="76" t="s">
        <v>536</v>
      </c>
      <c r="X1041" s="47"/>
      <c r="Y1041" s="47"/>
      <c r="Z1041" s="140"/>
      <c r="AA1041" s="76" t="s">
        <v>555</v>
      </c>
      <c r="AB1041" s="47"/>
      <c r="AC1041" s="47"/>
      <c r="AD1041" s="140"/>
      <c r="AE1041" s="76" t="s">
        <v>574</v>
      </c>
      <c r="AF1041" s="47"/>
      <c r="AG1041" s="47"/>
      <c r="AH1041" s="140"/>
    </row>
    <row r="1042" spans="1:34" ht="11.25" customHeight="1">
      <c r="A1042" s="49"/>
      <c r="B1042" s="44"/>
      <c r="C1042" s="76" t="str">
        <f>T1.role(C1041,"cpdid")</f>
        <v/>
      </c>
      <c r="D1042" s="47"/>
      <c r="E1042" s="47"/>
      <c r="F1042" s="140"/>
      <c r="G1042" s="76" t="str">
        <f>T1.role(G1041,"cpdid")</f>
        <v/>
      </c>
      <c r="H1042" s="47"/>
      <c r="I1042" s="47"/>
      <c r="J1042" s="140"/>
      <c r="K1042" s="76" t="str">
        <f>T1.role(K1041,"cpdid")</f>
        <v/>
      </c>
      <c r="L1042" s="47"/>
      <c r="M1042" s="47"/>
      <c r="N1042" s="140"/>
      <c r="O1042" s="76" t="str">
        <f>T1.role(O1041,"cpdid")</f>
        <v/>
      </c>
      <c r="P1042" s="47"/>
      <c r="Q1042" s="47"/>
      <c r="R1042" s="140"/>
      <c r="S1042" s="76" t="str">
        <f>T1.role(S1041,"cpdid")</f>
        <v/>
      </c>
      <c r="T1042" s="47"/>
      <c r="U1042" s="47"/>
      <c r="V1042" s="140"/>
      <c r="W1042" s="76" t="str">
        <f>T1.role(W1041,"cpdid")</f>
        <v/>
      </c>
      <c r="X1042" s="47"/>
      <c r="Y1042" s="47"/>
      <c r="Z1042" s="140"/>
      <c r="AA1042" s="76" t="str">
        <f>T1.role(AA1041,"cpdid")</f>
        <v/>
      </c>
      <c r="AB1042" s="47"/>
      <c r="AC1042" s="47"/>
      <c r="AD1042" s="140"/>
      <c r="AE1042" s="76" t="str">
        <f>T1.role(AE1041,"cpdid")</f>
        <v/>
      </c>
      <c r="AF1042" s="47"/>
      <c r="AG1042" s="47"/>
      <c r="AH1042" s="140"/>
    </row>
    <row r="1043" spans="1:34" ht="11.25" customHeight="1">
      <c r="A1043" s="49"/>
      <c r="B1043" s="139">
        <v>20</v>
      </c>
      <c r="C1043" s="139" t="e">
        <f>T1.role(C1041&amp;"@"&amp;B1043,"CPD_RESULT","val",1)</f>
        <v>#REF!</v>
      </c>
      <c r="D1043" s="139" t="e">
        <f>T1.role(C1041&amp;"@"&amp;B1043,"CPD_RESULT","val",2)</f>
        <v>#REF!</v>
      </c>
      <c r="E1043" s="139" t="e">
        <f>T1.role(C1041&amp;"@"&amp;B1043,"CPD_RESULT","val",3)</f>
        <v>#REF!</v>
      </c>
      <c r="F1043" s="139" t="e">
        <f>T1.role(C1041&amp;"@"&amp;B1043,"CPD_RESULT","val",4)</f>
        <v>#REF!</v>
      </c>
      <c r="G1043" s="139" t="e">
        <f>T1.role(G1041&amp;"@"&amp;B1043,"CPD_RESULT","val",1)</f>
        <v>#REF!</v>
      </c>
      <c r="H1043" s="139" t="e">
        <f>T1.role(G1041&amp;"@"&amp;B1043,"CPD_RESULT","val",2)</f>
        <v>#REF!</v>
      </c>
      <c r="I1043" s="139" t="e">
        <f>T1.role(G1041&amp;"@"&amp;B1043,"CPD_RESULT","val",3)</f>
        <v>#REF!</v>
      </c>
      <c r="J1043" s="139" t="e">
        <f>T1.role(G1041&amp;"@"&amp;B1043,"CPD_RESULT","val",4)</f>
        <v>#REF!</v>
      </c>
      <c r="K1043" s="139" t="e">
        <f>T1.role(K1041&amp;"@"&amp;B1043,"CPD_RESULT","val",1)</f>
        <v>#REF!</v>
      </c>
      <c r="L1043" s="139" t="e">
        <f>T1.role(K1041&amp;"@"&amp;B1043,"CPD_RESULT","val",2)</f>
        <v>#REF!</v>
      </c>
      <c r="M1043" s="139" t="e">
        <f>T1.role(K1041&amp;"@"&amp;B1043,"CPD_RESULT","val",3)</f>
        <v>#REF!</v>
      </c>
      <c r="N1043" s="139" t="e">
        <f>T1.role(K1041&amp;"@"&amp;B1043,"CPD_RESULT","val",4)</f>
        <v>#REF!</v>
      </c>
      <c r="O1043" s="139" t="e">
        <f>T1.role(O1041&amp;"@"&amp;B1043,"CPD_RESULT","val",1)</f>
        <v>#REF!</v>
      </c>
      <c r="P1043" s="139" t="e">
        <f>T1.role(O1041&amp;"@"&amp;B1043,"CPD_RESULT","val",2)</f>
        <v>#REF!</v>
      </c>
      <c r="Q1043" s="139" t="e">
        <f>T1.role(O1041&amp;"@"&amp;B1043,"CPD_RESULT","val",3)</f>
        <v>#REF!</v>
      </c>
      <c r="R1043" s="139" t="e">
        <f>T1.role(O1041&amp;"@"&amp;B1043,"CPD_RESULT","val",4)</f>
        <v>#REF!</v>
      </c>
      <c r="S1043" s="139" t="e">
        <f>T1.role(S1041&amp;"@"&amp;B1043,"CPD_RESULT","val",1)</f>
        <v>#REF!</v>
      </c>
      <c r="T1043" s="139" t="e">
        <f>T1.role(S1041&amp;"@"&amp;B1043,"CPD_RESULT","val",1)</f>
        <v>#REF!</v>
      </c>
      <c r="U1043" s="139" t="e">
        <f>T1.role(S1041&amp;"@"&amp;B1043,"CPD_RESULT","val",1)</f>
        <v>#REF!</v>
      </c>
      <c r="V1043" s="139" t="e">
        <f>T1.role(S1041&amp;"@"&amp;B1043,"CPD_RESULT","val",1)</f>
        <v>#REF!</v>
      </c>
      <c r="W1043" s="139" t="e">
        <f>T1.role(W1041&amp;"@"&amp;B1043,"CPD_RESULT","val",1)</f>
        <v>#REF!</v>
      </c>
      <c r="X1043" s="139" t="e">
        <f>T1.role(W1041&amp;"@"&amp;B1043,"CPD_RESULT","val",1)</f>
        <v>#REF!</v>
      </c>
      <c r="Y1043" s="139" t="e">
        <f>T1.role(W1041&amp;"@"&amp;B1043,"CPD_RESULT","val",1)</f>
        <v>#REF!</v>
      </c>
      <c r="Z1043" s="139" t="e">
        <f>T1.role(W1041&amp;"@"&amp;B1043,"CPD_RESULT","val",1)</f>
        <v>#REF!</v>
      </c>
      <c r="AA1043" s="139" t="e">
        <f>T1.role(AA1041&amp;"@"&amp;B1043,"CPD_RESULT","val",1)</f>
        <v>#REF!</v>
      </c>
      <c r="AB1043" s="139" t="e">
        <f>T1.role(AA1041&amp;"@"&amp;B1043,"CPD_RESULT","val",1)</f>
        <v>#REF!</v>
      </c>
      <c r="AC1043" s="139" t="e">
        <f>T1.role(AA1041&amp;"@"&amp;B1043,"CPD_RESULT","val",1)</f>
        <v>#REF!</v>
      </c>
      <c r="AD1043" s="139" t="e">
        <f>T1.role(AA1041&amp;"@"&amp;B1043,"CPD_RESULT","val",1)</f>
        <v>#REF!</v>
      </c>
      <c r="AE1043" s="139" t="e">
        <f>T1.role(AE1041&amp;"@"&amp;B1043,"CPD_RESULT","val",1)</f>
        <v>#REF!</v>
      </c>
      <c r="AF1043" s="139" t="e">
        <f>T1.role(AE1041&amp;"@"&amp;B1043,"CPD_RESULT","val",1)</f>
        <v>#REF!</v>
      </c>
      <c r="AG1043" s="139" t="e">
        <f>T1.role(AE1041&amp;"@"&amp;B1043,"CPD_RESULT","val",1)</f>
        <v>#REF!</v>
      </c>
      <c r="AH1043" s="139" t="e">
        <f>T1.role(AE1041&amp;"@"&amp;B1043,"CPD_RESULT","val",1)</f>
        <v>#REF!</v>
      </c>
    </row>
    <row r="1044" spans="1:34" ht="11.25" customHeight="1">
      <c r="A1044" s="49"/>
      <c r="B1044" s="139">
        <v>6</v>
      </c>
      <c r="C1044" s="139" t="e">
        <f>T1.role(C1041&amp;"@"&amp;B1044,"CPD_RESULT","val",1)</f>
        <v>#REF!</v>
      </c>
      <c r="D1044" s="139" t="e">
        <f>T1.role(C1041&amp;"@"&amp;B1044,"CPD_RESULT","val",2)</f>
        <v>#REF!</v>
      </c>
      <c r="E1044" s="139" t="e">
        <f>T1.role(C1041&amp;"@"&amp;B1044,"CPD_RESULT","val",3)</f>
        <v>#REF!</v>
      </c>
      <c r="F1044" s="139" t="e">
        <f>T1.role(C1041&amp;"@"&amp;B1044,"CPD_RESULT","val",4)</f>
        <v>#REF!</v>
      </c>
      <c r="G1044" s="139" t="e">
        <f>T1.role(G1041&amp;"@"&amp;B1044,"CPD_RESULT","val",1)</f>
        <v>#REF!</v>
      </c>
      <c r="H1044" s="139" t="e">
        <f>T1.role(G1041&amp;"@"&amp;B1044,"CPD_RESULT","val",2)</f>
        <v>#REF!</v>
      </c>
      <c r="I1044" s="139" t="e">
        <f>T1.role(G1041&amp;"@"&amp;B1044,"CPD_RESULT","val",3)</f>
        <v>#REF!</v>
      </c>
      <c r="J1044" s="139" t="e">
        <f>T1.role(G1041&amp;"@"&amp;B1044,"CPD_RESULT","val",4)</f>
        <v>#REF!</v>
      </c>
      <c r="K1044" s="139" t="e">
        <f>T1.role(K1041&amp;"@"&amp;B1044,"CPD_RESULT","val",1)</f>
        <v>#REF!</v>
      </c>
      <c r="L1044" s="139" t="e">
        <f>T1.role(K1041&amp;"@"&amp;B1044,"CPD_RESULT","val",2)</f>
        <v>#REF!</v>
      </c>
      <c r="M1044" s="139" t="e">
        <f>T1.role(K1041&amp;"@"&amp;B1044,"CPD_RESULT","val",3)</f>
        <v>#REF!</v>
      </c>
      <c r="N1044" s="139" t="e">
        <f>T1.role(K1041&amp;"@"&amp;B1044,"CPD_RESULT","val",4)</f>
        <v>#REF!</v>
      </c>
      <c r="O1044" s="139" t="e">
        <f>T1.role(O1041&amp;"@"&amp;B1044,"CPD_RESULT","val",1)</f>
        <v>#REF!</v>
      </c>
      <c r="P1044" s="139" t="e">
        <f>T1.role(O1041&amp;"@"&amp;B1044,"CPD_RESULT","val",2)</f>
        <v>#REF!</v>
      </c>
      <c r="Q1044" s="139" t="e">
        <f>T1.role(O1041&amp;"@"&amp;B1044,"CPD_RESULT","val",3)</f>
        <v>#REF!</v>
      </c>
      <c r="R1044" s="139" t="e">
        <f>T1.role(O1041&amp;"@"&amp;B1044,"CPD_RESULT","val",4)</f>
        <v>#REF!</v>
      </c>
      <c r="S1044" s="139" t="e">
        <f>T1.role(S1041&amp;"@"&amp;B1044,"CPD_RESULT","val",1)</f>
        <v>#REF!</v>
      </c>
      <c r="T1044" s="139" t="e">
        <f>T1.role(S1041&amp;"@"&amp;B1044,"CPD_RESULT","val",1)</f>
        <v>#REF!</v>
      </c>
      <c r="U1044" s="139" t="e">
        <f>T1.role(S1041&amp;"@"&amp;B1044,"CPD_RESULT","val",1)</f>
        <v>#REF!</v>
      </c>
      <c r="V1044" s="139" t="e">
        <f>T1.role(S1041&amp;"@"&amp;B1044,"CPD_RESULT","val",1)</f>
        <v>#REF!</v>
      </c>
      <c r="W1044" s="139" t="e">
        <f>T1.role(W1041&amp;"@"&amp;B1044,"CPD_RESULT","val",1)</f>
        <v>#REF!</v>
      </c>
      <c r="X1044" s="139" t="e">
        <f>T1.role(W1041&amp;"@"&amp;B1044,"CPD_RESULT","val",1)</f>
        <v>#REF!</v>
      </c>
      <c r="Y1044" s="139" t="e">
        <f>T1.role(W1041&amp;"@"&amp;B1044,"CPD_RESULT","val",1)</f>
        <v>#REF!</v>
      </c>
      <c r="Z1044" s="139" t="e">
        <f>T1.role(W1041&amp;"@"&amp;B1044,"CPD_RESULT","val",1)</f>
        <v>#REF!</v>
      </c>
      <c r="AA1044" s="139" t="e">
        <f>T1.role(AA1041&amp;"@"&amp;B1044,"CPD_RESULT","val",1)</f>
        <v>#REF!</v>
      </c>
      <c r="AB1044" s="139" t="e">
        <f>T1.role(AA1041&amp;"@"&amp;B1044,"CPD_RESULT","val",1)</f>
        <v>#REF!</v>
      </c>
      <c r="AC1044" s="139" t="e">
        <f>T1.role(AA1041&amp;"@"&amp;B1044,"CPD_RESULT","val",1)</f>
        <v>#REF!</v>
      </c>
      <c r="AD1044" s="139" t="e">
        <f>T1.role(AA1041&amp;"@"&amp;B1044,"CPD_RESULT","val",1)</f>
        <v>#REF!</v>
      </c>
      <c r="AE1044" s="139" t="e">
        <f>T1.role(AE1041&amp;"@"&amp;B1044,"CPD_RESULT","val",1)</f>
        <v>#REF!</v>
      </c>
      <c r="AF1044" s="139" t="e">
        <f>T1.role(AE1041&amp;"@"&amp;B1044,"CPD_RESULT","val",1)</f>
        <v>#REF!</v>
      </c>
      <c r="AG1044" s="139" t="e">
        <f>T1.role(AE1041&amp;"@"&amp;B1044,"CPD_RESULT","val",1)</f>
        <v>#REF!</v>
      </c>
      <c r="AH1044" s="139" t="e">
        <f>T1.role(AE1041&amp;"@"&amp;B1044,"CPD_RESULT","val",1)</f>
        <v>#REF!</v>
      </c>
    </row>
    <row r="1045" spans="1:34" ht="11.25" customHeight="1">
      <c r="A1045" s="49"/>
      <c r="B1045" s="139">
        <v>2</v>
      </c>
      <c r="C1045" s="139" t="e">
        <f>T1.role(C1041&amp;"@"&amp;B1045,"CPD_RESULT","val",1)</f>
        <v>#REF!</v>
      </c>
      <c r="D1045" s="139" t="e">
        <f>T1.role(C1041&amp;"@"&amp;B1045,"CPD_RESULT","val",2)</f>
        <v>#REF!</v>
      </c>
      <c r="E1045" s="139" t="e">
        <f>T1.role(C1041&amp;"@"&amp;B1045,"CPD_RESULT","val",3)</f>
        <v>#REF!</v>
      </c>
      <c r="F1045" s="139" t="e">
        <f>T1.role(C1041&amp;"@"&amp;B1045,"CPD_RESULT","val",4)</f>
        <v>#REF!</v>
      </c>
      <c r="G1045" s="139" t="e">
        <f>T1.role(G1041&amp;"@"&amp;B1045,"CPD_RESULT","val",1)</f>
        <v>#REF!</v>
      </c>
      <c r="H1045" s="139" t="e">
        <f>T1.role(G1041&amp;"@"&amp;B1045,"CPD_RESULT","val",2)</f>
        <v>#REF!</v>
      </c>
      <c r="I1045" s="139" t="e">
        <f>T1.role(G1041&amp;"@"&amp;B1045,"CPD_RESULT","val",3)</f>
        <v>#REF!</v>
      </c>
      <c r="J1045" s="139" t="e">
        <f>T1.role(G1041&amp;"@"&amp;B1045,"CPD_RESULT","val",4)</f>
        <v>#REF!</v>
      </c>
      <c r="K1045" s="139" t="e">
        <f>T1.role(K1041&amp;"@"&amp;B1045,"CPD_RESULT","val",1)</f>
        <v>#REF!</v>
      </c>
      <c r="L1045" s="139" t="e">
        <f>T1.role(K1041&amp;"@"&amp;B1045,"CPD_RESULT","val",2)</f>
        <v>#REF!</v>
      </c>
      <c r="M1045" s="139" t="e">
        <f>T1.role(K1041&amp;"@"&amp;B1045,"CPD_RESULT","val",3)</f>
        <v>#REF!</v>
      </c>
      <c r="N1045" s="139" t="e">
        <f>T1.role(K1041&amp;"@"&amp;B1045,"CPD_RESULT","val",4)</f>
        <v>#REF!</v>
      </c>
      <c r="O1045" s="139" t="e">
        <f>T1.role(O1041&amp;"@"&amp;B1045,"CPD_RESULT","val",1)</f>
        <v>#REF!</v>
      </c>
      <c r="P1045" s="139" t="e">
        <f>T1.role(O1041&amp;"@"&amp;B1045,"CPD_RESULT","val",2)</f>
        <v>#REF!</v>
      </c>
      <c r="Q1045" s="139" t="e">
        <f>T1.role(O1041&amp;"@"&amp;B1045,"CPD_RESULT","val",3)</f>
        <v>#REF!</v>
      </c>
      <c r="R1045" s="139" t="e">
        <f>T1.role(O1041&amp;"@"&amp;B1045,"CPD_RESULT","val",4)</f>
        <v>#REF!</v>
      </c>
      <c r="S1045" s="139" t="e">
        <f>T1.role(S1041&amp;"@"&amp;B1045,"CPD_RESULT","val",1)</f>
        <v>#REF!</v>
      </c>
      <c r="T1045" s="139" t="e">
        <f>T1.role(S1041&amp;"@"&amp;B1045,"CPD_RESULT","val",1)</f>
        <v>#REF!</v>
      </c>
      <c r="U1045" s="139" t="e">
        <f>T1.role(S1041&amp;"@"&amp;B1045,"CPD_RESULT","val",1)</f>
        <v>#REF!</v>
      </c>
      <c r="V1045" s="139" t="e">
        <f>T1.role(S1041&amp;"@"&amp;B1045,"CPD_RESULT","val",1)</f>
        <v>#REF!</v>
      </c>
      <c r="W1045" s="139" t="e">
        <f>T1.role(W1041&amp;"@"&amp;B1045,"CPD_RESULT","val",1)</f>
        <v>#REF!</v>
      </c>
      <c r="X1045" s="139" t="e">
        <f>T1.role(W1041&amp;"@"&amp;B1045,"CPD_RESULT","val",1)</f>
        <v>#REF!</v>
      </c>
      <c r="Y1045" s="139" t="e">
        <f>T1.role(W1041&amp;"@"&amp;B1045,"CPD_RESULT","val",1)</f>
        <v>#REF!</v>
      </c>
      <c r="Z1045" s="139" t="e">
        <f>T1.role(W1041&amp;"@"&amp;B1045,"CPD_RESULT","val",1)</f>
        <v>#REF!</v>
      </c>
      <c r="AA1045" s="139" t="e">
        <f>T1.role(AA1041&amp;"@"&amp;B1045,"CPD_RESULT","val",1)</f>
        <v>#REF!</v>
      </c>
      <c r="AB1045" s="139" t="e">
        <f>T1.role(AA1041&amp;"@"&amp;B1045,"CPD_RESULT","val",1)</f>
        <v>#REF!</v>
      </c>
      <c r="AC1045" s="139" t="e">
        <f>T1.role(AA1041&amp;"@"&amp;B1045,"CPD_RESULT","val",1)</f>
        <v>#REF!</v>
      </c>
      <c r="AD1045" s="139" t="e">
        <f>T1.role(AA1041&amp;"@"&amp;B1045,"CPD_RESULT","val",1)</f>
        <v>#REF!</v>
      </c>
      <c r="AE1045" s="139" t="e">
        <f>T1.role(AE1041&amp;"@"&amp;B1045,"CPD_RESULT","val",1)</f>
        <v>#REF!</v>
      </c>
      <c r="AF1045" s="139" t="e">
        <f>T1.role(AE1041&amp;"@"&amp;B1045,"CPD_RESULT","val",1)</f>
        <v>#REF!</v>
      </c>
      <c r="AG1045" s="139" t="e">
        <f>T1.role(AE1041&amp;"@"&amp;B1045,"CPD_RESULT","val",1)</f>
        <v>#REF!</v>
      </c>
      <c r="AH1045" s="139" t="e">
        <f>T1.role(AE1041&amp;"@"&amp;B1045,"CPD_RESULT","val",1)</f>
        <v>#REF!</v>
      </c>
    </row>
    <row r="1046" spans="1:34" ht="11.25" customHeight="1">
      <c r="A1046" s="49"/>
      <c r="B1046" s="139">
        <v>0.6</v>
      </c>
      <c r="C1046" s="139" t="e">
        <f>T1.role(C1041&amp;"@"&amp;B1046,"CPD_RESULT","val",1)</f>
        <v>#REF!</v>
      </c>
      <c r="D1046" s="139" t="e">
        <f>T1.role(C1041&amp;"@"&amp;B1046,"CPD_RESULT","val",2)</f>
        <v>#REF!</v>
      </c>
      <c r="E1046" s="139" t="e">
        <f>T1.role(C1041&amp;"@"&amp;B1046,"CPD_RESULT","val",3)</f>
        <v>#REF!</v>
      </c>
      <c r="F1046" s="139" t="e">
        <f>T1.role(C1041&amp;"@"&amp;B1046,"CPD_RESULT","val",4)</f>
        <v>#REF!</v>
      </c>
      <c r="G1046" s="139" t="e">
        <f>T1.role(G1041&amp;"@"&amp;B1046,"CPD_RESULT","val",1)</f>
        <v>#REF!</v>
      </c>
      <c r="H1046" s="139" t="e">
        <f>T1.role(G1041&amp;"@"&amp;B1046,"CPD_RESULT","val",2)</f>
        <v>#REF!</v>
      </c>
      <c r="I1046" s="139" t="e">
        <f>T1.role(G1041&amp;"@"&amp;B1046,"CPD_RESULT","val",3)</f>
        <v>#REF!</v>
      </c>
      <c r="J1046" s="139" t="e">
        <f>T1.role(G1041&amp;"@"&amp;B1046,"CPD_RESULT","val",4)</f>
        <v>#REF!</v>
      </c>
      <c r="K1046" s="139" t="e">
        <f>T1.role(K1041&amp;"@"&amp;B1046,"CPD_RESULT","val",1)</f>
        <v>#REF!</v>
      </c>
      <c r="L1046" s="139" t="e">
        <f>T1.role(K1041&amp;"@"&amp;B1046,"CPD_RESULT","val",2)</f>
        <v>#REF!</v>
      </c>
      <c r="M1046" s="139" t="e">
        <f>T1.role(K1041&amp;"@"&amp;B1046,"CPD_RESULT","val",3)</f>
        <v>#REF!</v>
      </c>
      <c r="N1046" s="139" t="e">
        <f>T1.role(K1041&amp;"@"&amp;B1046,"CPD_RESULT","val",4)</f>
        <v>#REF!</v>
      </c>
      <c r="O1046" s="139" t="e">
        <f>T1.role(O1041&amp;"@"&amp;B1046,"CPD_RESULT","val",1)</f>
        <v>#REF!</v>
      </c>
      <c r="P1046" s="139" t="e">
        <f>T1.role(O1041&amp;"@"&amp;B1046,"CPD_RESULT","val",2)</f>
        <v>#REF!</v>
      </c>
      <c r="Q1046" s="139" t="e">
        <f>T1.role(O1041&amp;"@"&amp;B1046,"CPD_RESULT","val",3)</f>
        <v>#REF!</v>
      </c>
      <c r="R1046" s="139" t="e">
        <f>T1.role(O1041&amp;"@"&amp;B1046,"CPD_RESULT","val",4)</f>
        <v>#REF!</v>
      </c>
      <c r="S1046" s="139" t="e">
        <f>T1.role(S1041&amp;"@"&amp;B1046,"CPD_RESULT","val",1)</f>
        <v>#REF!</v>
      </c>
      <c r="T1046" s="139" t="e">
        <f>T1.role(S1041&amp;"@"&amp;B1046,"CPD_RESULT","val",1)</f>
        <v>#REF!</v>
      </c>
      <c r="U1046" s="139" t="e">
        <f>T1.role(S1041&amp;"@"&amp;B1046,"CPD_RESULT","val",1)</f>
        <v>#REF!</v>
      </c>
      <c r="V1046" s="139" t="e">
        <f>T1.role(S1041&amp;"@"&amp;B1046,"CPD_RESULT","val",1)</f>
        <v>#REF!</v>
      </c>
      <c r="W1046" s="139" t="e">
        <f>T1.role(W1041&amp;"@"&amp;B1046,"CPD_RESULT","val",1)</f>
        <v>#REF!</v>
      </c>
      <c r="X1046" s="139" t="e">
        <f>T1.role(W1041&amp;"@"&amp;B1046,"CPD_RESULT","val",1)</f>
        <v>#REF!</v>
      </c>
      <c r="Y1046" s="139" t="e">
        <f>T1.role(W1041&amp;"@"&amp;B1046,"CPD_RESULT","val",1)</f>
        <v>#REF!</v>
      </c>
      <c r="Z1046" s="139" t="e">
        <f>T1.role(W1041&amp;"@"&amp;B1046,"CPD_RESULT","val",1)</f>
        <v>#REF!</v>
      </c>
      <c r="AA1046" s="139" t="e">
        <f>T1.role(AA1041&amp;"@"&amp;B1046,"CPD_RESULT","val",1)</f>
        <v>#REF!</v>
      </c>
      <c r="AB1046" s="139" t="e">
        <f>T1.role(AA1041&amp;"@"&amp;B1046,"CPD_RESULT","val",1)</f>
        <v>#REF!</v>
      </c>
      <c r="AC1046" s="139" t="e">
        <f>T1.role(AA1041&amp;"@"&amp;B1046,"CPD_RESULT","val",1)</f>
        <v>#REF!</v>
      </c>
      <c r="AD1046" s="139" t="e">
        <f>T1.role(AA1041&amp;"@"&amp;B1046,"CPD_RESULT","val",1)</f>
        <v>#REF!</v>
      </c>
      <c r="AE1046" s="139" t="e">
        <f>T1.role(AE1041&amp;"@"&amp;B1046,"CPD_RESULT","val",1)</f>
        <v>#REF!</v>
      </c>
      <c r="AF1046" s="139" t="e">
        <f>T1.role(AE1041&amp;"@"&amp;B1046,"CPD_RESULT","val",1)</f>
        <v>#REF!</v>
      </c>
      <c r="AG1046" s="139" t="e">
        <f>T1.role(AE1041&amp;"@"&amp;B1046,"CPD_RESULT","val",1)</f>
        <v>#REF!</v>
      </c>
      <c r="AH1046" s="139" t="e">
        <f>T1.role(AE1041&amp;"@"&amp;B1046,"CPD_RESULT","val",1)</f>
        <v>#REF!</v>
      </c>
    </row>
    <row r="1047" spans="1:34" ht="11.25" customHeight="1">
      <c r="A1047" s="49"/>
      <c r="B1047" s="139">
        <v>0.2</v>
      </c>
      <c r="C1047" s="139" t="e">
        <f>T1.role(C1041&amp;"@"&amp;B1047,"CPD_RESULT","val",1)</f>
        <v>#REF!</v>
      </c>
      <c r="D1047" s="139" t="e">
        <f>T1.role(C1041&amp;"@"&amp;B1047,"CPD_RESULT","val",2)</f>
        <v>#REF!</v>
      </c>
      <c r="E1047" s="139" t="e">
        <f>T1.role(C1041&amp;"@"&amp;B1047,"CPD_RESULT","val",3)</f>
        <v>#REF!</v>
      </c>
      <c r="F1047" s="139" t="e">
        <f>T1.role(C1041&amp;"@"&amp;B1047,"CPD_RESULT","val",4)</f>
        <v>#REF!</v>
      </c>
      <c r="G1047" s="139" t="e">
        <f>T1.role(G1041&amp;"@"&amp;B1047,"CPD_RESULT","val",1)</f>
        <v>#REF!</v>
      </c>
      <c r="H1047" s="139" t="e">
        <f>T1.role(G1041&amp;"@"&amp;B1047,"CPD_RESULT","val",2)</f>
        <v>#REF!</v>
      </c>
      <c r="I1047" s="139" t="e">
        <f>T1.role(G1041&amp;"@"&amp;B1047,"CPD_RESULT","val",3)</f>
        <v>#REF!</v>
      </c>
      <c r="J1047" s="139" t="e">
        <f>T1.role(G1041&amp;"@"&amp;B1047,"CPD_RESULT","val",4)</f>
        <v>#REF!</v>
      </c>
      <c r="K1047" s="139" t="e">
        <f>T1.role(K1041&amp;"@"&amp;B1047,"CPD_RESULT","val",1)</f>
        <v>#REF!</v>
      </c>
      <c r="L1047" s="139" t="e">
        <f>T1.role(K1041&amp;"@"&amp;B1047,"CPD_RESULT","val",2)</f>
        <v>#REF!</v>
      </c>
      <c r="M1047" s="139" t="e">
        <f>T1.role(K1041&amp;"@"&amp;B1047,"CPD_RESULT","val",3)</f>
        <v>#REF!</v>
      </c>
      <c r="N1047" s="139" t="e">
        <f>T1.role(K1041&amp;"@"&amp;B1047,"CPD_RESULT","val",4)</f>
        <v>#REF!</v>
      </c>
      <c r="O1047" s="139" t="e">
        <f>T1.role(O1041&amp;"@"&amp;B1047,"CPD_RESULT","val",1)</f>
        <v>#REF!</v>
      </c>
      <c r="P1047" s="139" t="e">
        <f>T1.role(O1041&amp;"@"&amp;B1047,"CPD_RESULT","val",2)</f>
        <v>#REF!</v>
      </c>
      <c r="Q1047" s="139" t="e">
        <f>T1.role(O1041&amp;"@"&amp;B1047,"CPD_RESULT","val",3)</f>
        <v>#REF!</v>
      </c>
      <c r="R1047" s="139" t="e">
        <f>T1.role(O1041&amp;"@"&amp;B1047,"CPD_RESULT","val",4)</f>
        <v>#REF!</v>
      </c>
      <c r="S1047" s="139" t="e">
        <f>T1.role(S1041&amp;"@"&amp;B1047,"CPD_RESULT","val",1)</f>
        <v>#REF!</v>
      </c>
      <c r="T1047" s="139" t="e">
        <f>T1.role(S1041&amp;"@"&amp;B1047,"CPD_RESULT","val",1)</f>
        <v>#REF!</v>
      </c>
      <c r="U1047" s="139" t="e">
        <f>T1.role(S1041&amp;"@"&amp;B1047,"CPD_RESULT","val",1)</f>
        <v>#REF!</v>
      </c>
      <c r="V1047" s="139" t="e">
        <f>T1.role(S1041&amp;"@"&amp;B1047,"CPD_RESULT","val",1)</f>
        <v>#REF!</v>
      </c>
      <c r="W1047" s="139" t="e">
        <f>T1.role(W1041&amp;"@"&amp;B1047,"CPD_RESULT","val",1)</f>
        <v>#REF!</v>
      </c>
      <c r="X1047" s="139" t="e">
        <f>T1.role(W1041&amp;"@"&amp;B1047,"CPD_RESULT","val",1)</f>
        <v>#REF!</v>
      </c>
      <c r="Y1047" s="139" t="e">
        <f>T1.role(W1041&amp;"@"&amp;B1047,"CPD_RESULT","val",1)</f>
        <v>#REF!</v>
      </c>
      <c r="Z1047" s="139" t="e">
        <f>T1.role(W1041&amp;"@"&amp;B1047,"CPD_RESULT","val",1)</f>
        <v>#REF!</v>
      </c>
      <c r="AA1047" s="139" t="e">
        <f>T1.role(AA1041&amp;"@"&amp;B1047,"CPD_RESULT","val",1)</f>
        <v>#REF!</v>
      </c>
      <c r="AB1047" s="139" t="e">
        <f>T1.role(AA1041&amp;"@"&amp;B1047,"CPD_RESULT","val",1)</f>
        <v>#REF!</v>
      </c>
      <c r="AC1047" s="139" t="e">
        <f>T1.role(AA1041&amp;"@"&amp;B1047,"CPD_RESULT","val",1)</f>
        <v>#REF!</v>
      </c>
      <c r="AD1047" s="139" t="e">
        <f>T1.role(AA1041&amp;"@"&amp;B1047,"CPD_RESULT","val",1)</f>
        <v>#REF!</v>
      </c>
      <c r="AE1047" s="139" t="e">
        <f>T1.role(AE1041&amp;"@"&amp;B1047,"CPD_RESULT","val",1)</f>
        <v>#REF!</v>
      </c>
      <c r="AF1047" s="139" t="e">
        <f>T1.role(AE1041&amp;"@"&amp;B1047,"CPD_RESULT","val",1)</f>
        <v>#REF!</v>
      </c>
      <c r="AG1047" s="139" t="e">
        <f>T1.role(AE1041&amp;"@"&amp;B1047,"CPD_RESULT","val",1)</f>
        <v>#REF!</v>
      </c>
      <c r="AH1047" s="139" t="e">
        <f>T1.role(AE1041&amp;"@"&amp;B1047,"CPD_RESULT","val",1)</f>
        <v>#REF!</v>
      </c>
    </row>
    <row r="1048" spans="1:34" ht="11.25" customHeight="1">
      <c r="A1048" s="49"/>
      <c r="C1048" s="49"/>
      <c r="D1048" s="49"/>
      <c r="E1048" s="49"/>
      <c r="F1048" s="49"/>
      <c r="G1048" s="49"/>
      <c r="H1048" s="49"/>
      <c r="I1048" s="49"/>
      <c r="K1048" s="49"/>
      <c r="L1048" s="49"/>
      <c r="M1048" s="49"/>
      <c r="N1048" s="49"/>
      <c r="O1048" s="49"/>
      <c r="P1048" s="49"/>
      <c r="Q1048" s="49"/>
      <c r="R1048" s="49"/>
      <c r="S1048" s="49"/>
      <c r="T1048" s="49"/>
      <c r="U1048" s="49"/>
      <c r="V1048" s="49"/>
      <c r="W1048" s="49"/>
      <c r="X1048" s="49"/>
      <c r="Y1048" s="49"/>
      <c r="Z1048" s="49"/>
    </row>
    <row r="1049" spans="1:34" ht="11.25" customHeight="1">
      <c r="A1049" s="49"/>
      <c r="B1049" s="39"/>
      <c r="C1049" s="76" t="s">
        <v>3385</v>
      </c>
      <c r="D1049" s="47"/>
      <c r="E1049" s="47"/>
      <c r="F1049" s="140"/>
      <c r="G1049" s="76" t="s">
        <v>610</v>
      </c>
      <c r="H1049" s="47"/>
      <c r="I1049" s="47"/>
      <c r="J1049" s="140"/>
      <c r="K1049" s="76" t="s">
        <v>629</v>
      </c>
      <c r="L1049" s="47"/>
      <c r="M1049" s="47"/>
      <c r="N1049" s="140"/>
      <c r="O1049" s="76" t="s">
        <v>648</v>
      </c>
      <c r="P1049" s="47"/>
      <c r="Q1049" s="47"/>
      <c r="R1049" s="140"/>
      <c r="S1049" s="76" t="s">
        <v>666</v>
      </c>
      <c r="T1049" s="47"/>
      <c r="U1049" s="47"/>
      <c r="V1049" s="140"/>
      <c r="W1049" s="76" t="s">
        <v>685</v>
      </c>
      <c r="X1049" s="47"/>
      <c r="Y1049" s="47"/>
      <c r="Z1049" s="140"/>
      <c r="AA1049" s="76" t="s">
        <v>704</v>
      </c>
      <c r="AB1049" s="47"/>
      <c r="AC1049" s="47"/>
      <c r="AD1049" s="140"/>
      <c r="AE1049" s="76" t="s">
        <v>723</v>
      </c>
      <c r="AF1049" s="47"/>
      <c r="AG1049" s="47"/>
      <c r="AH1049" s="140"/>
    </row>
    <row r="1050" spans="1:34" ht="11.25" customHeight="1">
      <c r="A1050" s="49"/>
      <c r="B1050" s="44"/>
      <c r="C1050" s="76" t="str">
        <f>T1.role(C1049,"cpdid")</f>
        <v/>
      </c>
      <c r="D1050" s="47"/>
      <c r="E1050" s="47"/>
      <c r="F1050" s="140"/>
      <c r="G1050" s="76" t="str">
        <f>T1.role(G1049,"cpdid")</f>
        <v/>
      </c>
      <c r="H1050" s="47"/>
      <c r="I1050" s="47"/>
      <c r="J1050" s="140"/>
      <c r="K1050" s="76" t="str">
        <f>T1.role(K1049,"cpdid")</f>
        <v/>
      </c>
      <c r="L1050" s="47"/>
      <c r="M1050" s="47"/>
      <c r="N1050" s="140"/>
      <c r="O1050" s="76" t="str">
        <f>T1.role(O1049,"cpdid")</f>
        <v/>
      </c>
      <c r="P1050" s="47"/>
      <c r="Q1050" s="47"/>
      <c r="R1050" s="140"/>
      <c r="S1050" s="76" t="str">
        <f>T1.role(S1049,"cpdid")</f>
        <v/>
      </c>
      <c r="T1050" s="47"/>
      <c r="U1050" s="47"/>
      <c r="V1050" s="140"/>
      <c r="W1050" s="76" t="str">
        <f>T1.role(W1049,"cpdid")</f>
        <v/>
      </c>
      <c r="X1050" s="47"/>
      <c r="Y1050" s="47"/>
      <c r="Z1050" s="140"/>
      <c r="AA1050" s="76" t="str">
        <f>T1.role(AA1049,"cpdid")</f>
        <v/>
      </c>
      <c r="AB1050" s="47"/>
      <c r="AC1050" s="47"/>
      <c r="AD1050" s="140"/>
      <c r="AE1050" s="76" t="str">
        <f>T1.role(AE1049,"cpdid")</f>
        <v/>
      </c>
      <c r="AF1050" s="47"/>
      <c r="AG1050" s="47"/>
      <c r="AH1050" s="140"/>
    </row>
    <row r="1051" spans="1:34" ht="11.25" customHeight="1">
      <c r="A1051" s="49"/>
      <c r="B1051" s="139">
        <v>20</v>
      </c>
      <c r="C1051" s="139" t="e">
        <f>T1.role(C1049&amp;"@"&amp;B1051,"CPD_RESULT","val",1)</f>
        <v>#REF!</v>
      </c>
      <c r="D1051" s="139" t="e">
        <f>T1.role(C1049&amp;"@"&amp;B1051,"CPD_RESULT","val",2)</f>
        <v>#REF!</v>
      </c>
      <c r="E1051" s="139" t="e">
        <f>T1.role(C1049&amp;"@"&amp;B1051,"CPD_RESULT","val",3)</f>
        <v>#REF!</v>
      </c>
      <c r="F1051" s="139" t="e">
        <f>T1.role(C1049&amp;"@"&amp;B1051,"CPD_RESULT","val",4)</f>
        <v>#REF!</v>
      </c>
      <c r="G1051" s="139" t="e">
        <f>T1.role(G1049&amp;"@"&amp;B1051,"CPD_RESULT","val",1)</f>
        <v>#REF!</v>
      </c>
      <c r="H1051" s="139" t="e">
        <f>T1.role(G1049&amp;"@"&amp;B1051,"CPD_RESULT","val",2)</f>
        <v>#REF!</v>
      </c>
      <c r="I1051" s="139" t="e">
        <f>T1.role(G1049&amp;"@"&amp;B1051,"CPD_RESULT","val",3)</f>
        <v>#REF!</v>
      </c>
      <c r="J1051" s="139" t="e">
        <f>T1.role(G1049&amp;"@"&amp;B1051,"CPD_RESULT","val",4)</f>
        <v>#REF!</v>
      </c>
      <c r="K1051" s="139" t="e">
        <f>T1.role(K1049&amp;"@"&amp;B1051,"CPD_RESULT","val",1)</f>
        <v>#REF!</v>
      </c>
      <c r="L1051" s="139" t="e">
        <f>T1.role(K1049&amp;"@"&amp;B1051,"CPD_RESULT","val",2)</f>
        <v>#REF!</v>
      </c>
      <c r="M1051" s="139" t="e">
        <f>T1.role(K1049&amp;"@"&amp;B1051,"CPD_RESULT","val",3)</f>
        <v>#REF!</v>
      </c>
      <c r="N1051" s="139" t="e">
        <f>T1.role(K1049&amp;"@"&amp;B1051,"CPD_RESULT","val",4)</f>
        <v>#REF!</v>
      </c>
      <c r="O1051" s="139" t="e">
        <f>T1.role(O1049&amp;"@"&amp;B1051,"CPD_RESULT","val",1)</f>
        <v>#REF!</v>
      </c>
      <c r="P1051" s="139" t="e">
        <f>T1.role(O1049&amp;"@"&amp;B1051,"CPD_RESULT","val",2)</f>
        <v>#REF!</v>
      </c>
      <c r="Q1051" s="139" t="e">
        <f>T1.role(O1049&amp;"@"&amp;B1051,"CPD_RESULT","val",3)</f>
        <v>#REF!</v>
      </c>
      <c r="R1051" s="139" t="e">
        <f>T1.role(O1049&amp;"@"&amp;B1051,"CPD_RESULT","val",4)</f>
        <v>#REF!</v>
      </c>
      <c r="S1051" s="139" t="e">
        <f>T1.role(S1049&amp;"@"&amp;B1051,"CPD_RESULT","val",1)</f>
        <v>#REF!</v>
      </c>
      <c r="T1051" s="139" t="e">
        <f>T1.role(S1049&amp;"@"&amp;B1051,"CPD_RESULT","val",1)</f>
        <v>#REF!</v>
      </c>
      <c r="U1051" s="139" t="e">
        <f>T1.role(S1049&amp;"@"&amp;B1051,"CPD_RESULT","val",1)</f>
        <v>#REF!</v>
      </c>
      <c r="V1051" s="139" t="e">
        <f>T1.role(S1049&amp;"@"&amp;B1051,"CPD_RESULT","val",1)</f>
        <v>#REF!</v>
      </c>
      <c r="W1051" s="139" t="e">
        <f>T1.role(W1049&amp;"@"&amp;B1051,"CPD_RESULT","val",1)</f>
        <v>#REF!</v>
      </c>
      <c r="X1051" s="139" t="e">
        <f>T1.role(W1049&amp;"@"&amp;B1051,"CPD_RESULT","val",1)</f>
        <v>#REF!</v>
      </c>
      <c r="Y1051" s="139" t="e">
        <f>T1.role(W1049&amp;"@"&amp;B1051,"CPD_RESULT","val",1)</f>
        <v>#REF!</v>
      </c>
      <c r="Z1051" s="139" t="e">
        <f>T1.role(W1049&amp;"@"&amp;B1051,"CPD_RESULT","val",1)</f>
        <v>#REF!</v>
      </c>
      <c r="AA1051" s="139" t="e">
        <f>T1.role(AA1049&amp;"@"&amp;B1051,"CPD_RESULT","val",1)</f>
        <v>#REF!</v>
      </c>
      <c r="AB1051" s="139" t="e">
        <f>T1.role(AA1049&amp;"@"&amp;B1051,"CPD_RESULT","val",1)</f>
        <v>#REF!</v>
      </c>
      <c r="AC1051" s="139" t="e">
        <f>T1.role(AA1049&amp;"@"&amp;B1051,"CPD_RESULT","val",1)</f>
        <v>#REF!</v>
      </c>
      <c r="AD1051" s="139" t="e">
        <f>T1.role(AA1049&amp;"@"&amp;B1051,"CPD_RESULT","val",1)</f>
        <v>#REF!</v>
      </c>
      <c r="AE1051" s="139" t="e">
        <f>T1.role(AE1049&amp;"@"&amp;B1051,"CPD_RESULT","val",1)</f>
        <v>#REF!</v>
      </c>
      <c r="AF1051" s="139" t="e">
        <f>T1.role(AE1049&amp;"@"&amp;B1051,"CPD_RESULT","val",1)</f>
        <v>#REF!</v>
      </c>
      <c r="AG1051" s="139" t="e">
        <f>T1.role(AE1049&amp;"@"&amp;B1051,"CPD_RESULT","val",1)</f>
        <v>#REF!</v>
      </c>
      <c r="AH1051" s="139" t="e">
        <f>T1.role(AE1049&amp;"@"&amp;B1051,"CPD_RESULT","val",1)</f>
        <v>#REF!</v>
      </c>
    </row>
    <row r="1052" spans="1:34" ht="11.25" customHeight="1">
      <c r="A1052" s="49"/>
      <c r="B1052" s="139">
        <v>6</v>
      </c>
      <c r="C1052" s="139" t="e">
        <f>T1.role(C1049&amp;"@"&amp;B1052,"CPD_RESULT","val",1)</f>
        <v>#REF!</v>
      </c>
      <c r="D1052" s="139" t="e">
        <f>T1.role(C1049&amp;"@"&amp;B1052,"CPD_RESULT","val",2)</f>
        <v>#REF!</v>
      </c>
      <c r="E1052" s="139" t="e">
        <f>T1.role(C1049&amp;"@"&amp;B1052,"CPD_RESULT","val",3)</f>
        <v>#REF!</v>
      </c>
      <c r="F1052" s="139" t="e">
        <f>T1.role(C1049&amp;"@"&amp;B1052,"CPD_RESULT","val",4)</f>
        <v>#REF!</v>
      </c>
      <c r="G1052" s="139" t="e">
        <f>T1.role(G1049&amp;"@"&amp;B1052,"CPD_RESULT","val",1)</f>
        <v>#REF!</v>
      </c>
      <c r="H1052" s="139" t="e">
        <f>T1.role(G1049&amp;"@"&amp;B1052,"CPD_RESULT","val",2)</f>
        <v>#REF!</v>
      </c>
      <c r="I1052" s="139" t="e">
        <f>T1.role(G1049&amp;"@"&amp;B1052,"CPD_RESULT","val",3)</f>
        <v>#REF!</v>
      </c>
      <c r="J1052" s="139" t="e">
        <f>T1.role(G1049&amp;"@"&amp;B1052,"CPD_RESULT","val",4)</f>
        <v>#REF!</v>
      </c>
      <c r="K1052" s="139" t="e">
        <f>T1.role(K1049&amp;"@"&amp;B1052,"CPD_RESULT","val",1)</f>
        <v>#REF!</v>
      </c>
      <c r="L1052" s="139" t="e">
        <f>T1.role(K1049&amp;"@"&amp;B1052,"CPD_RESULT","val",2)</f>
        <v>#REF!</v>
      </c>
      <c r="M1052" s="139" t="e">
        <f>T1.role(K1049&amp;"@"&amp;B1052,"CPD_RESULT","val",3)</f>
        <v>#REF!</v>
      </c>
      <c r="N1052" s="139" t="e">
        <f>T1.role(K1049&amp;"@"&amp;B1052,"CPD_RESULT","val",4)</f>
        <v>#REF!</v>
      </c>
      <c r="O1052" s="139" t="e">
        <f>T1.role(O1049&amp;"@"&amp;B1052,"CPD_RESULT","val",1)</f>
        <v>#REF!</v>
      </c>
      <c r="P1052" s="139" t="e">
        <f>T1.role(O1049&amp;"@"&amp;B1052,"CPD_RESULT","val",2)</f>
        <v>#REF!</v>
      </c>
      <c r="Q1052" s="139" t="e">
        <f>T1.role(O1049&amp;"@"&amp;B1052,"CPD_RESULT","val",3)</f>
        <v>#REF!</v>
      </c>
      <c r="R1052" s="139" t="e">
        <f>T1.role(O1049&amp;"@"&amp;B1052,"CPD_RESULT","val",4)</f>
        <v>#REF!</v>
      </c>
      <c r="S1052" s="139" t="e">
        <f>T1.role(S1049&amp;"@"&amp;B1052,"CPD_RESULT","val",1)</f>
        <v>#REF!</v>
      </c>
      <c r="T1052" s="139" t="e">
        <f>T1.role(S1049&amp;"@"&amp;B1052,"CPD_RESULT","val",1)</f>
        <v>#REF!</v>
      </c>
      <c r="U1052" s="139" t="e">
        <f>T1.role(S1049&amp;"@"&amp;B1052,"CPD_RESULT","val",1)</f>
        <v>#REF!</v>
      </c>
      <c r="V1052" s="139" t="e">
        <f>T1.role(S1049&amp;"@"&amp;B1052,"CPD_RESULT","val",1)</f>
        <v>#REF!</v>
      </c>
      <c r="W1052" s="139" t="e">
        <f>T1.role(W1049&amp;"@"&amp;B1052,"CPD_RESULT","val",1)</f>
        <v>#REF!</v>
      </c>
      <c r="X1052" s="139" t="e">
        <f>T1.role(W1049&amp;"@"&amp;B1052,"CPD_RESULT","val",1)</f>
        <v>#REF!</v>
      </c>
      <c r="Y1052" s="139" t="e">
        <f>T1.role(W1049&amp;"@"&amp;B1052,"CPD_RESULT","val",1)</f>
        <v>#REF!</v>
      </c>
      <c r="Z1052" s="139" t="e">
        <f>T1.role(W1049&amp;"@"&amp;B1052,"CPD_RESULT","val",1)</f>
        <v>#REF!</v>
      </c>
      <c r="AA1052" s="139" t="e">
        <f>T1.role(AA1049&amp;"@"&amp;B1052,"CPD_RESULT","val",1)</f>
        <v>#REF!</v>
      </c>
      <c r="AB1052" s="139" t="e">
        <f>T1.role(AA1049&amp;"@"&amp;B1052,"CPD_RESULT","val",1)</f>
        <v>#REF!</v>
      </c>
      <c r="AC1052" s="139" t="e">
        <f>T1.role(AA1049&amp;"@"&amp;B1052,"CPD_RESULT","val",1)</f>
        <v>#REF!</v>
      </c>
      <c r="AD1052" s="139" t="e">
        <f>T1.role(AA1049&amp;"@"&amp;B1052,"CPD_RESULT","val",1)</f>
        <v>#REF!</v>
      </c>
      <c r="AE1052" s="139" t="e">
        <f>T1.role(AE1049&amp;"@"&amp;B1052,"CPD_RESULT","val",1)</f>
        <v>#REF!</v>
      </c>
      <c r="AF1052" s="139" t="e">
        <f>T1.role(AE1049&amp;"@"&amp;B1052,"CPD_RESULT","val",1)</f>
        <v>#REF!</v>
      </c>
      <c r="AG1052" s="139" t="e">
        <f>T1.role(AE1049&amp;"@"&amp;B1052,"CPD_RESULT","val",1)</f>
        <v>#REF!</v>
      </c>
      <c r="AH1052" s="139" t="e">
        <f>T1.role(AE1049&amp;"@"&amp;B1052,"CPD_RESULT","val",1)</f>
        <v>#REF!</v>
      </c>
    </row>
    <row r="1053" spans="1:34" ht="11.25" customHeight="1">
      <c r="A1053" s="49"/>
      <c r="B1053" s="139">
        <v>2</v>
      </c>
      <c r="C1053" s="139" t="e">
        <f>T1.role(C1049&amp;"@"&amp;B1053,"CPD_RESULT","val",1)</f>
        <v>#REF!</v>
      </c>
      <c r="D1053" s="139" t="e">
        <f>T1.role(C1049&amp;"@"&amp;B1053,"CPD_RESULT","val",2)</f>
        <v>#REF!</v>
      </c>
      <c r="E1053" s="139" t="e">
        <f>T1.role(C1049&amp;"@"&amp;B1053,"CPD_RESULT","val",3)</f>
        <v>#REF!</v>
      </c>
      <c r="F1053" s="139" t="e">
        <f>T1.role(C1049&amp;"@"&amp;B1053,"CPD_RESULT","val",4)</f>
        <v>#REF!</v>
      </c>
      <c r="G1053" s="139" t="e">
        <f>T1.role(G1049&amp;"@"&amp;B1053,"CPD_RESULT","val",1)</f>
        <v>#REF!</v>
      </c>
      <c r="H1053" s="139" t="e">
        <f>T1.role(G1049&amp;"@"&amp;B1053,"CPD_RESULT","val",2)</f>
        <v>#REF!</v>
      </c>
      <c r="I1053" s="139" t="e">
        <f>T1.role(G1049&amp;"@"&amp;B1053,"CPD_RESULT","val",3)</f>
        <v>#REF!</v>
      </c>
      <c r="J1053" s="139" t="e">
        <f>T1.role(G1049&amp;"@"&amp;B1053,"CPD_RESULT","val",4)</f>
        <v>#REF!</v>
      </c>
      <c r="K1053" s="139" t="e">
        <f>T1.role(K1049&amp;"@"&amp;B1053,"CPD_RESULT","val",1)</f>
        <v>#REF!</v>
      </c>
      <c r="L1053" s="139" t="e">
        <f>T1.role(K1049&amp;"@"&amp;B1053,"CPD_RESULT","val",2)</f>
        <v>#REF!</v>
      </c>
      <c r="M1053" s="139" t="e">
        <f>T1.role(K1049&amp;"@"&amp;B1053,"CPD_RESULT","val",3)</f>
        <v>#REF!</v>
      </c>
      <c r="N1053" s="139" t="e">
        <f>T1.role(K1049&amp;"@"&amp;B1053,"CPD_RESULT","val",4)</f>
        <v>#REF!</v>
      </c>
      <c r="O1053" s="139" t="e">
        <f>T1.role(O1049&amp;"@"&amp;B1053,"CPD_RESULT","val",1)</f>
        <v>#REF!</v>
      </c>
      <c r="P1053" s="139" t="e">
        <f>T1.role(O1049&amp;"@"&amp;B1053,"CPD_RESULT","val",2)</f>
        <v>#REF!</v>
      </c>
      <c r="Q1053" s="139" t="e">
        <f>T1.role(O1049&amp;"@"&amp;B1053,"CPD_RESULT","val",3)</f>
        <v>#REF!</v>
      </c>
      <c r="R1053" s="139" t="e">
        <f>T1.role(O1049&amp;"@"&amp;B1053,"CPD_RESULT","val",4)</f>
        <v>#REF!</v>
      </c>
      <c r="S1053" s="139" t="e">
        <f>T1.role(S1049&amp;"@"&amp;B1053,"CPD_RESULT","val",1)</f>
        <v>#REF!</v>
      </c>
      <c r="T1053" s="139" t="e">
        <f>T1.role(S1049&amp;"@"&amp;B1053,"CPD_RESULT","val",1)</f>
        <v>#REF!</v>
      </c>
      <c r="U1053" s="139" t="e">
        <f>T1.role(S1049&amp;"@"&amp;B1053,"CPD_RESULT","val",1)</f>
        <v>#REF!</v>
      </c>
      <c r="V1053" s="139" t="e">
        <f>T1.role(S1049&amp;"@"&amp;B1053,"CPD_RESULT","val",1)</f>
        <v>#REF!</v>
      </c>
      <c r="W1053" s="139" t="e">
        <f>T1.role(W1049&amp;"@"&amp;B1053,"CPD_RESULT","val",1)</f>
        <v>#REF!</v>
      </c>
      <c r="X1053" s="139" t="e">
        <f>T1.role(W1049&amp;"@"&amp;B1053,"CPD_RESULT","val",1)</f>
        <v>#REF!</v>
      </c>
      <c r="Y1053" s="139" t="e">
        <f>T1.role(W1049&amp;"@"&amp;B1053,"CPD_RESULT","val",1)</f>
        <v>#REF!</v>
      </c>
      <c r="Z1053" s="139" t="e">
        <f>T1.role(W1049&amp;"@"&amp;B1053,"CPD_RESULT","val",1)</f>
        <v>#REF!</v>
      </c>
      <c r="AA1053" s="139" t="e">
        <f>T1.role(AA1049&amp;"@"&amp;B1053,"CPD_RESULT","val",1)</f>
        <v>#REF!</v>
      </c>
      <c r="AB1053" s="139" t="e">
        <f>T1.role(AA1049&amp;"@"&amp;B1053,"CPD_RESULT","val",1)</f>
        <v>#REF!</v>
      </c>
      <c r="AC1053" s="139" t="e">
        <f>T1.role(AA1049&amp;"@"&amp;B1053,"CPD_RESULT","val",1)</f>
        <v>#REF!</v>
      </c>
      <c r="AD1053" s="139" t="e">
        <f>T1.role(AA1049&amp;"@"&amp;B1053,"CPD_RESULT","val",1)</f>
        <v>#REF!</v>
      </c>
      <c r="AE1053" s="139" t="e">
        <f>T1.role(AE1049&amp;"@"&amp;B1053,"CPD_RESULT","val",1)</f>
        <v>#REF!</v>
      </c>
      <c r="AF1053" s="139" t="e">
        <f>T1.role(AE1049&amp;"@"&amp;B1053,"CPD_RESULT","val",1)</f>
        <v>#REF!</v>
      </c>
      <c r="AG1053" s="139" t="e">
        <f>T1.role(AE1049&amp;"@"&amp;B1053,"CPD_RESULT","val",1)</f>
        <v>#REF!</v>
      </c>
      <c r="AH1053" s="139" t="e">
        <f>T1.role(AE1049&amp;"@"&amp;B1053,"CPD_RESULT","val",1)</f>
        <v>#REF!</v>
      </c>
    </row>
    <row r="1054" spans="1:34" ht="11.25" customHeight="1">
      <c r="A1054" s="49"/>
      <c r="B1054" s="139">
        <v>0.6</v>
      </c>
      <c r="C1054" s="139" t="e">
        <f>T1.role(C1049&amp;"@"&amp;B1054,"CPD_RESULT","val",1)</f>
        <v>#REF!</v>
      </c>
      <c r="D1054" s="139" t="e">
        <f>T1.role(C1049&amp;"@"&amp;B1054,"CPD_RESULT","val",2)</f>
        <v>#REF!</v>
      </c>
      <c r="E1054" s="139" t="e">
        <f>T1.role(C1049&amp;"@"&amp;B1054,"CPD_RESULT","val",3)</f>
        <v>#REF!</v>
      </c>
      <c r="F1054" s="139" t="e">
        <f>T1.role(C1049&amp;"@"&amp;B1054,"CPD_RESULT","val",4)</f>
        <v>#REF!</v>
      </c>
      <c r="G1054" s="139" t="e">
        <f>T1.role(G1049&amp;"@"&amp;B1054,"CPD_RESULT","val",1)</f>
        <v>#REF!</v>
      </c>
      <c r="H1054" s="139" t="e">
        <f>T1.role(G1049&amp;"@"&amp;B1054,"CPD_RESULT","val",2)</f>
        <v>#REF!</v>
      </c>
      <c r="I1054" s="139" t="e">
        <f>T1.role(G1049&amp;"@"&amp;B1054,"CPD_RESULT","val",3)</f>
        <v>#REF!</v>
      </c>
      <c r="J1054" s="139" t="e">
        <f>T1.role(G1049&amp;"@"&amp;B1054,"CPD_RESULT","val",4)</f>
        <v>#REF!</v>
      </c>
      <c r="K1054" s="139" t="e">
        <f>T1.role(K1049&amp;"@"&amp;B1054,"CPD_RESULT","val",1)</f>
        <v>#REF!</v>
      </c>
      <c r="L1054" s="139" t="e">
        <f>T1.role(K1049&amp;"@"&amp;B1054,"CPD_RESULT","val",2)</f>
        <v>#REF!</v>
      </c>
      <c r="M1054" s="139" t="e">
        <f>T1.role(K1049&amp;"@"&amp;B1054,"CPD_RESULT","val",3)</f>
        <v>#REF!</v>
      </c>
      <c r="N1054" s="139" t="e">
        <f>T1.role(K1049&amp;"@"&amp;B1054,"CPD_RESULT","val",4)</f>
        <v>#REF!</v>
      </c>
      <c r="O1054" s="139" t="e">
        <f>T1.role(O1049&amp;"@"&amp;B1054,"CPD_RESULT","val",1)</f>
        <v>#REF!</v>
      </c>
      <c r="P1054" s="139" t="e">
        <f>T1.role(O1049&amp;"@"&amp;B1054,"CPD_RESULT","val",2)</f>
        <v>#REF!</v>
      </c>
      <c r="Q1054" s="139" t="e">
        <f>T1.role(O1049&amp;"@"&amp;B1054,"CPD_RESULT","val",3)</f>
        <v>#REF!</v>
      </c>
      <c r="R1054" s="139" t="e">
        <f>T1.role(O1049&amp;"@"&amp;B1054,"CPD_RESULT","val",4)</f>
        <v>#REF!</v>
      </c>
      <c r="S1054" s="139" t="e">
        <f>T1.role(S1049&amp;"@"&amp;B1054,"CPD_RESULT","val",1)</f>
        <v>#REF!</v>
      </c>
      <c r="T1054" s="139" t="e">
        <f>T1.role(S1049&amp;"@"&amp;B1054,"CPD_RESULT","val",1)</f>
        <v>#REF!</v>
      </c>
      <c r="U1054" s="139" t="e">
        <f>T1.role(S1049&amp;"@"&amp;B1054,"CPD_RESULT","val",1)</f>
        <v>#REF!</v>
      </c>
      <c r="V1054" s="139" t="e">
        <f>T1.role(S1049&amp;"@"&amp;B1054,"CPD_RESULT","val",1)</f>
        <v>#REF!</v>
      </c>
      <c r="W1054" s="139" t="e">
        <f>T1.role(W1049&amp;"@"&amp;B1054,"CPD_RESULT","val",1)</f>
        <v>#REF!</v>
      </c>
      <c r="X1054" s="139" t="e">
        <f>T1.role(W1049&amp;"@"&amp;B1054,"CPD_RESULT","val",1)</f>
        <v>#REF!</v>
      </c>
      <c r="Y1054" s="139" t="e">
        <f>T1.role(W1049&amp;"@"&amp;B1054,"CPD_RESULT","val",1)</f>
        <v>#REF!</v>
      </c>
      <c r="Z1054" s="139" t="e">
        <f>T1.role(W1049&amp;"@"&amp;B1054,"CPD_RESULT","val",1)</f>
        <v>#REF!</v>
      </c>
      <c r="AA1054" s="139" t="e">
        <f>T1.role(AA1049&amp;"@"&amp;B1054,"CPD_RESULT","val",1)</f>
        <v>#REF!</v>
      </c>
      <c r="AB1054" s="139" t="e">
        <f>T1.role(AA1049&amp;"@"&amp;B1054,"CPD_RESULT","val",1)</f>
        <v>#REF!</v>
      </c>
      <c r="AC1054" s="139" t="e">
        <f>T1.role(AA1049&amp;"@"&amp;B1054,"CPD_RESULT","val",1)</f>
        <v>#REF!</v>
      </c>
      <c r="AD1054" s="139" t="e">
        <f>T1.role(AA1049&amp;"@"&amp;B1054,"CPD_RESULT","val",1)</f>
        <v>#REF!</v>
      </c>
      <c r="AE1054" s="139" t="e">
        <f>T1.role(AE1049&amp;"@"&amp;B1054,"CPD_RESULT","val",1)</f>
        <v>#REF!</v>
      </c>
      <c r="AF1054" s="139" t="e">
        <f>T1.role(AE1049&amp;"@"&amp;B1054,"CPD_RESULT","val",1)</f>
        <v>#REF!</v>
      </c>
      <c r="AG1054" s="139" t="e">
        <f>T1.role(AE1049&amp;"@"&amp;B1054,"CPD_RESULT","val",1)</f>
        <v>#REF!</v>
      </c>
      <c r="AH1054" s="139" t="e">
        <f>T1.role(AE1049&amp;"@"&amp;B1054,"CPD_RESULT","val",1)</f>
        <v>#REF!</v>
      </c>
    </row>
    <row r="1055" spans="1:34" ht="11.25" customHeight="1">
      <c r="A1055" s="49"/>
      <c r="B1055" s="139">
        <v>0.2</v>
      </c>
      <c r="C1055" s="139" t="e">
        <f>T1.role(C1049&amp;"@"&amp;B1055,"CPD_RESULT","val",1)</f>
        <v>#REF!</v>
      </c>
      <c r="D1055" s="139" t="e">
        <f>T1.role(C1049&amp;"@"&amp;B1055,"CPD_RESULT","val",2)</f>
        <v>#REF!</v>
      </c>
      <c r="E1055" s="139" t="e">
        <f>T1.role(C1049&amp;"@"&amp;B1055,"CPD_RESULT","val",3)</f>
        <v>#REF!</v>
      </c>
      <c r="F1055" s="139" t="e">
        <f>T1.role(C1049&amp;"@"&amp;B1055,"CPD_RESULT","val",4)</f>
        <v>#REF!</v>
      </c>
      <c r="G1055" s="139" t="e">
        <f>T1.role(G1049&amp;"@"&amp;B1055,"CPD_RESULT","val",1)</f>
        <v>#REF!</v>
      </c>
      <c r="H1055" s="139" t="e">
        <f>T1.role(G1049&amp;"@"&amp;B1055,"CPD_RESULT","val",2)</f>
        <v>#REF!</v>
      </c>
      <c r="I1055" s="139" t="e">
        <f>T1.role(G1049&amp;"@"&amp;B1055,"CPD_RESULT","val",3)</f>
        <v>#REF!</v>
      </c>
      <c r="J1055" s="139" t="e">
        <f>T1.role(G1049&amp;"@"&amp;B1055,"CPD_RESULT","val",4)</f>
        <v>#REF!</v>
      </c>
      <c r="K1055" s="139" t="e">
        <f>T1.role(K1049&amp;"@"&amp;B1055,"CPD_RESULT","val",1)</f>
        <v>#REF!</v>
      </c>
      <c r="L1055" s="139" t="e">
        <f>T1.role(K1049&amp;"@"&amp;B1055,"CPD_RESULT","val",2)</f>
        <v>#REF!</v>
      </c>
      <c r="M1055" s="139" t="e">
        <f>T1.role(K1049&amp;"@"&amp;B1055,"CPD_RESULT","val",3)</f>
        <v>#REF!</v>
      </c>
      <c r="N1055" s="139" t="e">
        <f>T1.role(K1049&amp;"@"&amp;B1055,"CPD_RESULT","val",4)</f>
        <v>#REF!</v>
      </c>
      <c r="O1055" s="139" t="e">
        <f>T1.role(O1049&amp;"@"&amp;B1055,"CPD_RESULT","val",1)</f>
        <v>#REF!</v>
      </c>
      <c r="P1055" s="139" t="e">
        <f>T1.role(O1049&amp;"@"&amp;B1055,"CPD_RESULT","val",2)</f>
        <v>#REF!</v>
      </c>
      <c r="Q1055" s="139" t="e">
        <f>T1.role(O1049&amp;"@"&amp;B1055,"CPD_RESULT","val",3)</f>
        <v>#REF!</v>
      </c>
      <c r="R1055" s="139" t="e">
        <f>T1.role(O1049&amp;"@"&amp;B1055,"CPD_RESULT","val",4)</f>
        <v>#REF!</v>
      </c>
      <c r="S1055" s="139" t="e">
        <f>T1.role(S1049&amp;"@"&amp;B1055,"CPD_RESULT","val",1)</f>
        <v>#REF!</v>
      </c>
      <c r="T1055" s="139" t="e">
        <f>T1.role(S1049&amp;"@"&amp;B1055,"CPD_RESULT","val",1)</f>
        <v>#REF!</v>
      </c>
      <c r="U1055" s="139" t="e">
        <f>T1.role(S1049&amp;"@"&amp;B1055,"CPD_RESULT","val",1)</f>
        <v>#REF!</v>
      </c>
      <c r="V1055" s="139" t="e">
        <f>T1.role(S1049&amp;"@"&amp;B1055,"CPD_RESULT","val",1)</f>
        <v>#REF!</v>
      </c>
      <c r="W1055" s="139" t="e">
        <f>T1.role(W1049&amp;"@"&amp;B1055,"CPD_RESULT","val",1)</f>
        <v>#REF!</v>
      </c>
      <c r="X1055" s="139" t="e">
        <f>T1.role(W1049&amp;"@"&amp;B1055,"CPD_RESULT","val",1)</f>
        <v>#REF!</v>
      </c>
      <c r="Y1055" s="139" t="e">
        <f>T1.role(W1049&amp;"@"&amp;B1055,"CPD_RESULT","val",1)</f>
        <v>#REF!</v>
      </c>
      <c r="Z1055" s="139" t="e">
        <f>T1.role(W1049&amp;"@"&amp;B1055,"CPD_RESULT","val",1)</f>
        <v>#REF!</v>
      </c>
      <c r="AA1055" s="139" t="e">
        <f>T1.role(AA1049&amp;"@"&amp;B1055,"CPD_RESULT","val",1)</f>
        <v>#REF!</v>
      </c>
      <c r="AB1055" s="139" t="e">
        <f>T1.role(AA1049&amp;"@"&amp;B1055,"CPD_RESULT","val",1)</f>
        <v>#REF!</v>
      </c>
      <c r="AC1055" s="139" t="e">
        <f>T1.role(AA1049&amp;"@"&amp;B1055,"CPD_RESULT","val",1)</f>
        <v>#REF!</v>
      </c>
      <c r="AD1055" s="139" t="e">
        <f>T1.role(AA1049&amp;"@"&amp;B1055,"CPD_RESULT","val",1)</f>
        <v>#REF!</v>
      </c>
      <c r="AE1055" s="139" t="e">
        <f>T1.role(AE1049&amp;"@"&amp;B1055,"CPD_RESULT","val",1)</f>
        <v>#REF!</v>
      </c>
      <c r="AF1055" s="139" t="e">
        <f>T1.role(AE1049&amp;"@"&amp;B1055,"CPD_RESULT","val",1)</f>
        <v>#REF!</v>
      </c>
      <c r="AG1055" s="139" t="e">
        <f>T1.role(AE1049&amp;"@"&amp;B1055,"CPD_RESULT","val",1)</f>
        <v>#REF!</v>
      </c>
      <c r="AH1055" s="139" t="e">
        <f>T1.role(AE1049&amp;"@"&amp;B1055,"CPD_RESULT","val",1)</f>
        <v>#REF!</v>
      </c>
    </row>
    <row r="1056" spans="1:34" ht="11.25" customHeight="1">
      <c r="A1056" s="49"/>
      <c r="C1056" s="49"/>
      <c r="D1056" s="49"/>
      <c r="E1056" s="49"/>
      <c r="F1056" s="49"/>
      <c r="G1056" s="49"/>
      <c r="H1056" s="49"/>
      <c r="I1056" s="49"/>
      <c r="K1056" s="49"/>
      <c r="L1056" s="49"/>
      <c r="M1056" s="49"/>
      <c r="N1056" s="49"/>
      <c r="O1056" s="49"/>
      <c r="P1056" s="49"/>
      <c r="Q1056" s="49"/>
      <c r="R1056" s="49"/>
      <c r="S1056" s="49"/>
      <c r="T1056" s="49"/>
      <c r="U1056" s="49"/>
      <c r="V1056" s="49"/>
      <c r="W1056" s="49"/>
      <c r="X1056" s="49"/>
      <c r="Y1056" s="49"/>
      <c r="Z1056" s="49"/>
    </row>
    <row r="1057" spans="1:34" ht="11.25" customHeight="1">
      <c r="A1057" s="49"/>
      <c r="B1057" s="39"/>
      <c r="C1057" s="76" t="s">
        <v>3386</v>
      </c>
      <c r="D1057" s="47"/>
      <c r="E1057" s="47"/>
      <c r="F1057" s="140"/>
      <c r="G1057" s="76" t="s">
        <v>461</v>
      </c>
      <c r="H1057" s="47"/>
      <c r="I1057" s="47"/>
      <c r="J1057" s="140"/>
      <c r="K1057" s="76" t="s">
        <v>480</v>
      </c>
      <c r="L1057" s="47"/>
      <c r="M1057" s="47"/>
      <c r="N1057" s="140"/>
      <c r="O1057" s="76" t="s">
        <v>499</v>
      </c>
      <c r="P1057" s="47"/>
      <c r="Q1057" s="47"/>
      <c r="R1057" s="140"/>
      <c r="S1057" s="76" t="s">
        <v>518</v>
      </c>
      <c r="T1057" s="47"/>
      <c r="U1057" s="47"/>
      <c r="V1057" s="140"/>
      <c r="W1057" s="76" t="s">
        <v>537</v>
      </c>
      <c r="X1057" s="47"/>
      <c r="Y1057" s="47"/>
      <c r="Z1057" s="140"/>
      <c r="AA1057" s="76" t="s">
        <v>556</v>
      </c>
      <c r="AB1057" s="47"/>
      <c r="AC1057" s="47"/>
      <c r="AD1057" s="140"/>
      <c r="AE1057" s="76" t="s">
        <v>575</v>
      </c>
      <c r="AF1057" s="47"/>
      <c r="AG1057" s="47"/>
      <c r="AH1057" s="140"/>
    </row>
    <row r="1058" spans="1:34" ht="11.25" customHeight="1">
      <c r="A1058" s="49"/>
      <c r="B1058" s="44"/>
      <c r="C1058" s="76" t="str">
        <f>T1.role(C1057,"cpdid")</f>
        <v/>
      </c>
      <c r="D1058" s="47"/>
      <c r="E1058" s="47"/>
      <c r="F1058" s="140"/>
      <c r="G1058" s="76" t="str">
        <f>T1.role(G1057,"cpdid")</f>
        <v/>
      </c>
      <c r="H1058" s="47"/>
      <c r="I1058" s="47"/>
      <c r="J1058" s="140"/>
      <c r="K1058" s="76" t="str">
        <f>T1.role(K1057,"cpdid")</f>
        <v/>
      </c>
      <c r="L1058" s="47"/>
      <c r="M1058" s="47"/>
      <c r="N1058" s="140"/>
      <c r="O1058" s="76" t="str">
        <f>T1.role(O1057,"cpdid")</f>
        <v/>
      </c>
      <c r="P1058" s="47"/>
      <c r="Q1058" s="47"/>
      <c r="R1058" s="140"/>
      <c r="S1058" s="76" t="str">
        <f>T1.role(S1057,"cpdid")</f>
        <v/>
      </c>
      <c r="T1058" s="47"/>
      <c r="U1058" s="47"/>
      <c r="V1058" s="140"/>
      <c r="W1058" s="76" t="str">
        <f>T1.role(W1057,"cpdid")</f>
        <v/>
      </c>
      <c r="X1058" s="47"/>
      <c r="Y1058" s="47"/>
      <c r="Z1058" s="140"/>
      <c r="AA1058" s="76" t="str">
        <f>T1.role(AA1057,"cpdid")</f>
        <v/>
      </c>
      <c r="AB1058" s="47"/>
      <c r="AC1058" s="47"/>
      <c r="AD1058" s="140"/>
      <c r="AE1058" s="76" t="str">
        <f>T1.role(AE1057,"cpdid")</f>
        <v/>
      </c>
      <c r="AF1058" s="47"/>
      <c r="AG1058" s="47"/>
      <c r="AH1058" s="140"/>
    </row>
    <row r="1059" spans="1:34" ht="11.25" customHeight="1">
      <c r="A1059" s="49"/>
      <c r="B1059" s="139">
        <v>20</v>
      </c>
      <c r="C1059" s="139" t="e">
        <f>T1.role(C1057&amp;"@"&amp;B1059,"CPD_RESULT","val",1)</f>
        <v>#REF!</v>
      </c>
      <c r="D1059" s="139" t="e">
        <f>T1.role(C1057&amp;"@"&amp;B1059,"CPD_RESULT","val",2)</f>
        <v>#REF!</v>
      </c>
      <c r="E1059" s="139" t="e">
        <f>T1.role(C1057&amp;"@"&amp;B1059,"CPD_RESULT","val",3)</f>
        <v>#REF!</v>
      </c>
      <c r="F1059" s="139" t="e">
        <f>T1.role(C1057&amp;"@"&amp;B1059,"CPD_RESULT","val",4)</f>
        <v>#REF!</v>
      </c>
      <c r="G1059" s="139" t="e">
        <f>T1.role(G1057&amp;"@"&amp;B1059,"CPD_RESULT","val",1)</f>
        <v>#REF!</v>
      </c>
      <c r="H1059" s="139" t="e">
        <f>T1.role(G1057&amp;"@"&amp;B1059,"CPD_RESULT","val",2)</f>
        <v>#REF!</v>
      </c>
      <c r="I1059" s="139" t="e">
        <f>T1.role(G1057&amp;"@"&amp;B1059,"CPD_RESULT","val",3)</f>
        <v>#REF!</v>
      </c>
      <c r="J1059" s="139" t="e">
        <f>T1.role(G1057&amp;"@"&amp;B1059,"CPD_RESULT","val",4)</f>
        <v>#REF!</v>
      </c>
      <c r="K1059" s="139" t="e">
        <f>T1.role(K1057&amp;"@"&amp;B1059,"CPD_RESULT","val",1)</f>
        <v>#REF!</v>
      </c>
      <c r="L1059" s="139" t="e">
        <f>T1.role(K1057&amp;"@"&amp;B1059,"CPD_RESULT","val",2)</f>
        <v>#REF!</v>
      </c>
      <c r="M1059" s="139" t="e">
        <f>T1.role(K1057&amp;"@"&amp;B1059,"CPD_RESULT","val",3)</f>
        <v>#REF!</v>
      </c>
      <c r="N1059" s="139" t="e">
        <f>T1.role(K1057&amp;"@"&amp;B1059,"CPD_RESULT","val",4)</f>
        <v>#REF!</v>
      </c>
      <c r="O1059" s="139" t="e">
        <f>T1.role(O1057&amp;"@"&amp;B1059,"CPD_RESULT","val",1)</f>
        <v>#REF!</v>
      </c>
      <c r="P1059" s="139" t="e">
        <f>T1.role(O1057&amp;"@"&amp;B1059,"CPD_RESULT","val",2)</f>
        <v>#REF!</v>
      </c>
      <c r="Q1059" s="139" t="e">
        <f>T1.role(O1057&amp;"@"&amp;B1059,"CPD_RESULT","val",3)</f>
        <v>#REF!</v>
      </c>
      <c r="R1059" s="139" t="e">
        <f>T1.role(O1057&amp;"@"&amp;B1059,"CPD_RESULT","val",4)</f>
        <v>#REF!</v>
      </c>
      <c r="S1059" s="139" t="e">
        <f>T1.role(S1057&amp;"@"&amp;B1059,"CPD_RESULT","val",1)</f>
        <v>#REF!</v>
      </c>
      <c r="T1059" s="139" t="e">
        <f>T1.role(S1057&amp;"@"&amp;B1059,"CPD_RESULT","val",1)</f>
        <v>#REF!</v>
      </c>
      <c r="U1059" s="139" t="e">
        <f>T1.role(S1057&amp;"@"&amp;B1059,"CPD_RESULT","val",1)</f>
        <v>#REF!</v>
      </c>
      <c r="V1059" s="139" t="e">
        <f>T1.role(S1057&amp;"@"&amp;B1059,"CPD_RESULT","val",1)</f>
        <v>#REF!</v>
      </c>
      <c r="W1059" s="139" t="e">
        <f>T1.role(W1057&amp;"@"&amp;B1059,"CPD_RESULT","val",1)</f>
        <v>#REF!</v>
      </c>
      <c r="X1059" s="139" t="e">
        <f>T1.role(W1057&amp;"@"&amp;B1059,"CPD_RESULT","val",1)</f>
        <v>#REF!</v>
      </c>
      <c r="Y1059" s="139" t="e">
        <f>T1.role(W1057&amp;"@"&amp;B1059,"CPD_RESULT","val",1)</f>
        <v>#REF!</v>
      </c>
      <c r="Z1059" s="139" t="e">
        <f>T1.role(W1057&amp;"@"&amp;B1059,"CPD_RESULT","val",1)</f>
        <v>#REF!</v>
      </c>
      <c r="AA1059" s="139" t="e">
        <f>T1.role(AA1057&amp;"@"&amp;B1059,"CPD_RESULT","val",1)</f>
        <v>#REF!</v>
      </c>
      <c r="AB1059" s="139" t="e">
        <f>T1.role(AA1057&amp;"@"&amp;B1059,"CPD_RESULT","val",1)</f>
        <v>#REF!</v>
      </c>
      <c r="AC1059" s="139" t="e">
        <f>T1.role(AA1057&amp;"@"&amp;B1059,"CPD_RESULT","val",1)</f>
        <v>#REF!</v>
      </c>
      <c r="AD1059" s="139" t="e">
        <f>T1.role(AA1057&amp;"@"&amp;B1059,"CPD_RESULT","val",1)</f>
        <v>#REF!</v>
      </c>
      <c r="AE1059" s="139" t="e">
        <f>T1.role(AE1057&amp;"@"&amp;B1059,"CPD_RESULT","val",1)</f>
        <v>#REF!</v>
      </c>
      <c r="AF1059" s="139" t="e">
        <f>T1.role(AE1057&amp;"@"&amp;B1059,"CPD_RESULT","val",1)</f>
        <v>#REF!</v>
      </c>
      <c r="AG1059" s="139" t="e">
        <f>T1.role(AE1057&amp;"@"&amp;B1059,"CPD_RESULT","val",1)</f>
        <v>#REF!</v>
      </c>
      <c r="AH1059" s="139" t="e">
        <f>T1.role(AE1057&amp;"@"&amp;B1059,"CPD_RESULT","val",1)</f>
        <v>#REF!</v>
      </c>
    </row>
    <row r="1060" spans="1:34" ht="11.25" customHeight="1">
      <c r="A1060" s="49"/>
      <c r="B1060" s="139">
        <v>6</v>
      </c>
      <c r="C1060" s="139" t="e">
        <f>T1.role(C1057&amp;"@"&amp;B1060,"CPD_RESULT","val",1)</f>
        <v>#REF!</v>
      </c>
      <c r="D1060" s="139" t="e">
        <f>T1.role(C1057&amp;"@"&amp;B1060,"CPD_RESULT","val",2)</f>
        <v>#REF!</v>
      </c>
      <c r="E1060" s="139" t="e">
        <f>T1.role(C1057&amp;"@"&amp;B1060,"CPD_RESULT","val",3)</f>
        <v>#REF!</v>
      </c>
      <c r="F1060" s="139" t="e">
        <f>T1.role(C1057&amp;"@"&amp;B1060,"CPD_RESULT","val",4)</f>
        <v>#REF!</v>
      </c>
      <c r="G1060" s="139" t="e">
        <f>T1.role(G1057&amp;"@"&amp;B1060,"CPD_RESULT","val",1)</f>
        <v>#REF!</v>
      </c>
      <c r="H1060" s="139" t="e">
        <f>T1.role(G1057&amp;"@"&amp;B1060,"CPD_RESULT","val",2)</f>
        <v>#REF!</v>
      </c>
      <c r="I1060" s="139" t="e">
        <f>T1.role(G1057&amp;"@"&amp;B1060,"CPD_RESULT","val",3)</f>
        <v>#REF!</v>
      </c>
      <c r="J1060" s="139" t="e">
        <f>T1.role(G1057&amp;"@"&amp;B1060,"CPD_RESULT","val",4)</f>
        <v>#REF!</v>
      </c>
      <c r="K1060" s="139" t="e">
        <f>T1.role(K1057&amp;"@"&amp;B1060,"CPD_RESULT","val",1)</f>
        <v>#REF!</v>
      </c>
      <c r="L1060" s="139" t="e">
        <f>T1.role(K1057&amp;"@"&amp;B1060,"CPD_RESULT","val",2)</f>
        <v>#REF!</v>
      </c>
      <c r="M1060" s="139" t="e">
        <f>T1.role(K1057&amp;"@"&amp;B1060,"CPD_RESULT","val",3)</f>
        <v>#REF!</v>
      </c>
      <c r="N1060" s="139" t="e">
        <f>T1.role(K1057&amp;"@"&amp;B1060,"CPD_RESULT","val",4)</f>
        <v>#REF!</v>
      </c>
      <c r="O1060" s="139" t="e">
        <f>T1.role(O1057&amp;"@"&amp;B1060,"CPD_RESULT","val",1)</f>
        <v>#REF!</v>
      </c>
      <c r="P1060" s="139" t="e">
        <f>T1.role(O1057&amp;"@"&amp;B1060,"CPD_RESULT","val",2)</f>
        <v>#REF!</v>
      </c>
      <c r="Q1060" s="139" t="e">
        <f>T1.role(O1057&amp;"@"&amp;B1060,"CPD_RESULT","val",3)</f>
        <v>#REF!</v>
      </c>
      <c r="R1060" s="139" t="e">
        <f>T1.role(O1057&amp;"@"&amp;B1060,"CPD_RESULT","val",4)</f>
        <v>#REF!</v>
      </c>
      <c r="S1060" s="139" t="e">
        <f>T1.role(S1057&amp;"@"&amp;B1060,"CPD_RESULT","val",1)</f>
        <v>#REF!</v>
      </c>
      <c r="T1060" s="139" t="e">
        <f>T1.role(S1057&amp;"@"&amp;B1060,"CPD_RESULT","val",1)</f>
        <v>#REF!</v>
      </c>
      <c r="U1060" s="139" t="e">
        <f>T1.role(S1057&amp;"@"&amp;B1060,"CPD_RESULT","val",1)</f>
        <v>#REF!</v>
      </c>
      <c r="V1060" s="139" t="e">
        <f>T1.role(S1057&amp;"@"&amp;B1060,"CPD_RESULT","val",1)</f>
        <v>#REF!</v>
      </c>
      <c r="W1060" s="139" t="e">
        <f>T1.role(W1057&amp;"@"&amp;B1060,"CPD_RESULT","val",1)</f>
        <v>#REF!</v>
      </c>
      <c r="X1060" s="139" t="e">
        <f>T1.role(W1057&amp;"@"&amp;B1060,"CPD_RESULT","val",1)</f>
        <v>#REF!</v>
      </c>
      <c r="Y1060" s="139" t="e">
        <f>T1.role(W1057&amp;"@"&amp;B1060,"CPD_RESULT","val",1)</f>
        <v>#REF!</v>
      </c>
      <c r="Z1060" s="139" t="e">
        <f>T1.role(W1057&amp;"@"&amp;B1060,"CPD_RESULT","val",1)</f>
        <v>#REF!</v>
      </c>
      <c r="AA1060" s="139" t="e">
        <f>T1.role(AA1057&amp;"@"&amp;B1060,"CPD_RESULT","val",1)</f>
        <v>#REF!</v>
      </c>
      <c r="AB1060" s="139" t="e">
        <f>T1.role(AA1057&amp;"@"&amp;B1060,"CPD_RESULT","val",1)</f>
        <v>#REF!</v>
      </c>
      <c r="AC1060" s="139" t="e">
        <f>T1.role(AA1057&amp;"@"&amp;B1060,"CPD_RESULT","val",1)</f>
        <v>#REF!</v>
      </c>
      <c r="AD1060" s="139" t="e">
        <f>T1.role(AA1057&amp;"@"&amp;B1060,"CPD_RESULT","val",1)</f>
        <v>#REF!</v>
      </c>
      <c r="AE1060" s="139" t="e">
        <f>T1.role(AE1057&amp;"@"&amp;B1060,"CPD_RESULT","val",1)</f>
        <v>#REF!</v>
      </c>
      <c r="AF1060" s="139" t="e">
        <f>T1.role(AE1057&amp;"@"&amp;B1060,"CPD_RESULT","val",1)</f>
        <v>#REF!</v>
      </c>
      <c r="AG1060" s="139" t="e">
        <f>T1.role(AE1057&amp;"@"&amp;B1060,"CPD_RESULT","val",1)</f>
        <v>#REF!</v>
      </c>
      <c r="AH1060" s="139" t="e">
        <f>T1.role(AE1057&amp;"@"&amp;B1060,"CPD_RESULT","val",1)</f>
        <v>#REF!</v>
      </c>
    </row>
    <row r="1061" spans="1:34" ht="11.25" customHeight="1">
      <c r="A1061" s="49"/>
      <c r="B1061" s="139">
        <v>2</v>
      </c>
      <c r="C1061" s="139" t="e">
        <f>T1.role(C1057&amp;"@"&amp;B1061,"CPD_RESULT","val",1)</f>
        <v>#REF!</v>
      </c>
      <c r="D1061" s="139" t="e">
        <f>T1.role(C1057&amp;"@"&amp;B1061,"CPD_RESULT","val",2)</f>
        <v>#REF!</v>
      </c>
      <c r="E1061" s="139" t="e">
        <f>T1.role(C1057&amp;"@"&amp;B1061,"CPD_RESULT","val",3)</f>
        <v>#REF!</v>
      </c>
      <c r="F1061" s="139" t="e">
        <f>T1.role(C1057&amp;"@"&amp;B1061,"CPD_RESULT","val",4)</f>
        <v>#REF!</v>
      </c>
      <c r="G1061" s="139" t="e">
        <f>T1.role(G1057&amp;"@"&amp;B1061,"CPD_RESULT","val",1)</f>
        <v>#REF!</v>
      </c>
      <c r="H1061" s="139" t="e">
        <f>T1.role(G1057&amp;"@"&amp;B1061,"CPD_RESULT","val",2)</f>
        <v>#REF!</v>
      </c>
      <c r="I1061" s="139" t="e">
        <f>T1.role(G1057&amp;"@"&amp;B1061,"CPD_RESULT","val",3)</f>
        <v>#REF!</v>
      </c>
      <c r="J1061" s="139" t="e">
        <f>T1.role(G1057&amp;"@"&amp;B1061,"CPD_RESULT","val",4)</f>
        <v>#REF!</v>
      </c>
      <c r="K1061" s="139" t="e">
        <f>T1.role(K1057&amp;"@"&amp;B1061,"CPD_RESULT","val",1)</f>
        <v>#REF!</v>
      </c>
      <c r="L1061" s="139" t="e">
        <f>T1.role(K1057&amp;"@"&amp;B1061,"CPD_RESULT","val",2)</f>
        <v>#REF!</v>
      </c>
      <c r="M1061" s="139" t="e">
        <f>T1.role(K1057&amp;"@"&amp;B1061,"CPD_RESULT","val",3)</f>
        <v>#REF!</v>
      </c>
      <c r="N1061" s="139" t="e">
        <f>T1.role(K1057&amp;"@"&amp;B1061,"CPD_RESULT","val",4)</f>
        <v>#REF!</v>
      </c>
      <c r="O1061" s="139" t="e">
        <f>T1.role(O1057&amp;"@"&amp;B1061,"CPD_RESULT","val",1)</f>
        <v>#REF!</v>
      </c>
      <c r="P1061" s="139" t="e">
        <f>T1.role(O1057&amp;"@"&amp;B1061,"CPD_RESULT","val",2)</f>
        <v>#REF!</v>
      </c>
      <c r="Q1061" s="139" t="e">
        <f>T1.role(O1057&amp;"@"&amp;B1061,"CPD_RESULT","val",3)</f>
        <v>#REF!</v>
      </c>
      <c r="R1061" s="139" t="e">
        <f>T1.role(O1057&amp;"@"&amp;B1061,"CPD_RESULT","val",4)</f>
        <v>#REF!</v>
      </c>
      <c r="S1061" s="139" t="e">
        <f>T1.role(S1057&amp;"@"&amp;B1061,"CPD_RESULT","val",1)</f>
        <v>#REF!</v>
      </c>
      <c r="T1061" s="139" t="e">
        <f>T1.role(S1057&amp;"@"&amp;B1061,"CPD_RESULT","val",1)</f>
        <v>#REF!</v>
      </c>
      <c r="U1061" s="139" t="e">
        <f>T1.role(S1057&amp;"@"&amp;B1061,"CPD_RESULT","val",1)</f>
        <v>#REF!</v>
      </c>
      <c r="V1061" s="139" t="e">
        <f>T1.role(S1057&amp;"@"&amp;B1061,"CPD_RESULT","val",1)</f>
        <v>#REF!</v>
      </c>
      <c r="W1061" s="139" t="e">
        <f>T1.role(W1057&amp;"@"&amp;B1061,"CPD_RESULT","val",1)</f>
        <v>#REF!</v>
      </c>
      <c r="X1061" s="139" t="e">
        <f>T1.role(W1057&amp;"@"&amp;B1061,"CPD_RESULT","val",1)</f>
        <v>#REF!</v>
      </c>
      <c r="Y1061" s="139" t="e">
        <f>T1.role(W1057&amp;"@"&amp;B1061,"CPD_RESULT","val",1)</f>
        <v>#REF!</v>
      </c>
      <c r="Z1061" s="139" t="e">
        <f>T1.role(W1057&amp;"@"&amp;B1061,"CPD_RESULT","val",1)</f>
        <v>#REF!</v>
      </c>
      <c r="AA1061" s="139" t="e">
        <f>T1.role(AA1057&amp;"@"&amp;B1061,"CPD_RESULT","val",1)</f>
        <v>#REF!</v>
      </c>
      <c r="AB1061" s="139" t="e">
        <f>T1.role(AA1057&amp;"@"&amp;B1061,"CPD_RESULT","val",1)</f>
        <v>#REF!</v>
      </c>
      <c r="AC1061" s="139" t="e">
        <f>T1.role(AA1057&amp;"@"&amp;B1061,"CPD_RESULT","val",1)</f>
        <v>#REF!</v>
      </c>
      <c r="AD1061" s="139" t="e">
        <f>T1.role(AA1057&amp;"@"&amp;B1061,"CPD_RESULT","val",1)</f>
        <v>#REF!</v>
      </c>
      <c r="AE1061" s="139" t="e">
        <f>T1.role(AE1057&amp;"@"&amp;B1061,"CPD_RESULT","val",1)</f>
        <v>#REF!</v>
      </c>
      <c r="AF1061" s="139" t="e">
        <f>T1.role(AE1057&amp;"@"&amp;B1061,"CPD_RESULT","val",1)</f>
        <v>#REF!</v>
      </c>
      <c r="AG1061" s="139" t="e">
        <f>T1.role(AE1057&amp;"@"&amp;B1061,"CPD_RESULT","val",1)</f>
        <v>#REF!</v>
      </c>
      <c r="AH1061" s="139" t="e">
        <f>T1.role(AE1057&amp;"@"&amp;B1061,"CPD_RESULT","val",1)</f>
        <v>#REF!</v>
      </c>
    </row>
    <row r="1062" spans="1:34" ht="11.25" customHeight="1">
      <c r="A1062" s="49"/>
      <c r="B1062" s="139">
        <v>0.6</v>
      </c>
      <c r="C1062" s="139" t="e">
        <f>T1.role(C1057&amp;"@"&amp;B1062,"CPD_RESULT","val",1)</f>
        <v>#REF!</v>
      </c>
      <c r="D1062" s="139" t="e">
        <f>T1.role(C1057&amp;"@"&amp;B1062,"CPD_RESULT","val",2)</f>
        <v>#REF!</v>
      </c>
      <c r="E1062" s="139" t="e">
        <f>T1.role(C1057&amp;"@"&amp;B1062,"CPD_RESULT","val",3)</f>
        <v>#REF!</v>
      </c>
      <c r="F1062" s="139" t="e">
        <f>T1.role(C1057&amp;"@"&amp;B1062,"CPD_RESULT","val",4)</f>
        <v>#REF!</v>
      </c>
      <c r="G1062" s="139" t="e">
        <f>T1.role(G1057&amp;"@"&amp;B1062,"CPD_RESULT","val",1)</f>
        <v>#REF!</v>
      </c>
      <c r="H1062" s="139" t="e">
        <f>T1.role(G1057&amp;"@"&amp;B1062,"CPD_RESULT","val",2)</f>
        <v>#REF!</v>
      </c>
      <c r="I1062" s="139" t="e">
        <f>T1.role(G1057&amp;"@"&amp;B1062,"CPD_RESULT","val",3)</f>
        <v>#REF!</v>
      </c>
      <c r="J1062" s="139" t="e">
        <f>T1.role(G1057&amp;"@"&amp;B1062,"CPD_RESULT","val",4)</f>
        <v>#REF!</v>
      </c>
      <c r="K1062" s="139" t="e">
        <f>T1.role(K1057&amp;"@"&amp;B1062,"CPD_RESULT","val",1)</f>
        <v>#REF!</v>
      </c>
      <c r="L1062" s="139" t="e">
        <f>T1.role(K1057&amp;"@"&amp;B1062,"CPD_RESULT","val",2)</f>
        <v>#REF!</v>
      </c>
      <c r="M1062" s="139" t="e">
        <f>T1.role(K1057&amp;"@"&amp;B1062,"CPD_RESULT","val",3)</f>
        <v>#REF!</v>
      </c>
      <c r="N1062" s="139" t="e">
        <f>T1.role(K1057&amp;"@"&amp;B1062,"CPD_RESULT","val",4)</f>
        <v>#REF!</v>
      </c>
      <c r="O1062" s="139" t="e">
        <f>T1.role(O1057&amp;"@"&amp;B1062,"CPD_RESULT","val",1)</f>
        <v>#REF!</v>
      </c>
      <c r="P1062" s="139" t="e">
        <f>T1.role(O1057&amp;"@"&amp;B1062,"CPD_RESULT","val",2)</f>
        <v>#REF!</v>
      </c>
      <c r="Q1062" s="139" t="e">
        <f>T1.role(O1057&amp;"@"&amp;B1062,"CPD_RESULT","val",3)</f>
        <v>#REF!</v>
      </c>
      <c r="R1062" s="139" t="e">
        <f>T1.role(O1057&amp;"@"&amp;B1062,"CPD_RESULT","val",4)</f>
        <v>#REF!</v>
      </c>
      <c r="S1062" s="139" t="e">
        <f>T1.role(S1057&amp;"@"&amp;B1062,"CPD_RESULT","val",1)</f>
        <v>#REF!</v>
      </c>
      <c r="T1062" s="139" t="e">
        <f>T1.role(S1057&amp;"@"&amp;B1062,"CPD_RESULT","val",1)</f>
        <v>#REF!</v>
      </c>
      <c r="U1062" s="139" t="e">
        <f>T1.role(S1057&amp;"@"&amp;B1062,"CPD_RESULT","val",1)</f>
        <v>#REF!</v>
      </c>
      <c r="V1062" s="139" t="e">
        <f>T1.role(S1057&amp;"@"&amp;B1062,"CPD_RESULT","val",1)</f>
        <v>#REF!</v>
      </c>
      <c r="W1062" s="139" t="e">
        <f>T1.role(W1057&amp;"@"&amp;B1062,"CPD_RESULT","val",1)</f>
        <v>#REF!</v>
      </c>
      <c r="X1062" s="139" t="e">
        <f>T1.role(W1057&amp;"@"&amp;B1062,"CPD_RESULT","val",1)</f>
        <v>#REF!</v>
      </c>
      <c r="Y1062" s="139" t="e">
        <f>T1.role(W1057&amp;"@"&amp;B1062,"CPD_RESULT","val",1)</f>
        <v>#REF!</v>
      </c>
      <c r="Z1062" s="139" t="e">
        <f>T1.role(W1057&amp;"@"&amp;B1062,"CPD_RESULT","val",1)</f>
        <v>#REF!</v>
      </c>
      <c r="AA1062" s="139" t="e">
        <f>T1.role(AA1057&amp;"@"&amp;B1062,"CPD_RESULT","val",1)</f>
        <v>#REF!</v>
      </c>
      <c r="AB1062" s="139" t="e">
        <f>T1.role(AA1057&amp;"@"&amp;B1062,"CPD_RESULT","val",1)</f>
        <v>#REF!</v>
      </c>
      <c r="AC1062" s="139" t="e">
        <f>T1.role(AA1057&amp;"@"&amp;B1062,"CPD_RESULT","val",1)</f>
        <v>#REF!</v>
      </c>
      <c r="AD1062" s="139" t="e">
        <f>T1.role(AA1057&amp;"@"&amp;B1062,"CPD_RESULT","val",1)</f>
        <v>#REF!</v>
      </c>
      <c r="AE1062" s="139" t="e">
        <f>T1.role(AE1057&amp;"@"&amp;B1062,"CPD_RESULT","val",1)</f>
        <v>#REF!</v>
      </c>
      <c r="AF1062" s="139" t="e">
        <f>T1.role(AE1057&amp;"@"&amp;B1062,"CPD_RESULT","val",1)</f>
        <v>#REF!</v>
      </c>
      <c r="AG1062" s="139" t="e">
        <f>T1.role(AE1057&amp;"@"&amp;B1062,"CPD_RESULT","val",1)</f>
        <v>#REF!</v>
      </c>
      <c r="AH1062" s="139" t="e">
        <f>T1.role(AE1057&amp;"@"&amp;B1062,"CPD_RESULT","val",1)</f>
        <v>#REF!</v>
      </c>
    </row>
    <row r="1063" spans="1:34" ht="11.25" customHeight="1">
      <c r="A1063" s="49"/>
      <c r="B1063" s="139">
        <v>0.2</v>
      </c>
      <c r="C1063" s="139" t="e">
        <f>T1.role(C1057&amp;"@"&amp;B1063,"CPD_RESULT","val",1)</f>
        <v>#REF!</v>
      </c>
      <c r="D1063" s="139" t="e">
        <f>T1.role(C1057&amp;"@"&amp;B1063,"CPD_RESULT","val",2)</f>
        <v>#REF!</v>
      </c>
      <c r="E1063" s="139" t="e">
        <f>T1.role(C1057&amp;"@"&amp;B1063,"CPD_RESULT","val",3)</f>
        <v>#REF!</v>
      </c>
      <c r="F1063" s="139" t="e">
        <f>T1.role(C1057&amp;"@"&amp;B1063,"CPD_RESULT","val",4)</f>
        <v>#REF!</v>
      </c>
      <c r="G1063" s="139" t="e">
        <f>T1.role(G1057&amp;"@"&amp;B1063,"CPD_RESULT","val",1)</f>
        <v>#REF!</v>
      </c>
      <c r="H1063" s="139" t="e">
        <f>T1.role(G1057&amp;"@"&amp;B1063,"CPD_RESULT","val",2)</f>
        <v>#REF!</v>
      </c>
      <c r="I1063" s="139" t="e">
        <f>T1.role(G1057&amp;"@"&amp;B1063,"CPD_RESULT","val",3)</f>
        <v>#REF!</v>
      </c>
      <c r="J1063" s="139" t="e">
        <f>T1.role(G1057&amp;"@"&amp;B1063,"CPD_RESULT","val",4)</f>
        <v>#REF!</v>
      </c>
      <c r="K1063" s="139" t="e">
        <f>T1.role(K1057&amp;"@"&amp;B1063,"CPD_RESULT","val",1)</f>
        <v>#REF!</v>
      </c>
      <c r="L1063" s="139" t="e">
        <f>T1.role(K1057&amp;"@"&amp;B1063,"CPD_RESULT","val",2)</f>
        <v>#REF!</v>
      </c>
      <c r="M1063" s="139" t="e">
        <f>T1.role(K1057&amp;"@"&amp;B1063,"CPD_RESULT","val",3)</f>
        <v>#REF!</v>
      </c>
      <c r="N1063" s="139" t="e">
        <f>T1.role(K1057&amp;"@"&amp;B1063,"CPD_RESULT","val",4)</f>
        <v>#REF!</v>
      </c>
      <c r="O1063" s="139" t="e">
        <f>T1.role(O1057&amp;"@"&amp;B1063,"CPD_RESULT","val",1)</f>
        <v>#REF!</v>
      </c>
      <c r="P1063" s="139" t="e">
        <f>T1.role(O1057&amp;"@"&amp;B1063,"CPD_RESULT","val",2)</f>
        <v>#REF!</v>
      </c>
      <c r="Q1063" s="139" t="e">
        <f>T1.role(O1057&amp;"@"&amp;B1063,"CPD_RESULT","val",3)</f>
        <v>#REF!</v>
      </c>
      <c r="R1063" s="139" t="e">
        <f>T1.role(O1057&amp;"@"&amp;B1063,"CPD_RESULT","val",4)</f>
        <v>#REF!</v>
      </c>
      <c r="S1063" s="139" t="e">
        <f>T1.role(S1057&amp;"@"&amp;B1063,"CPD_RESULT","val",1)</f>
        <v>#REF!</v>
      </c>
      <c r="T1063" s="139" t="e">
        <f>T1.role(S1057&amp;"@"&amp;B1063,"CPD_RESULT","val",1)</f>
        <v>#REF!</v>
      </c>
      <c r="U1063" s="139" t="e">
        <f>T1.role(S1057&amp;"@"&amp;B1063,"CPD_RESULT","val",1)</f>
        <v>#REF!</v>
      </c>
      <c r="V1063" s="139" t="e">
        <f>T1.role(S1057&amp;"@"&amp;B1063,"CPD_RESULT","val",1)</f>
        <v>#REF!</v>
      </c>
      <c r="W1063" s="139" t="e">
        <f>T1.role(W1057&amp;"@"&amp;B1063,"CPD_RESULT","val",1)</f>
        <v>#REF!</v>
      </c>
      <c r="X1063" s="139" t="e">
        <f>T1.role(W1057&amp;"@"&amp;B1063,"CPD_RESULT","val",1)</f>
        <v>#REF!</v>
      </c>
      <c r="Y1063" s="139" t="e">
        <f>T1.role(W1057&amp;"@"&amp;B1063,"CPD_RESULT","val",1)</f>
        <v>#REF!</v>
      </c>
      <c r="Z1063" s="139" t="e">
        <f>T1.role(W1057&amp;"@"&amp;B1063,"CPD_RESULT","val",1)</f>
        <v>#REF!</v>
      </c>
      <c r="AA1063" s="139" t="e">
        <f>T1.role(AA1057&amp;"@"&amp;B1063,"CPD_RESULT","val",1)</f>
        <v>#REF!</v>
      </c>
      <c r="AB1063" s="139" t="e">
        <f>T1.role(AA1057&amp;"@"&amp;B1063,"CPD_RESULT","val",1)</f>
        <v>#REF!</v>
      </c>
      <c r="AC1063" s="139" t="e">
        <f>T1.role(AA1057&amp;"@"&amp;B1063,"CPD_RESULT","val",1)</f>
        <v>#REF!</v>
      </c>
      <c r="AD1063" s="139" t="e">
        <f>T1.role(AA1057&amp;"@"&amp;B1063,"CPD_RESULT","val",1)</f>
        <v>#REF!</v>
      </c>
      <c r="AE1063" s="139" t="e">
        <f>T1.role(AE1057&amp;"@"&amp;B1063,"CPD_RESULT","val",1)</f>
        <v>#REF!</v>
      </c>
      <c r="AF1063" s="139" t="e">
        <f>T1.role(AE1057&amp;"@"&amp;B1063,"CPD_RESULT","val",1)</f>
        <v>#REF!</v>
      </c>
      <c r="AG1063" s="139" t="e">
        <f>T1.role(AE1057&amp;"@"&amp;B1063,"CPD_RESULT","val",1)</f>
        <v>#REF!</v>
      </c>
      <c r="AH1063" s="139" t="e">
        <f>T1.role(AE1057&amp;"@"&amp;B1063,"CPD_RESULT","val",1)</f>
        <v>#REF!</v>
      </c>
    </row>
    <row r="1064" spans="1:34" ht="11.25" customHeight="1">
      <c r="A1064" s="49"/>
      <c r="C1064" s="49"/>
      <c r="D1064" s="49"/>
      <c r="E1064" s="49"/>
      <c r="F1064" s="49"/>
      <c r="G1064" s="49"/>
      <c r="H1064" s="49"/>
      <c r="I1064" s="49"/>
      <c r="K1064" s="49"/>
      <c r="L1064" s="49"/>
      <c r="M1064" s="49"/>
      <c r="N1064" s="49"/>
      <c r="O1064" s="49"/>
      <c r="P1064" s="49"/>
      <c r="Q1064" s="49"/>
      <c r="R1064" s="49"/>
      <c r="S1064" s="49"/>
      <c r="T1064" s="49"/>
      <c r="U1064" s="49"/>
      <c r="V1064" s="49"/>
      <c r="W1064" s="49"/>
      <c r="X1064" s="49"/>
      <c r="Y1064" s="49"/>
      <c r="Z1064" s="49"/>
    </row>
    <row r="1065" spans="1:34" ht="11.25" customHeight="1">
      <c r="A1065" s="49"/>
      <c r="B1065" s="39"/>
      <c r="C1065" s="76" t="s">
        <v>3387</v>
      </c>
      <c r="D1065" s="47"/>
      <c r="E1065" s="47"/>
      <c r="F1065" s="140"/>
      <c r="G1065" s="76" t="s">
        <v>611</v>
      </c>
      <c r="H1065" s="47"/>
      <c r="I1065" s="47"/>
      <c r="J1065" s="140"/>
      <c r="K1065" s="76" t="s">
        <v>630</v>
      </c>
      <c r="L1065" s="47"/>
      <c r="M1065" s="47"/>
      <c r="N1065" s="140"/>
      <c r="O1065" s="76" t="s">
        <v>649</v>
      </c>
      <c r="P1065" s="47"/>
      <c r="Q1065" s="47"/>
      <c r="R1065" s="140"/>
      <c r="S1065" s="76" t="s">
        <v>667</v>
      </c>
      <c r="T1065" s="47"/>
      <c r="U1065" s="47"/>
      <c r="V1065" s="140"/>
      <c r="W1065" s="76" t="s">
        <v>686</v>
      </c>
      <c r="X1065" s="47"/>
      <c r="Y1065" s="47"/>
      <c r="Z1065" s="140"/>
      <c r="AA1065" s="76" t="s">
        <v>705</v>
      </c>
      <c r="AB1065" s="47"/>
      <c r="AC1065" s="47"/>
      <c r="AD1065" s="140"/>
      <c r="AE1065" s="76" t="s">
        <v>724</v>
      </c>
      <c r="AF1065" s="47"/>
      <c r="AG1065" s="47"/>
      <c r="AH1065" s="140"/>
    </row>
    <row r="1066" spans="1:34" ht="11.25" customHeight="1">
      <c r="A1066" s="49"/>
      <c r="B1066" s="44"/>
      <c r="C1066" s="76" t="str">
        <f>T1.role(C1065,"cpdid")</f>
        <v/>
      </c>
      <c r="D1066" s="47"/>
      <c r="E1066" s="47"/>
      <c r="F1066" s="140"/>
      <c r="G1066" s="76" t="str">
        <f>T1.role(G1065,"cpdid")</f>
        <v/>
      </c>
      <c r="H1066" s="47"/>
      <c r="I1066" s="47"/>
      <c r="J1066" s="140"/>
      <c r="K1066" s="76" t="str">
        <f>T1.role(K1065,"cpdid")</f>
        <v/>
      </c>
      <c r="L1066" s="47"/>
      <c r="M1066" s="47"/>
      <c r="N1066" s="140"/>
      <c r="O1066" s="76" t="str">
        <f>T1.role(O1065,"cpdid")</f>
        <v/>
      </c>
      <c r="P1066" s="47"/>
      <c r="Q1066" s="47"/>
      <c r="R1066" s="140"/>
      <c r="S1066" s="76" t="str">
        <f>T1.role(S1065,"cpdid")</f>
        <v/>
      </c>
      <c r="T1066" s="47"/>
      <c r="U1066" s="47"/>
      <c r="V1066" s="140"/>
      <c r="W1066" s="76" t="str">
        <f>T1.role(W1065,"cpdid")</f>
        <v/>
      </c>
      <c r="X1066" s="47"/>
      <c r="Y1066" s="47"/>
      <c r="Z1066" s="140"/>
      <c r="AA1066" s="76" t="str">
        <f>T1.role(AA1065,"cpdid")</f>
        <v/>
      </c>
      <c r="AB1066" s="47"/>
      <c r="AC1066" s="47"/>
      <c r="AD1066" s="140"/>
      <c r="AE1066" s="76" t="str">
        <f>T1.role(AE1065,"cpdid")</f>
        <v/>
      </c>
      <c r="AF1066" s="47"/>
      <c r="AG1066" s="47"/>
      <c r="AH1066" s="140"/>
    </row>
    <row r="1067" spans="1:34" ht="11.25" customHeight="1">
      <c r="A1067" s="49"/>
      <c r="B1067" s="139">
        <v>20</v>
      </c>
      <c r="C1067" s="139" t="e">
        <f>T1.role(C1065&amp;"@"&amp;B1067,"CPD_RESULT","val",1)</f>
        <v>#REF!</v>
      </c>
      <c r="D1067" s="139" t="e">
        <f>T1.role(C1065&amp;"@"&amp;B1067,"CPD_RESULT","val",2)</f>
        <v>#REF!</v>
      </c>
      <c r="E1067" s="139" t="e">
        <f>T1.role(C1065&amp;"@"&amp;B1067,"CPD_RESULT","val",3)</f>
        <v>#REF!</v>
      </c>
      <c r="F1067" s="139" t="e">
        <f>T1.role(C1065&amp;"@"&amp;B1067,"CPD_RESULT","val",4)</f>
        <v>#REF!</v>
      </c>
      <c r="G1067" s="139" t="e">
        <f>T1.role(G1065&amp;"@"&amp;B1067,"CPD_RESULT","val",1)</f>
        <v>#REF!</v>
      </c>
      <c r="H1067" s="139" t="e">
        <f>T1.role(G1065&amp;"@"&amp;B1067,"CPD_RESULT","val",2)</f>
        <v>#REF!</v>
      </c>
      <c r="I1067" s="139" t="e">
        <f>T1.role(G1065&amp;"@"&amp;B1067,"CPD_RESULT","val",3)</f>
        <v>#REF!</v>
      </c>
      <c r="J1067" s="139" t="e">
        <f>T1.role(G1065&amp;"@"&amp;B1067,"CPD_RESULT","val",4)</f>
        <v>#REF!</v>
      </c>
      <c r="K1067" s="139" t="e">
        <f>T1.role(K1065&amp;"@"&amp;B1067,"CPD_RESULT","val",1)</f>
        <v>#REF!</v>
      </c>
      <c r="L1067" s="139" t="e">
        <f>T1.role(K1065&amp;"@"&amp;B1067,"CPD_RESULT","val",2)</f>
        <v>#REF!</v>
      </c>
      <c r="M1067" s="139" t="e">
        <f>T1.role(K1065&amp;"@"&amp;B1067,"CPD_RESULT","val",3)</f>
        <v>#REF!</v>
      </c>
      <c r="N1067" s="139" t="e">
        <f>T1.role(K1065&amp;"@"&amp;B1067,"CPD_RESULT","val",4)</f>
        <v>#REF!</v>
      </c>
      <c r="O1067" s="139" t="e">
        <f>T1.role(O1065&amp;"@"&amp;B1067,"CPD_RESULT","val",1)</f>
        <v>#REF!</v>
      </c>
      <c r="P1067" s="139" t="e">
        <f>T1.role(O1065&amp;"@"&amp;B1067,"CPD_RESULT","val",2)</f>
        <v>#REF!</v>
      </c>
      <c r="Q1067" s="139" t="e">
        <f>T1.role(O1065&amp;"@"&amp;B1067,"CPD_RESULT","val",3)</f>
        <v>#REF!</v>
      </c>
      <c r="R1067" s="139" t="e">
        <f>T1.role(O1065&amp;"@"&amp;B1067,"CPD_RESULT","val",4)</f>
        <v>#REF!</v>
      </c>
      <c r="S1067" s="139" t="e">
        <f>T1.role(S1065&amp;"@"&amp;B1067,"CPD_RESULT","val",1)</f>
        <v>#REF!</v>
      </c>
      <c r="T1067" s="139" t="e">
        <f>T1.role(S1065&amp;"@"&amp;B1067,"CPD_RESULT","val",1)</f>
        <v>#REF!</v>
      </c>
      <c r="U1067" s="139" t="e">
        <f>T1.role(S1065&amp;"@"&amp;B1067,"CPD_RESULT","val",1)</f>
        <v>#REF!</v>
      </c>
      <c r="V1067" s="139" t="e">
        <f>T1.role(S1065&amp;"@"&amp;B1067,"CPD_RESULT","val",1)</f>
        <v>#REF!</v>
      </c>
      <c r="W1067" s="139" t="e">
        <f>T1.role(W1065&amp;"@"&amp;B1067,"CPD_RESULT","val",1)</f>
        <v>#REF!</v>
      </c>
      <c r="X1067" s="139" t="e">
        <f>T1.role(W1065&amp;"@"&amp;B1067,"CPD_RESULT","val",1)</f>
        <v>#REF!</v>
      </c>
      <c r="Y1067" s="139" t="e">
        <f>T1.role(W1065&amp;"@"&amp;B1067,"CPD_RESULT","val",1)</f>
        <v>#REF!</v>
      </c>
      <c r="Z1067" s="139" t="e">
        <f>T1.role(W1065&amp;"@"&amp;B1067,"CPD_RESULT","val",1)</f>
        <v>#REF!</v>
      </c>
      <c r="AA1067" s="139" t="e">
        <f>T1.role(AA1065&amp;"@"&amp;B1067,"CPD_RESULT","val",1)</f>
        <v>#REF!</v>
      </c>
      <c r="AB1067" s="139" t="e">
        <f>T1.role(AA1065&amp;"@"&amp;B1067,"CPD_RESULT","val",1)</f>
        <v>#REF!</v>
      </c>
      <c r="AC1067" s="139" t="e">
        <f>T1.role(AA1065&amp;"@"&amp;B1067,"CPD_RESULT","val",1)</f>
        <v>#REF!</v>
      </c>
      <c r="AD1067" s="139" t="e">
        <f>T1.role(AA1065&amp;"@"&amp;B1067,"CPD_RESULT","val",1)</f>
        <v>#REF!</v>
      </c>
      <c r="AE1067" s="139" t="e">
        <f>T1.role(AE1065&amp;"@"&amp;B1067,"CPD_RESULT","val",1)</f>
        <v>#REF!</v>
      </c>
      <c r="AF1067" s="139" t="e">
        <f>T1.role(AE1065&amp;"@"&amp;B1067,"CPD_RESULT","val",1)</f>
        <v>#REF!</v>
      </c>
      <c r="AG1067" s="139" t="e">
        <f>T1.role(AE1065&amp;"@"&amp;B1067,"CPD_RESULT","val",1)</f>
        <v>#REF!</v>
      </c>
      <c r="AH1067" s="139" t="e">
        <f>T1.role(AE1065&amp;"@"&amp;B1067,"CPD_RESULT","val",1)</f>
        <v>#REF!</v>
      </c>
    </row>
    <row r="1068" spans="1:34" ht="11.25" customHeight="1">
      <c r="A1068" s="49"/>
      <c r="B1068" s="139">
        <v>6</v>
      </c>
      <c r="C1068" s="139" t="e">
        <f>T1.role(C1065&amp;"@"&amp;B1068,"CPD_RESULT","val",1)</f>
        <v>#REF!</v>
      </c>
      <c r="D1068" s="139" t="e">
        <f>T1.role(C1065&amp;"@"&amp;B1068,"CPD_RESULT","val",2)</f>
        <v>#REF!</v>
      </c>
      <c r="E1068" s="139" t="e">
        <f>T1.role(C1065&amp;"@"&amp;B1068,"CPD_RESULT","val",3)</f>
        <v>#REF!</v>
      </c>
      <c r="F1068" s="139" t="e">
        <f>T1.role(C1065&amp;"@"&amp;B1068,"CPD_RESULT","val",4)</f>
        <v>#REF!</v>
      </c>
      <c r="G1068" s="139" t="e">
        <f>T1.role(G1065&amp;"@"&amp;B1068,"CPD_RESULT","val",1)</f>
        <v>#REF!</v>
      </c>
      <c r="H1068" s="139" t="e">
        <f>T1.role(G1065&amp;"@"&amp;B1068,"CPD_RESULT","val",2)</f>
        <v>#REF!</v>
      </c>
      <c r="I1068" s="139" t="e">
        <f>T1.role(G1065&amp;"@"&amp;B1068,"CPD_RESULT","val",3)</f>
        <v>#REF!</v>
      </c>
      <c r="J1068" s="139" t="e">
        <f>T1.role(G1065&amp;"@"&amp;B1068,"CPD_RESULT","val",4)</f>
        <v>#REF!</v>
      </c>
      <c r="K1068" s="139" t="e">
        <f>T1.role(K1065&amp;"@"&amp;B1068,"CPD_RESULT","val",1)</f>
        <v>#REF!</v>
      </c>
      <c r="L1068" s="139" t="e">
        <f>T1.role(K1065&amp;"@"&amp;B1068,"CPD_RESULT","val",2)</f>
        <v>#REF!</v>
      </c>
      <c r="M1068" s="139" t="e">
        <f>T1.role(K1065&amp;"@"&amp;B1068,"CPD_RESULT","val",3)</f>
        <v>#REF!</v>
      </c>
      <c r="N1068" s="139" t="e">
        <f>T1.role(K1065&amp;"@"&amp;B1068,"CPD_RESULT","val",4)</f>
        <v>#REF!</v>
      </c>
      <c r="O1068" s="139" t="e">
        <f>T1.role(O1065&amp;"@"&amp;B1068,"CPD_RESULT","val",1)</f>
        <v>#REF!</v>
      </c>
      <c r="P1068" s="139" t="e">
        <f>T1.role(O1065&amp;"@"&amp;B1068,"CPD_RESULT","val",2)</f>
        <v>#REF!</v>
      </c>
      <c r="Q1068" s="139" t="e">
        <f>T1.role(O1065&amp;"@"&amp;B1068,"CPD_RESULT","val",3)</f>
        <v>#REF!</v>
      </c>
      <c r="R1068" s="139" t="e">
        <f>T1.role(O1065&amp;"@"&amp;B1068,"CPD_RESULT","val",4)</f>
        <v>#REF!</v>
      </c>
      <c r="S1068" s="139" t="e">
        <f>T1.role(S1065&amp;"@"&amp;B1068,"CPD_RESULT","val",1)</f>
        <v>#REF!</v>
      </c>
      <c r="T1068" s="139" t="e">
        <f>T1.role(S1065&amp;"@"&amp;B1068,"CPD_RESULT","val",1)</f>
        <v>#REF!</v>
      </c>
      <c r="U1068" s="139" t="e">
        <f>T1.role(S1065&amp;"@"&amp;B1068,"CPD_RESULT","val",1)</f>
        <v>#REF!</v>
      </c>
      <c r="V1068" s="139" t="e">
        <f>T1.role(S1065&amp;"@"&amp;B1068,"CPD_RESULT","val",1)</f>
        <v>#REF!</v>
      </c>
      <c r="W1068" s="139" t="e">
        <f>T1.role(W1065&amp;"@"&amp;B1068,"CPD_RESULT","val",1)</f>
        <v>#REF!</v>
      </c>
      <c r="X1068" s="139" t="e">
        <f>T1.role(W1065&amp;"@"&amp;B1068,"CPD_RESULT","val",1)</f>
        <v>#REF!</v>
      </c>
      <c r="Y1068" s="139" t="e">
        <f>T1.role(W1065&amp;"@"&amp;B1068,"CPD_RESULT","val",1)</f>
        <v>#REF!</v>
      </c>
      <c r="Z1068" s="139" t="e">
        <f>T1.role(W1065&amp;"@"&amp;B1068,"CPD_RESULT","val",1)</f>
        <v>#REF!</v>
      </c>
      <c r="AA1068" s="139" t="e">
        <f>T1.role(AA1065&amp;"@"&amp;B1068,"CPD_RESULT","val",1)</f>
        <v>#REF!</v>
      </c>
      <c r="AB1068" s="139" t="e">
        <f>T1.role(AA1065&amp;"@"&amp;B1068,"CPD_RESULT","val",1)</f>
        <v>#REF!</v>
      </c>
      <c r="AC1068" s="139" t="e">
        <f>T1.role(AA1065&amp;"@"&amp;B1068,"CPD_RESULT","val",1)</f>
        <v>#REF!</v>
      </c>
      <c r="AD1068" s="139" t="e">
        <f>T1.role(AA1065&amp;"@"&amp;B1068,"CPD_RESULT","val",1)</f>
        <v>#REF!</v>
      </c>
      <c r="AE1068" s="139" t="e">
        <f>T1.role(AE1065&amp;"@"&amp;B1068,"CPD_RESULT","val",1)</f>
        <v>#REF!</v>
      </c>
      <c r="AF1068" s="139" t="e">
        <f>T1.role(AE1065&amp;"@"&amp;B1068,"CPD_RESULT","val",1)</f>
        <v>#REF!</v>
      </c>
      <c r="AG1068" s="139" t="e">
        <f>T1.role(AE1065&amp;"@"&amp;B1068,"CPD_RESULT","val",1)</f>
        <v>#REF!</v>
      </c>
      <c r="AH1068" s="139" t="e">
        <f>T1.role(AE1065&amp;"@"&amp;B1068,"CPD_RESULT","val",1)</f>
        <v>#REF!</v>
      </c>
    </row>
    <row r="1069" spans="1:34" ht="11.25" customHeight="1">
      <c r="A1069" s="49"/>
      <c r="B1069" s="139">
        <v>2</v>
      </c>
      <c r="C1069" s="139" t="e">
        <f>T1.role(C1065&amp;"@"&amp;B1069,"CPD_RESULT","val",1)</f>
        <v>#REF!</v>
      </c>
      <c r="D1069" s="139" t="e">
        <f>T1.role(C1065&amp;"@"&amp;B1069,"CPD_RESULT","val",2)</f>
        <v>#REF!</v>
      </c>
      <c r="E1069" s="139" t="e">
        <f>T1.role(C1065&amp;"@"&amp;B1069,"CPD_RESULT","val",3)</f>
        <v>#REF!</v>
      </c>
      <c r="F1069" s="139" t="e">
        <f>T1.role(C1065&amp;"@"&amp;B1069,"CPD_RESULT","val",4)</f>
        <v>#REF!</v>
      </c>
      <c r="G1069" s="139" t="e">
        <f>T1.role(G1065&amp;"@"&amp;B1069,"CPD_RESULT","val",1)</f>
        <v>#REF!</v>
      </c>
      <c r="H1069" s="139" t="e">
        <f>T1.role(G1065&amp;"@"&amp;B1069,"CPD_RESULT","val",2)</f>
        <v>#REF!</v>
      </c>
      <c r="I1069" s="139" t="e">
        <f>T1.role(G1065&amp;"@"&amp;B1069,"CPD_RESULT","val",3)</f>
        <v>#REF!</v>
      </c>
      <c r="J1069" s="139" t="e">
        <f>T1.role(G1065&amp;"@"&amp;B1069,"CPD_RESULT","val",4)</f>
        <v>#REF!</v>
      </c>
      <c r="K1069" s="139" t="e">
        <f>T1.role(K1065&amp;"@"&amp;B1069,"CPD_RESULT","val",1)</f>
        <v>#REF!</v>
      </c>
      <c r="L1069" s="139" t="e">
        <f>T1.role(K1065&amp;"@"&amp;B1069,"CPD_RESULT","val",2)</f>
        <v>#REF!</v>
      </c>
      <c r="M1069" s="139" t="e">
        <f>T1.role(K1065&amp;"@"&amp;B1069,"CPD_RESULT","val",3)</f>
        <v>#REF!</v>
      </c>
      <c r="N1069" s="139" t="e">
        <f>T1.role(K1065&amp;"@"&amp;B1069,"CPD_RESULT","val",4)</f>
        <v>#REF!</v>
      </c>
      <c r="O1069" s="139" t="e">
        <f>T1.role(O1065&amp;"@"&amp;B1069,"CPD_RESULT","val",1)</f>
        <v>#REF!</v>
      </c>
      <c r="P1069" s="139" t="e">
        <f>T1.role(O1065&amp;"@"&amp;B1069,"CPD_RESULT","val",2)</f>
        <v>#REF!</v>
      </c>
      <c r="Q1069" s="139" t="e">
        <f>T1.role(O1065&amp;"@"&amp;B1069,"CPD_RESULT","val",3)</f>
        <v>#REF!</v>
      </c>
      <c r="R1069" s="139" t="e">
        <f>T1.role(O1065&amp;"@"&amp;B1069,"CPD_RESULT","val",4)</f>
        <v>#REF!</v>
      </c>
      <c r="S1069" s="139" t="e">
        <f>T1.role(S1065&amp;"@"&amp;B1069,"CPD_RESULT","val",1)</f>
        <v>#REF!</v>
      </c>
      <c r="T1069" s="139" t="e">
        <f>T1.role(S1065&amp;"@"&amp;B1069,"CPD_RESULT","val",1)</f>
        <v>#REF!</v>
      </c>
      <c r="U1069" s="139" t="e">
        <f>T1.role(S1065&amp;"@"&amp;B1069,"CPD_RESULT","val",1)</f>
        <v>#REF!</v>
      </c>
      <c r="V1069" s="139" t="e">
        <f>T1.role(S1065&amp;"@"&amp;B1069,"CPD_RESULT","val",1)</f>
        <v>#REF!</v>
      </c>
      <c r="W1069" s="139" t="e">
        <f>T1.role(W1065&amp;"@"&amp;B1069,"CPD_RESULT","val",1)</f>
        <v>#REF!</v>
      </c>
      <c r="X1069" s="139" t="e">
        <f>T1.role(W1065&amp;"@"&amp;B1069,"CPD_RESULT","val",1)</f>
        <v>#REF!</v>
      </c>
      <c r="Y1069" s="139" t="e">
        <f>T1.role(W1065&amp;"@"&amp;B1069,"CPD_RESULT","val",1)</f>
        <v>#REF!</v>
      </c>
      <c r="Z1069" s="139" t="e">
        <f>T1.role(W1065&amp;"@"&amp;B1069,"CPD_RESULT","val",1)</f>
        <v>#REF!</v>
      </c>
      <c r="AA1069" s="139" t="e">
        <f>T1.role(AA1065&amp;"@"&amp;B1069,"CPD_RESULT","val",1)</f>
        <v>#REF!</v>
      </c>
      <c r="AB1069" s="139" t="e">
        <f>T1.role(AA1065&amp;"@"&amp;B1069,"CPD_RESULT","val",1)</f>
        <v>#REF!</v>
      </c>
      <c r="AC1069" s="139" t="e">
        <f>T1.role(AA1065&amp;"@"&amp;B1069,"CPD_RESULT","val",1)</f>
        <v>#REF!</v>
      </c>
      <c r="AD1069" s="139" t="e">
        <f>T1.role(AA1065&amp;"@"&amp;B1069,"CPD_RESULT","val",1)</f>
        <v>#REF!</v>
      </c>
      <c r="AE1069" s="139" t="e">
        <f>T1.role(AE1065&amp;"@"&amp;B1069,"CPD_RESULT","val",1)</f>
        <v>#REF!</v>
      </c>
      <c r="AF1069" s="139" t="e">
        <f>T1.role(AE1065&amp;"@"&amp;B1069,"CPD_RESULT","val",1)</f>
        <v>#REF!</v>
      </c>
      <c r="AG1069" s="139" t="e">
        <f>T1.role(AE1065&amp;"@"&amp;B1069,"CPD_RESULT","val",1)</f>
        <v>#REF!</v>
      </c>
      <c r="AH1069" s="139" t="e">
        <f>T1.role(AE1065&amp;"@"&amp;B1069,"CPD_RESULT","val",1)</f>
        <v>#REF!</v>
      </c>
    </row>
    <row r="1070" spans="1:34" ht="11.25" customHeight="1">
      <c r="A1070" s="49"/>
      <c r="B1070" s="139">
        <v>0.6</v>
      </c>
      <c r="C1070" s="139" t="e">
        <f>T1.role(C1065&amp;"@"&amp;B1070,"CPD_RESULT","val",1)</f>
        <v>#REF!</v>
      </c>
      <c r="D1070" s="139" t="e">
        <f>T1.role(C1065&amp;"@"&amp;B1070,"CPD_RESULT","val",2)</f>
        <v>#REF!</v>
      </c>
      <c r="E1070" s="139" t="e">
        <f>T1.role(C1065&amp;"@"&amp;B1070,"CPD_RESULT","val",3)</f>
        <v>#REF!</v>
      </c>
      <c r="F1070" s="139" t="e">
        <f>T1.role(C1065&amp;"@"&amp;B1070,"CPD_RESULT","val",4)</f>
        <v>#REF!</v>
      </c>
      <c r="G1070" s="139" t="e">
        <f>T1.role(G1065&amp;"@"&amp;B1070,"CPD_RESULT","val",1)</f>
        <v>#REF!</v>
      </c>
      <c r="H1070" s="139" t="e">
        <f>T1.role(G1065&amp;"@"&amp;B1070,"CPD_RESULT","val",2)</f>
        <v>#REF!</v>
      </c>
      <c r="I1070" s="139" t="e">
        <f>T1.role(G1065&amp;"@"&amp;B1070,"CPD_RESULT","val",3)</f>
        <v>#REF!</v>
      </c>
      <c r="J1070" s="139" t="e">
        <f>T1.role(G1065&amp;"@"&amp;B1070,"CPD_RESULT","val",4)</f>
        <v>#REF!</v>
      </c>
      <c r="K1070" s="139" t="e">
        <f>T1.role(K1065&amp;"@"&amp;B1070,"CPD_RESULT","val",1)</f>
        <v>#REF!</v>
      </c>
      <c r="L1070" s="139" t="e">
        <f>T1.role(K1065&amp;"@"&amp;B1070,"CPD_RESULT","val",2)</f>
        <v>#REF!</v>
      </c>
      <c r="M1070" s="139" t="e">
        <f>T1.role(K1065&amp;"@"&amp;B1070,"CPD_RESULT","val",3)</f>
        <v>#REF!</v>
      </c>
      <c r="N1070" s="139" t="e">
        <f>T1.role(K1065&amp;"@"&amp;B1070,"CPD_RESULT","val",4)</f>
        <v>#REF!</v>
      </c>
      <c r="O1070" s="139" t="e">
        <f>T1.role(O1065&amp;"@"&amp;B1070,"CPD_RESULT","val",1)</f>
        <v>#REF!</v>
      </c>
      <c r="P1070" s="139" t="e">
        <f>T1.role(O1065&amp;"@"&amp;B1070,"CPD_RESULT","val",2)</f>
        <v>#REF!</v>
      </c>
      <c r="Q1070" s="139" t="e">
        <f>T1.role(O1065&amp;"@"&amp;B1070,"CPD_RESULT","val",3)</f>
        <v>#REF!</v>
      </c>
      <c r="R1070" s="139" t="e">
        <f>T1.role(O1065&amp;"@"&amp;B1070,"CPD_RESULT","val",4)</f>
        <v>#REF!</v>
      </c>
      <c r="S1070" s="139" t="e">
        <f>T1.role(S1065&amp;"@"&amp;B1070,"CPD_RESULT","val",1)</f>
        <v>#REF!</v>
      </c>
      <c r="T1070" s="139" t="e">
        <f>T1.role(S1065&amp;"@"&amp;B1070,"CPD_RESULT","val",1)</f>
        <v>#REF!</v>
      </c>
      <c r="U1070" s="139" t="e">
        <f>T1.role(S1065&amp;"@"&amp;B1070,"CPD_RESULT","val",1)</f>
        <v>#REF!</v>
      </c>
      <c r="V1070" s="139" t="e">
        <f>T1.role(S1065&amp;"@"&amp;B1070,"CPD_RESULT","val",1)</f>
        <v>#REF!</v>
      </c>
      <c r="W1070" s="139" t="e">
        <f>T1.role(W1065&amp;"@"&amp;B1070,"CPD_RESULT","val",1)</f>
        <v>#REF!</v>
      </c>
      <c r="X1070" s="139" t="e">
        <f>T1.role(W1065&amp;"@"&amp;B1070,"CPD_RESULT","val",1)</f>
        <v>#REF!</v>
      </c>
      <c r="Y1070" s="139" t="e">
        <f>T1.role(W1065&amp;"@"&amp;B1070,"CPD_RESULT","val",1)</f>
        <v>#REF!</v>
      </c>
      <c r="Z1070" s="139" t="e">
        <f>T1.role(W1065&amp;"@"&amp;B1070,"CPD_RESULT","val",1)</f>
        <v>#REF!</v>
      </c>
      <c r="AA1070" s="139" t="e">
        <f>T1.role(AA1065&amp;"@"&amp;B1070,"CPD_RESULT","val",1)</f>
        <v>#REF!</v>
      </c>
      <c r="AB1070" s="139" t="e">
        <f>T1.role(AA1065&amp;"@"&amp;B1070,"CPD_RESULT","val",1)</f>
        <v>#REF!</v>
      </c>
      <c r="AC1070" s="139" t="e">
        <f>T1.role(AA1065&amp;"@"&amp;B1070,"CPD_RESULT","val",1)</f>
        <v>#REF!</v>
      </c>
      <c r="AD1070" s="139" t="e">
        <f>T1.role(AA1065&amp;"@"&amp;B1070,"CPD_RESULT","val",1)</f>
        <v>#REF!</v>
      </c>
      <c r="AE1070" s="139" t="e">
        <f>T1.role(AE1065&amp;"@"&amp;B1070,"CPD_RESULT","val",1)</f>
        <v>#REF!</v>
      </c>
      <c r="AF1070" s="139" t="e">
        <f>T1.role(AE1065&amp;"@"&amp;B1070,"CPD_RESULT","val",1)</f>
        <v>#REF!</v>
      </c>
      <c r="AG1070" s="139" t="e">
        <f>T1.role(AE1065&amp;"@"&amp;B1070,"CPD_RESULT","val",1)</f>
        <v>#REF!</v>
      </c>
      <c r="AH1070" s="139" t="e">
        <f>T1.role(AE1065&amp;"@"&amp;B1070,"CPD_RESULT","val",1)</f>
        <v>#REF!</v>
      </c>
    </row>
    <row r="1071" spans="1:34" ht="11.25" customHeight="1">
      <c r="A1071" s="49"/>
      <c r="B1071" s="139">
        <v>0.2</v>
      </c>
      <c r="C1071" s="139" t="e">
        <f>T1.role(C1065&amp;"@"&amp;B1071,"CPD_RESULT","val",1)</f>
        <v>#REF!</v>
      </c>
      <c r="D1071" s="139" t="e">
        <f>T1.role(C1065&amp;"@"&amp;B1071,"CPD_RESULT","val",2)</f>
        <v>#REF!</v>
      </c>
      <c r="E1071" s="139" t="e">
        <f>T1.role(C1065&amp;"@"&amp;B1071,"CPD_RESULT","val",3)</f>
        <v>#REF!</v>
      </c>
      <c r="F1071" s="139" t="e">
        <f>T1.role(C1065&amp;"@"&amp;B1071,"CPD_RESULT","val",4)</f>
        <v>#REF!</v>
      </c>
      <c r="G1071" s="139" t="e">
        <f>T1.role(G1065&amp;"@"&amp;B1071,"CPD_RESULT","val",1)</f>
        <v>#REF!</v>
      </c>
      <c r="H1071" s="139" t="e">
        <f>T1.role(G1065&amp;"@"&amp;B1071,"CPD_RESULT","val",2)</f>
        <v>#REF!</v>
      </c>
      <c r="I1071" s="139" t="e">
        <f>T1.role(G1065&amp;"@"&amp;B1071,"CPD_RESULT","val",3)</f>
        <v>#REF!</v>
      </c>
      <c r="J1071" s="139" t="e">
        <f>T1.role(G1065&amp;"@"&amp;B1071,"CPD_RESULT","val",4)</f>
        <v>#REF!</v>
      </c>
      <c r="K1071" s="139" t="e">
        <f>T1.role(K1065&amp;"@"&amp;B1071,"CPD_RESULT","val",1)</f>
        <v>#REF!</v>
      </c>
      <c r="L1071" s="139" t="e">
        <f>T1.role(K1065&amp;"@"&amp;B1071,"CPD_RESULT","val",2)</f>
        <v>#REF!</v>
      </c>
      <c r="M1071" s="139" t="e">
        <f>T1.role(K1065&amp;"@"&amp;B1071,"CPD_RESULT","val",3)</f>
        <v>#REF!</v>
      </c>
      <c r="N1071" s="139" t="e">
        <f>T1.role(K1065&amp;"@"&amp;B1071,"CPD_RESULT","val",4)</f>
        <v>#REF!</v>
      </c>
      <c r="O1071" s="139" t="e">
        <f>T1.role(O1065&amp;"@"&amp;B1071,"CPD_RESULT","val",1)</f>
        <v>#REF!</v>
      </c>
      <c r="P1071" s="139" t="e">
        <f>T1.role(O1065&amp;"@"&amp;B1071,"CPD_RESULT","val",2)</f>
        <v>#REF!</v>
      </c>
      <c r="Q1071" s="139" t="e">
        <f>T1.role(O1065&amp;"@"&amp;B1071,"CPD_RESULT","val",3)</f>
        <v>#REF!</v>
      </c>
      <c r="R1071" s="139" t="e">
        <f>T1.role(O1065&amp;"@"&amp;B1071,"CPD_RESULT","val",4)</f>
        <v>#REF!</v>
      </c>
      <c r="S1071" s="139" t="e">
        <f>T1.role(S1065&amp;"@"&amp;B1071,"CPD_RESULT","val",1)</f>
        <v>#REF!</v>
      </c>
      <c r="T1071" s="139" t="e">
        <f>T1.role(S1065&amp;"@"&amp;B1071,"CPD_RESULT","val",1)</f>
        <v>#REF!</v>
      </c>
      <c r="U1071" s="139" t="e">
        <f>T1.role(S1065&amp;"@"&amp;B1071,"CPD_RESULT","val",1)</f>
        <v>#REF!</v>
      </c>
      <c r="V1071" s="139" t="e">
        <f>T1.role(S1065&amp;"@"&amp;B1071,"CPD_RESULT","val",1)</f>
        <v>#REF!</v>
      </c>
      <c r="W1071" s="139" t="e">
        <f>T1.role(W1065&amp;"@"&amp;B1071,"CPD_RESULT","val",1)</f>
        <v>#REF!</v>
      </c>
      <c r="X1071" s="139" t="e">
        <f>T1.role(W1065&amp;"@"&amp;B1071,"CPD_RESULT","val",1)</f>
        <v>#REF!</v>
      </c>
      <c r="Y1071" s="139" t="e">
        <f>T1.role(W1065&amp;"@"&amp;B1071,"CPD_RESULT","val",1)</f>
        <v>#REF!</v>
      </c>
      <c r="Z1071" s="139" t="e">
        <f>T1.role(W1065&amp;"@"&amp;B1071,"CPD_RESULT","val",1)</f>
        <v>#REF!</v>
      </c>
      <c r="AA1071" s="139" t="e">
        <f>T1.role(AA1065&amp;"@"&amp;B1071,"CPD_RESULT","val",1)</f>
        <v>#REF!</v>
      </c>
      <c r="AB1071" s="139" t="e">
        <f>T1.role(AA1065&amp;"@"&amp;B1071,"CPD_RESULT","val",1)</f>
        <v>#REF!</v>
      </c>
      <c r="AC1071" s="139" t="e">
        <f>T1.role(AA1065&amp;"@"&amp;B1071,"CPD_RESULT","val",1)</f>
        <v>#REF!</v>
      </c>
      <c r="AD1071" s="139" t="e">
        <f>T1.role(AA1065&amp;"@"&amp;B1071,"CPD_RESULT","val",1)</f>
        <v>#REF!</v>
      </c>
      <c r="AE1071" s="139" t="e">
        <f>T1.role(AE1065&amp;"@"&amp;B1071,"CPD_RESULT","val",1)</f>
        <v>#REF!</v>
      </c>
      <c r="AF1071" s="139" t="e">
        <f>T1.role(AE1065&amp;"@"&amp;B1071,"CPD_RESULT","val",1)</f>
        <v>#REF!</v>
      </c>
      <c r="AG1071" s="139" t="e">
        <f>T1.role(AE1065&amp;"@"&amp;B1071,"CPD_RESULT","val",1)</f>
        <v>#REF!</v>
      </c>
      <c r="AH1071" s="139" t="e">
        <f>T1.role(AE1065&amp;"@"&amp;B1071,"CPD_RESULT","val",1)</f>
        <v>#REF!</v>
      </c>
    </row>
    <row r="1072" spans="1:34" ht="11.25" customHeight="1">
      <c r="A1072" s="49"/>
      <c r="C1072" s="49"/>
      <c r="D1072" s="49"/>
      <c r="E1072" s="49"/>
      <c r="F1072" s="49"/>
      <c r="G1072" s="49"/>
      <c r="H1072" s="49"/>
      <c r="I1072" s="49"/>
      <c r="K1072" s="49"/>
      <c r="L1072" s="49"/>
      <c r="M1072" s="49"/>
      <c r="N1072" s="49"/>
      <c r="O1072" s="49"/>
      <c r="P1072" s="49"/>
      <c r="Q1072" s="49"/>
      <c r="R1072" s="49"/>
      <c r="S1072" s="49"/>
      <c r="T1072" s="49"/>
      <c r="U1072" s="49"/>
      <c r="V1072" s="49"/>
      <c r="W1072" s="49"/>
      <c r="X1072" s="49"/>
      <c r="Y1072" s="49"/>
      <c r="Z1072" s="49"/>
    </row>
    <row r="1073" spans="1:1" s="132" customFormat="1" ht="11.25" customHeight="1">
      <c r="A1073" s="131" t="s">
        <v>2046</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29"/>
  </cols>
  <sheetData>
    <row r="1" spans="1:24">
      <c r="A1" s="29" t="s">
        <v>743</v>
      </c>
    </row>
    <row r="2" spans="1:24">
      <c r="A2" s="29" t="s">
        <v>2038</v>
      </c>
    </row>
    <row r="3" spans="1:24">
      <c r="A3" s="29" t="s">
        <v>394</v>
      </c>
    </row>
    <row r="4" spans="1:24">
      <c r="A4" s="29" t="s">
        <v>395</v>
      </c>
    </row>
    <row r="5" spans="1:24">
      <c r="A5" s="29" t="s">
        <v>396</v>
      </c>
    </row>
    <row r="7" spans="1:24">
      <c r="A7" s="29" t="s">
        <v>397</v>
      </c>
    </row>
    <row r="8" spans="1:24">
      <c r="A8" s="29" t="s">
        <v>398</v>
      </c>
    </row>
    <row r="9" spans="1:24">
      <c r="A9" s="29" t="s">
        <v>0</v>
      </c>
      <c r="B9" s="29">
        <v>7734</v>
      </c>
      <c r="C9" s="29">
        <v>8740</v>
      </c>
      <c r="D9" s="29">
        <v>7999</v>
      </c>
      <c r="E9" s="29">
        <v>7813</v>
      </c>
      <c r="F9" s="29">
        <v>7548</v>
      </c>
      <c r="G9" s="29">
        <v>7515</v>
      </c>
      <c r="H9" s="29">
        <v>602</v>
      </c>
      <c r="I9" s="29">
        <v>740</v>
      </c>
      <c r="J9" s="29">
        <v>1685</v>
      </c>
      <c r="K9" s="29">
        <v>5044</v>
      </c>
      <c r="L9" s="29">
        <v>7127</v>
      </c>
      <c r="M9" s="29">
        <v>3944</v>
      </c>
      <c r="N9" s="29">
        <v>5994</v>
      </c>
      <c r="O9" s="29">
        <v>6855</v>
      </c>
      <c r="P9" s="29">
        <v>7394</v>
      </c>
      <c r="Q9" s="29">
        <v>7591</v>
      </c>
      <c r="R9" s="29">
        <v>1645</v>
      </c>
      <c r="S9" s="29">
        <v>3915</v>
      </c>
      <c r="T9" s="29">
        <v>6224</v>
      </c>
      <c r="U9" s="29">
        <v>7228</v>
      </c>
      <c r="V9" s="29">
        <v>7332</v>
      </c>
      <c r="W9" s="29">
        <v>675</v>
      </c>
      <c r="X9" s="29" t="s">
        <v>0</v>
      </c>
    </row>
    <row r="10" spans="1:24">
      <c r="A10" s="29" t="s">
        <v>0</v>
      </c>
      <c r="B10" s="29">
        <v>7323</v>
      </c>
      <c r="C10" s="29">
        <v>8917</v>
      </c>
      <c r="D10" s="29">
        <v>8116</v>
      </c>
      <c r="E10" s="29">
        <v>7891</v>
      </c>
      <c r="F10" s="29">
        <v>7585</v>
      </c>
      <c r="G10" s="29">
        <v>7542</v>
      </c>
      <c r="H10" s="29">
        <v>627</v>
      </c>
      <c r="I10" s="29">
        <v>758</v>
      </c>
      <c r="J10" s="29">
        <v>1674</v>
      </c>
      <c r="K10" s="29">
        <v>4899</v>
      </c>
      <c r="L10" s="29">
        <v>7171</v>
      </c>
      <c r="M10" s="29">
        <v>3814</v>
      </c>
      <c r="N10" s="29">
        <v>6096</v>
      </c>
      <c r="O10" s="29">
        <v>7238</v>
      </c>
      <c r="P10" s="29">
        <v>7389</v>
      </c>
      <c r="Q10" s="29">
        <v>7425</v>
      </c>
      <c r="R10" s="29">
        <v>1548</v>
      </c>
      <c r="S10" s="29">
        <v>3967</v>
      </c>
      <c r="T10" s="29">
        <v>6167</v>
      </c>
      <c r="U10" s="29">
        <v>7136</v>
      </c>
      <c r="V10" s="29">
        <v>7372</v>
      </c>
      <c r="W10" s="29">
        <v>579</v>
      </c>
      <c r="X10" s="29" t="s">
        <v>0</v>
      </c>
    </row>
    <row r="11" spans="1:24">
      <c r="A11" s="29" t="s">
        <v>0</v>
      </c>
      <c r="B11" s="29">
        <v>7360</v>
      </c>
      <c r="C11" s="29">
        <v>8850</v>
      </c>
      <c r="D11" s="29">
        <v>7868</v>
      </c>
      <c r="E11" s="29">
        <v>7569</v>
      </c>
      <c r="F11" s="29">
        <v>7537</v>
      </c>
      <c r="G11" s="29">
        <v>7678</v>
      </c>
      <c r="H11" s="29">
        <v>601</v>
      </c>
      <c r="I11" s="29">
        <v>723</v>
      </c>
      <c r="J11" s="29">
        <v>1703</v>
      </c>
      <c r="K11" s="29">
        <v>4780</v>
      </c>
      <c r="L11" s="29">
        <v>6770</v>
      </c>
      <c r="M11" s="29">
        <v>3764</v>
      </c>
      <c r="N11" s="29">
        <v>5809</v>
      </c>
      <c r="O11" s="29">
        <v>6925</v>
      </c>
      <c r="P11" s="29">
        <v>7038</v>
      </c>
      <c r="Q11" s="29">
        <v>7468</v>
      </c>
      <c r="R11" s="29">
        <v>1469</v>
      </c>
      <c r="S11" s="29">
        <v>3687</v>
      </c>
      <c r="T11" s="29">
        <v>6104</v>
      </c>
      <c r="U11" s="29">
        <v>7011</v>
      </c>
      <c r="V11" s="29">
        <v>7316</v>
      </c>
      <c r="W11" s="29">
        <v>653</v>
      </c>
      <c r="X11" s="29" t="s">
        <v>0</v>
      </c>
    </row>
    <row r="12" spans="1:24">
      <c r="A12" s="29" t="s">
        <v>0</v>
      </c>
      <c r="B12" s="29">
        <v>7342</v>
      </c>
      <c r="C12" s="29">
        <v>8836</v>
      </c>
      <c r="D12" s="29">
        <v>7730</v>
      </c>
      <c r="E12" s="29">
        <v>7479</v>
      </c>
      <c r="F12" s="29">
        <v>7302</v>
      </c>
      <c r="G12" s="29">
        <v>7318</v>
      </c>
      <c r="H12" s="29">
        <v>560</v>
      </c>
      <c r="I12" s="29">
        <v>727</v>
      </c>
      <c r="J12" s="29">
        <v>1669</v>
      </c>
      <c r="K12" s="29">
        <v>4825</v>
      </c>
      <c r="L12" s="29">
        <v>6697</v>
      </c>
      <c r="M12" s="29">
        <v>3755</v>
      </c>
      <c r="N12" s="29">
        <v>5900</v>
      </c>
      <c r="O12" s="29">
        <v>6692</v>
      </c>
      <c r="P12" s="29">
        <v>7207</v>
      </c>
      <c r="Q12" s="29">
        <v>7429</v>
      </c>
      <c r="R12" s="29">
        <v>1496</v>
      </c>
      <c r="S12" s="29">
        <v>2567</v>
      </c>
      <c r="T12" s="29">
        <v>5991</v>
      </c>
      <c r="U12" s="29">
        <v>7048</v>
      </c>
      <c r="V12" s="29">
        <v>7237</v>
      </c>
      <c r="W12" s="29">
        <v>700</v>
      </c>
      <c r="X12" s="29" t="s">
        <v>0</v>
      </c>
    </row>
    <row r="13" spans="1:24">
      <c r="A13" s="29" t="s">
        <v>0</v>
      </c>
      <c r="B13" s="29">
        <v>7674</v>
      </c>
      <c r="C13" s="29">
        <v>1370</v>
      </c>
      <c r="D13" s="29">
        <v>1425</v>
      </c>
      <c r="E13" s="29">
        <v>2860</v>
      </c>
      <c r="F13" s="29">
        <v>6209</v>
      </c>
      <c r="G13" s="29">
        <v>7294</v>
      </c>
      <c r="H13" s="29">
        <v>7665</v>
      </c>
      <c r="I13" s="29">
        <v>7605</v>
      </c>
      <c r="J13" s="29">
        <v>7626</v>
      </c>
      <c r="K13" s="29">
        <v>7622</v>
      </c>
      <c r="L13" s="29">
        <v>7462</v>
      </c>
      <c r="M13" s="29">
        <v>1749</v>
      </c>
      <c r="N13" s="29">
        <v>3876</v>
      </c>
      <c r="O13" s="29">
        <v>5770</v>
      </c>
      <c r="P13" s="29">
        <v>7078</v>
      </c>
      <c r="Q13" s="29">
        <v>7328</v>
      </c>
      <c r="R13" s="29">
        <v>558</v>
      </c>
      <c r="S13" s="29">
        <v>1264</v>
      </c>
      <c r="T13" s="29">
        <v>3155</v>
      </c>
      <c r="U13" s="29">
        <v>6520</v>
      </c>
      <c r="V13" s="29">
        <v>7285</v>
      </c>
      <c r="W13" s="29">
        <v>614</v>
      </c>
      <c r="X13" s="29" t="s">
        <v>0</v>
      </c>
    </row>
    <row r="14" spans="1:24">
      <c r="A14" s="29" t="s">
        <v>0</v>
      </c>
      <c r="B14" s="29">
        <v>7549</v>
      </c>
      <c r="C14" s="29">
        <v>1377</v>
      </c>
      <c r="D14" s="29">
        <v>1377</v>
      </c>
      <c r="E14" s="29">
        <v>2833</v>
      </c>
      <c r="F14" s="29">
        <v>6212</v>
      </c>
      <c r="G14" s="29">
        <v>7237</v>
      </c>
      <c r="H14" s="29">
        <v>7350</v>
      </c>
      <c r="I14" s="29">
        <v>7517</v>
      </c>
      <c r="J14" s="29">
        <v>7441</v>
      </c>
      <c r="K14" s="29">
        <v>7418</v>
      </c>
      <c r="L14" s="29">
        <v>6636</v>
      </c>
      <c r="M14" s="29">
        <v>1620</v>
      </c>
      <c r="N14" s="29">
        <v>3859</v>
      </c>
      <c r="O14" s="29">
        <v>5743</v>
      </c>
      <c r="P14" s="29">
        <v>7024</v>
      </c>
      <c r="Q14" s="29">
        <v>7356</v>
      </c>
      <c r="R14" s="29">
        <v>540</v>
      </c>
      <c r="S14" s="29">
        <v>1248</v>
      </c>
      <c r="T14" s="29">
        <v>3394</v>
      </c>
      <c r="U14" s="29">
        <v>6550</v>
      </c>
      <c r="V14" s="29">
        <v>7252</v>
      </c>
      <c r="W14" s="29">
        <v>652</v>
      </c>
      <c r="X14" s="29" t="s">
        <v>0</v>
      </c>
    </row>
    <row r="15" spans="1:24">
      <c r="A15" s="29" t="s">
        <v>0</v>
      </c>
      <c r="B15" s="29">
        <v>7396</v>
      </c>
      <c r="C15" s="29">
        <v>1355</v>
      </c>
      <c r="D15" s="29">
        <v>1400</v>
      </c>
      <c r="E15" s="29">
        <v>2873</v>
      </c>
      <c r="F15" s="29">
        <v>5901</v>
      </c>
      <c r="G15" s="29">
        <v>7023</v>
      </c>
      <c r="H15" s="29">
        <v>7251</v>
      </c>
      <c r="I15" s="29">
        <v>7352</v>
      </c>
      <c r="J15" s="29">
        <v>7353</v>
      </c>
      <c r="K15" s="29">
        <v>7248</v>
      </c>
      <c r="L15" s="29">
        <v>7208</v>
      </c>
      <c r="M15" s="29">
        <v>1597</v>
      </c>
      <c r="N15" s="29">
        <v>3622</v>
      </c>
      <c r="O15" s="29">
        <v>5728</v>
      </c>
      <c r="P15" s="29">
        <v>6732</v>
      </c>
      <c r="Q15" s="29">
        <v>6926</v>
      </c>
      <c r="R15" s="29">
        <v>500</v>
      </c>
      <c r="S15" s="29">
        <v>1211</v>
      </c>
      <c r="T15" s="29">
        <v>3097</v>
      </c>
      <c r="U15" s="29">
        <v>2091</v>
      </c>
      <c r="V15" s="29">
        <v>6899</v>
      </c>
      <c r="W15" s="29">
        <v>626</v>
      </c>
      <c r="X15" s="29" t="s">
        <v>0</v>
      </c>
    </row>
    <row r="16" spans="1:24">
      <c r="A16" s="29" t="s">
        <v>0</v>
      </c>
      <c r="B16" s="29">
        <v>7210</v>
      </c>
      <c r="C16" s="29">
        <v>1203</v>
      </c>
      <c r="D16" s="29">
        <v>1282</v>
      </c>
      <c r="E16" s="29">
        <v>2754</v>
      </c>
      <c r="F16" s="29">
        <v>5955</v>
      </c>
      <c r="G16" s="29">
        <v>6841</v>
      </c>
      <c r="H16" s="29">
        <v>7211</v>
      </c>
      <c r="I16" s="29">
        <v>7077</v>
      </c>
      <c r="J16" s="29">
        <v>7030</v>
      </c>
      <c r="K16" s="29">
        <v>7022</v>
      </c>
      <c r="L16" s="29">
        <v>7259</v>
      </c>
      <c r="M16" s="29">
        <v>1673</v>
      </c>
      <c r="N16" s="29">
        <v>3774</v>
      </c>
      <c r="O16" s="29">
        <v>5742</v>
      </c>
      <c r="P16" s="29">
        <v>6769</v>
      </c>
      <c r="Q16" s="29">
        <v>7160</v>
      </c>
      <c r="R16" s="29">
        <v>525</v>
      </c>
      <c r="S16" s="29">
        <v>1177</v>
      </c>
      <c r="T16" s="29">
        <v>3026</v>
      </c>
      <c r="U16" s="29">
        <v>6122</v>
      </c>
      <c r="V16" s="29">
        <v>6714</v>
      </c>
      <c r="W16" s="29">
        <v>622</v>
      </c>
      <c r="X16" s="29" t="s">
        <v>0</v>
      </c>
    </row>
    <row r="17" spans="1:24">
      <c r="A17" s="29" t="s">
        <v>0</v>
      </c>
      <c r="B17" s="29">
        <v>7496</v>
      </c>
      <c r="C17" s="29">
        <v>9606</v>
      </c>
      <c r="D17" s="29">
        <v>8067</v>
      </c>
      <c r="E17" s="29">
        <v>7384</v>
      </c>
      <c r="F17" s="29">
        <v>7336</v>
      </c>
      <c r="G17" s="29">
        <v>7716</v>
      </c>
      <c r="H17" s="29">
        <v>2063</v>
      </c>
      <c r="I17" s="29">
        <v>5007</v>
      </c>
      <c r="J17" s="29">
        <v>6554</v>
      </c>
      <c r="K17" s="29">
        <v>7241</v>
      </c>
      <c r="L17" s="29">
        <v>7448</v>
      </c>
      <c r="M17" s="29">
        <v>4532</v>
      </c>
      <c r="N17" s="29">
        <v>6034</v>
      </c>
      <c r="O17" s="29">
        <v>7072</v>
      </c>
      <c r="P17" s="29">
        <v>7294</v>
      </c>
      <c r="Q17" s="29">
        <v>7196</v>
      </c>
      <c r="R17" s="29">
        <v>2414</v>
      </c>
      <c r="S17" s="29">
        <v>4890</v>
      </c>
      <c r="T17" s="29">
        <v>6361</v>
      </c>
      <c r="U17" s="29">
        <v>7108</v>
      </c>
      <c r="V17" s="29">
        <v>7305</v>
      </c>
      <c r="W17" s="29">
        <v>570</v>
      </c>
      <c r="X17" s="29" t="s">
        <v>0</v>
      </c>
    </row>
    <row r="18" spans="1:24">
      <c r="A18" s="29" t="s">
        <v>0</v>
      </c>
      <c r="B18" s="29">
        <v>7286</v>
      </c>
      <c r="C18" s="29">
        <v>9743</v>
      </c>
      <c r="D18" s="29">
        <v>7594</v>
      </c>
      <c r="E18" s="29">
        <v>7598</v>
      </c>
      <c r="F18" s="29">
        <v>7373</v>
      </c>
      <c r="G18" s="29">
        <v>7464</v>
      </c>
      <c r="H18" s="29">
        <v>2019</v>
      </c>
      <c r="I18" s="29">
        <v>4893</v>
      </c>
      <c r="J18" s="29">
        <v>6533</v>
      </c>
      <c r="K18" s="29">
        <v>7265</v>
      </c>
      <c r="L18" s="29">
        <v>7511</v>
      </c>
      <c r="M18" s="29">
        <v>4390</v>
      </c>
      <c r="N18" s="29">
        <v>6262</v>
      </c>
      <c r="O18" s="29">
        <v>6961</v>
      </c>
      <c r="P18" s="29">
        <v>7256</v>
      </c>
      <c r="Q18" s="29">
        <v>7166</v>
      </c>
      <c r="R18" s="29">
        <v>2383</v>
      </c>
      <c r="S18" s="29">
        <v>4908</v>
      </c>
      <c r="T18" s="29">
        <v>6368</v>
      </c>
      <c r="U18" s="29">
        <v>6965</v>
      </c>
      <c r="V18" s="29">
        <v>7311</v>
      </c>
      <c r="W18" s="29">
        <v>614</v>
      </c>
      <c r="X18" s="29" t="s">
        <v>0</v>
      </c>
    </row>
    <row r="19" spans="1:24">
      <c r="A19" s="29" t="s">
        <v>0</v>
      </c>
      <c r="B19" s="29">
        <v>7787</v>
      </c>
      <c r="C19" s="29">
        <v>10033</v>
      </c>
      <c r="D19" s="29">
        <v>8107</v>
      </c>
      <c r="E19" s="29">
        <v>7994</v>
      </c>
      <c r="F19" s="29">
        <v>7750</v>
      </c>
      <c r="G19" s="29">
        <v>7868</v>
      </c>
      <c r="H19" s="29">
        <v>2226</v>
      </c>
      <c r="I19" s="29">
        <v>5421</v>
      </c>
      <c r="J19" s="29">
        <v>7040</v>
      </c>
      <c r="K19" s="29">
        <v>7611</v>
      </c>
      <c r="L19" s="29">
        <v>7001</v>
      </c>
      <c r="M19" s="29">
        <v>4708</v>
      </c>
      <c r="N19" s="29">
        <v>6540</v>
      </c>
      <c r="O19" s="29">
        <v>7285</v>
      </c>
      <c r="P19" s="29">
        <v>7529</v>
      </c>
      <c r="Q19" s="29">
        <v>7491</v>
      </c>
      <c r="R19" s="29">
        <v>2578</v>
      </c>
      <c r="S19" s="29">
        <v>5243</v>
      </c>
      <c r="T19" s="29">
        <v>6751</v>
      </c>
      <c r="U19" s="29">
        <v>7310</v>
      </c>
      <c r="V19" s="29">
        <v>7416</v>
      </c>
      <c r="W19" s="29">
        <v>721</v>
      </c>
      <c r="X19" s="29" t="s">
        <v>0</v>
      </c>
    </row>
    <row r="20" spans="1:24">
      <c r="A20" s="29" t="s">
        <v>0</v>
      </c>
      <c r="B20" s="29">
        <v>7680</v>
      </c>
      <c r="C20" s="29">
        <v>10047</v>
      </c>
      <c r="D20" s="29">
        <v>8052</v>
      </c>
      <c r="E20" s="29">
        <v>8019</v>
      </c>
      <c r="F20" s="29">
        <v>7538</v>
      </c>
      <c r="G20" s="29">
        <v>7758</v>
      </c>
      <c r="H20" s="29">
        <v>2294</v>
      </c>
      <c r="I20" s="29">
        <v>5296</v>
      </c>
      <c r="J20" s="29">
        <v>6873</v>
      </c>
      <c r="K20" s="29">
        <v>7679</v>
      </c>
      <c r="L20" s="29">
        <v>7642</v>
      </c>
      <c r="M20" s="29">
        <v>4830</v>
      </c>
      <c r="N20" s="29">
        <v>6350</v>
      </c>
      <c r="O20" s="29">
        <v>7334</v>
      </c>
      <c r="P20" s="29">
        <v>7483</v>
      </c>
      <c r="Q20" s="29">
        <v>7753</v>
      </c>
      <c r="R20" s="29">
        <v>2587</v>
      </c>
      <c r="S20" s="29">
        <v>5166</v>
      </c>
      <c r="T20" s="29">
        <v>6673</v>
      </c>
      <c r="U20" s="29">
        <v>7208</v>
      </c>
      <c r="V20" s="29">
        <v>7469</v>
      </c>
      <c r="W20" s="29">
        <v>692</v>
      </c>
      <c r="X20" s="29" t="s">
        <v>0</v>
      </c>
    </row>
    <row r="21" spans="1:24">
      <c r="A21" s="29" t="s">
        <v>0</v>
      </c>
      <c r="B21" s="29">
        <v>7457</v>
      </c>
      <c r="C21" s="29">
        <v>1403</v>
      </c>
      <c r="D21" s="29">
        <v>3799</v>
      </c>
      <c r="E21" s="29">
        <v>6054</v>
      </c>
      <c r="F21" s="29">
        <v>7034</v>
      </c>
      <c r="G21" s="29">
        <v>7634</v>
      </c>
      <c r="H21" s="29">
        <v>4455</v>
      </c>
      <c r="I21" s="29">
        <v>7100</v>
      </c>
      <c r="J21" s="29">
        <v>6662</v>
      </c>
      <c r="K21" s="29">
        <v>7618</v>
      </c>
      <c r="L21" s="29">
        <v>7679</v>
      </c>
      <c r="M21" s="29">
        <v>7292</v>
      </c>
      <c r="N21" s="29">
        <v>7573</v>
      </c>
      <c r="O21" s="29">
        <v>7487</v>
      </c>
      <c r="P21" s="29">
        <v>7352</v>
      </c>
      <c r="Q21" s="29">
        <v>7456</v>
      </c>
      <c r="R21" s="29">
        <v>1677</v>
      </c>
      <c r="S21" s="29">
        <v>4795</v>
      </c>
      <c r="T21" s="29">
        <v>6425</v>
      </c>
      <c r="U21" s="29">
        <v>7054</v>
      </c>
      <c r="V21" s="29">
        <v>7410</v>
      </c>
      <c r="W21" s="29">
        <v>641</v>
      </c>
      <c r="X21" s="29" t="s">
        <v>0</v>
      </c>
    </row>
    <row r="22" spans="1:24">
      <c r="A22" s="29" t="s">
        <v>0</v>
      </c>
      <c r="B22" s="29">
        <v>7494</v>
      </c>
      <c r="C22" s="29">
        <v>1442</v>
      </c>
      <c r="D22" s="29">
        <v>3812</v>
      </c>
      <c r="E22" s="29">
        <v>5790</v>
      </c>
      <c r="F22" s="29">
        <v>7054</v>
      </c>
      <c r="G22" s="29">
        <v>7405</v>
      </c>
      <c r="H22" s="29">
        <v>4710</v>
      </c>
      <c r="I22" s="29">
        <v>7478</v>
      </c>
      <c r="J22" s="29">
        <v>7386</v>
      </c>
      <c r="K22" s="29">
        <v>7509</v>
      </c>
      <c r="L22" s="29">
        <v>7129</v>
      </c>
      <c r="M22" s="29">
        <v>7485</v>
      </c>
      <c r="N22" s="29">
        <v>7358</v>
      </c>
      <c r="O22" s="29">
        <v>7527</v>
      </c>
      <c r="P22" s="29">
        <v>7596</v>
      </c>
      <c r="Q22" s="29">
        <v>7520</v>
      </c>
      <c r="R22" s="29">
        <v>3233</v>
      </c>
      <c r="S22" s="29">
        <v>4936</v>
      </c>
      <c r="T22" s="29">
        <v>6442</v>
      </c>
      <c r="U22" s="29">
        <v>7031</v>
      </c>
      <c r="V22" s="29">
        <v>7350</v>
      </c>
      <c r="W22" s="29">
        <v>681</v>
      </c>
      <c r="X22" s="29" t="s">
        <v>0</v>
      </c>
    </row>
    <row r="23" spans="1:24">
      <c r="A23" s="29" t="s">
        <v>0</v>
      </c>
      <c r="B23" s="29">
        <v>7852</v>
      </c>
      <c r="C23" s="29">
        <v>1397</v>
      </c>
      <c r="D23" s="29">
        <v>3891</v>
      </c>
      <c r="E23" s="29">
        <v>6173</v>
      </c>
      <c r="F23" s="29">
        <v>7164</v>
      </c>
      <c r="G23" s="29">
        <v>7454</v>
      </c>
      <c r="H23" s="29">
        <v>4988</v>
      </c>
      <c r="I23" s="29">
        <v>7882</v>
      </c>
      <c r="J23" s="29">
        <v>7706</v>
      </c>
      <c r="K23" s="29">
        <v>7712</v>
      </c>
      <c r="L23" s="29">
        <v>7633</v>
      </c>
      <c r="M23" s="29">
        <v>7477</v>
      </c>
      <c r="N23" s="29">
        <v>7575</v>
      </c>
      <c r="O23" s="29">
        <v>7541</v>
      </c>
      <c r="P23" s="29">
        <v>7454</v>
      </c>
      <c r="Q23" s="29">
        <v>7390</v>
      </c>
      <c r="R23" s="29">
        <v>1865</v>
      </c>
      <c r="S23" s="29">
        <v>4968</v>
      </c>
      <c r="T23" s="29">
        <v>6438</v>
      </c>
      <c r="U23" s="29">
        <v>7168</v>
      </c>
      <c r="V23" s="29">
        <v>7343</v>
      </c>
      <c r="W23" s="29">
        <v>581</v>
      </c>
      <c r="X23" s="29" t="s">
        <v>0</v>
      </c>
    </row>
    <row r="24" spans="1:24">
      <c r="A24" s="29" t="s">
        <v>0</v>
      </c>
      <c r="B24" s="29">
        <v>7645</v>
      </c>
      <c r="C24" s="29">
        <v>1432</v>
      </c>
      <c r="D24" s="29">
        <v>3873</v>
      </c>
      <c r="E24" s="29">
        <v>6017</v>
      </c>
      <c r="F24" s="29">
        <v>7088</v>
      </c>
      <c r="G24" s="29">
        <v>7296</v>
      </c>
      <c r="H24" s="29">
        <v>1452</v>
      </c>
      <c r="I24" s="29">
        <v>7242</v>
      </c>
      <c r="J24" s="29">
        <v>7510</v>
      </c>
      <c r="K24" s="29">
        <v>7638</v>
      </c>
      <c r="L24" s="29">
        <v>7496</v>
      </c>
      <c r="M24" s="29">
        <v>7559</v>
      </c>
      <c r="N24" s="29">
        <v>7625</v>
      </c>
      <c r="O24" s="29">
        <v>7615</v>
      </c>
      <c r="P24" s="29">
        <v>7690</v>
      </c>
      <c r="Q24" s="29">
        <v>7438</v>
      </c>
      <c r="R24" s="29">
        <v>2159</v>
      </c>
      <c r="S24" s="29">
        <v>5256</v>
      </c>
      <c r="T24" s="29">
        <v>6836</v>
      </c>
      <c r="U24" s="29">
        <v>7320</v>
      </c>
      <c r="V24" s="29">
        <v>7312</v>
      </c>
      <c r="W24" s="29">
        <v>665</v>
      </c>
      <c r="X24" s="29" t="s">
        <v>0</v>
      </c>
    </row>
    <row r="26" spans="1:24">
      <c r="A26" s="29" t="s">
        <v>742</v>
      </c>
    </row>
    <row r="27" spans="1:24">
      <c r="A27" s="29" t="s">
        <v>398</v>
      </c>
    </row>
    <row r="28" spans="1:24">
      <c r="A28" s="29" t="s">
        <v>0</v>
      </c>
      <c r="B28" s="29">
        <v>3331</v>
      </c>
      <c r="C28" s="29">
        <v>6227</v>
      </c>
      <c r="D28" s="29">
        <v>4309</v>
      </c>
      <c r="E28" s="29">
        <v>3827</v>
      </c>
      <c r="F28" s="29">
        <v>3322</v>
      </c>
      <c r="G28" s="29">
        <v>3233</v>
      </c>
      <c r="H28" s="29">
        <v>3953</v>
      </c>
      <c r="I28" s="29">
        <v>3673</v>
      </c>
      <c r="J28" s="29">
        <v>3091</v>
      </c>
      <c r="K28" s="29">
        <v>2918</v>
      </c>
      <c r="L28" s="29">
        <v>3187</v>
      </c>
      <c r="M28" s="29">
        <v>2880</v>
      </c>
      <c r="N28" s="29">
        <v>3047</v>
      </c>
      <c r="O28" s="29">
        <v>3164</v>
      </c>
      <c r="P28" s="29">
        <v>3268</v>
      </c>
      <c r="Q28" s="29">
        <v>3307</v>
      </c>
      <c r="R28" s="29">
        <v>2949</v>
      </c>
      <c r="S28" s="29">
        <v>2736</v>
      </c>
      <c r="T28" s="29">
        <v>3073</v>
      </c>
      <c r="U28" s="29">
        <v>3189</v>
      </c>
      <c r="V28" s="29">
        <v>3202</v>
      </c>
      <c r="W28" s="29">
        <v>4140</v>
      </c>
      <c r="X28" s="29" t="s">
        <v>0</v>
      </c>
    </row>
    <row r="29" spans="1:24">
      <c r="A29" s="29" t="s">
        <v>0</v>
      </c>
      <c r="B29" s="29">
        <v>3279</v>
      </c>
      <c r="C29" s="29">
        <v>6374</v>
      </c>
      <c r="D29" s="29">
        <v>4260</v>
      </c>
      <c r="E29" s="29">
        <v>3617</v>
      </c>
      <c r="F29" s="29">
        <v>3462</v>
      </c>
      <c r="G29" s="29">
        <v>3351</v>
      </c>
      <c r="H29" s="29">
        <v>3903</v>
      </c>
      <c r="I29" s="29">
        <v>3483</v>
      </c>
      <c r="J29" s="29">
        <v>3350</v>
      </c>
      <c r="K29" s="29">
        <v>2869</v>
      </c>
      <c r="L29" s="29">
        <v>3105</v>
      </c>
      <c r="M29" s="29">
        <v>2884</v>
      </c>
      <c r="N29" s="29">
        <v>3132</v>
      </c>
      <c r="O29" s="29">
        <v>3200</v>
      </c>
      <c r="P29" s="29">
        <v>3300</v>
      </c>
      <c r="Q29" s="29">
        <v>3251</v>
      </c>
      <c r="R29" s="29">
        <v>3039</v>
      </c>
      <c r="S29" s="29">
        <v>2871</v>
      </c>
      <c r="T29" s="29">
        <v>3045</v>
      </c>
      <c r="U29" s="29">
        <v>3229</v>
      </c>
      <c r="V29" s="29">
        <v>3295</v>
      </c>
      <c r="W29" s="29">
        <v>4045</v>
      </c>
      <c r="X29" s="29" t="s">
        <v>0</v>
      </c>
    </row>
    <row r="30" spans="1:24">
      <c r="A30" s="29" t="s">
        <v>0</v>
      </c>
      <c r="B30" s="29">
        <v>3225</v>
      </c>
      <c r="C30" s="29">
        <v>6361</v>
      </c>
      <c r="D30" s="29">
        <v>4102</v>
      </c>
      <c r="E30" s="29">
        <v>3553</v>
      </c>
      <c r="F30" s="29">
        <v>3292</v>
      </c>
      <c r="G30" s="29">
        <v>3151</v>
      </c>
      <c r="H30" s="29">
        <v>3658</v>
      </c>
      <c r="I30" s="29">
        <v>3619</v>
      </c>
      <c r="J30" s="29">
        <v>3104</v>
      </c>
      <c r="K30" s="29">
        <v>2638</v>
      </c>
      <c r="L30" s="29">
        <v>2951</v>
      </c>
      <c r="M30" s="29">
        <v>2605</v>
      </c>
      <c r="N30" s="29">
        <v>2994</v>
      </c>
      <c r="O30" s="29">
        <v>3016</v>
      </c>
      <c r="P30" s="29">
        <v>3058</v>
      </c>
      <c r="Q30" s="29">
        <v>3144</v>
      </c>
      <c r="R30" s="29">
        <v>2886</v>
      </c>
      <c r="S30" s="29">
        <v>2743</v>
      </c>
      <c r="T30" s="29">
        <v>2979</v>
      </c>
      <c r="U30" s="29">
        <v>3005</v>
      </c>
      <c r="V30" s="29">
        <v>3280</v>
      </c>
      <c r="W30" s="29">
        <v>4260</v>
      </c>
      <c r="X30" s="29" t="s">
        <v>0</v>
      </c>
    </row>
    <row r="31" spans="1:24">
      <c r="A31" s="29" t="s">
        <v>0</v>
      </c>
      <c r="B31" s="29">
        <v>3211</v>
      </c>
      <c r="C31" s="29">
        <v>6501</v>
      </c>
      <c r="D31" s="29">
        <v>4199</v>
      </c>
      <c r="E31" s="29">
        <v>3518</v>
      </c>
      <c r="F31" s="29">
        <v>3252</v>
      </c>
      <c r="G31" s="29">
        <v>3137</v>
      </c>
      <c r="H31" s="29">
        <v>3695</v>
      </c>
      <c r="I31" s="29">
        <v>3506</v>
      </c>
      <c r="J31" s="29">
        <v>3131</v>
      </c>
      <c r="K31" s="29">
        <v>2785</v>
      </c>
      <c r="L31" s="29">
        <v>2954</v>
      </c>
      <c r="M31" s="29">
        <v>2614</v>
      </c>
      <c r="N31" s="29">
        <v>3013</v>
      </c>
      <c r="O31" s="29">
        <v>2981</v>
      </c>
      <c r="P31" s="29">
        <v>3075</v>
      </c>
      <c r="Q31" s="29">
        <v>3018</v>
      </c>
      <c r="R31" s="29">
        <v>2840</v>
      </c>
      <c r="S31" s="29">
        <v>2910</v>
      </c>
      <c r="T31" s="29">
        <v>2786</v>
      </c>
      <c r="U31" s="29">
        <v>3144</v>
      </c>
      <c r="V31" s="29">
        <v>3012</v>
      </c>
      <c r="W31" s="29">
        <v>4137</v>
      </c>
      <c r="X31" s="29" t="s">
        <v>0</v>
      </c>
    </row>
    <row r="32" spans="1:24">
      <c r="A32" s="29" t="s">
        <v>0</v>
      </c>
      <c r="B32" s="29">
        <v>3219</v>
      </c>
      <c r="C32" s="29">
        <v>2958</v>
      </c>
      <c r="D32" s="29">
        <v>2812</v>
      </c>
      <c r="E32" s="29">
        <v>2879</v>
      </c>
      <c r="F32" s="29">
        <v>2919</v>
      </c>
      <c r="G32" s="29">
        <v>3189</v>
      </c>
      <c r="H32" s="29">
        <v>3149</v>
      </c>
      <c r="I32" s="29">
        <v>3152</v>
      </c>
      <c r="J32" s="29">
        <v>3156</v>
      </c>
      <c r="K32" s="29">
        <v>3219</v>
      </c>
      <c r="L32" s="29">
        <v>3105</v>
      </c>
      <c r="M32" s="29">
        <v>2614</v>
      </c>
      <c r="N32" s="29">
        <v>2812</v>
      </c>
      <c r="O32" s="29">
        <v>2987</v>
      </c>
      <c r="P32" s="29">
        <v>3081</v>
      </c>
      <c r="Q32" s="29">
        <v>3175</v>
      </c>
      <c r="R32" s="29">
        <v>3172</v>
      </c>
      <c r="S32" s="29">
        <v>2889</v>
      </c>
      <c r="T32" s="29">
        <v>2362</v>
      </c>
      <c r="U32" s="29">
        <v>2789</v>
      </c>
      <c r="V32" s="29">
        <v>3057</v>
      </c>
      <c r="W32" s="29">
        <v>4054</v>
      </c>
      <c r="X32" s="29" t="s">
        <v>0</v>
      </c>
    </row>
    <row r="33" spans="1:24">
      <c r="A33" s="29" t="s">
        <v>0</v>
      </c>
      <c r="B33" s="29">
        <v>3306</v>
      </c>
      <c r="C33" s="29">
        <v>3003</v>
      </c>
      <c r="D33" s="29">
        <v>2637</v>
      </c>
      <c r="E33" s="29">
        <v>2777</v>
      </c>
      <c r="F33" s="29">
        <v>2988</v>
      </c>
      <c r="G33" s="29">
        <v>3160</v>
      </c>
      <c r="H33" s="29">
        <v>2985</v>
      </c>
      <c r="I33" s="29">
        <v>3087</v>
      </c>
      <c r="J33" s="29">
        <v>3184</v>
      </c>
      <c r="K33" s="29">
        <v>3098</v>
      </c>
      <c r="L33" s="29">
        <v>2604</v>
      </c>
      <c r="M33" s="29">
        <v>2576</v>
      </c>
      <c r="N33" s="29">
        <v>2803</v>
      </c>
      <c r="O33" s="29">
        <v>3098</v>
      </c>
      <c r="P33" s="29">
        <v>3165</v>
      </c>
      <c r="Q33" s="29">
        <v>3169</v>
      </c>
      <c r="R33" s="29">
        <v>3099</v>
      </c>
      <c r="S33" s="29">
        <v>2535</v>
      </c>
      <c r="T33" s="29">
        <v>2356</v>
      </c>
      <c r="U33" s="29">
        <v>2982</v>
      </c>
      <c r="V33" s="29">
        <v>3111</v>
      </c>
      <c r="W33" s="29">
        <v>4175</v>
      </c>
      <c r="X33" s="29" t="s">
        <v>0</v>
      </c>
    </row>
    <row r="34" spans="1:24">
      <c r="A34" s="29" t="s">
        <v>0</v>
      </c>
      <c r="B34" s="29">
        <v>3032</v>
      </c>
      <c r="C34" s="29">
        <v>2793</v>
      </c>
      <c r="D34" s="29">
        <v>2611</v>
      </c>
      <c r="E34" s="29">
        <v>2633</v>
      </c>
      <c r="F34" s="29">
        <v>2849</v>
      </c>
      <c r="G34" s="29">
        <v>3007</v>
      </c>
      <c r="H34" s="29">
        <v>2975</v>
      </c>
      <c r="I34" s="29">
        <v>2886</v>
      </c>
      <c r="J34" s="29">
        <v>3047</v>
      </c>
      <c r="K34" s="29">
        <v>3030</v>
      </c>
      <c r="L34" s="29">
        <v>3086</v>
      </c>
      <c r="M34" s="29">
        <v>2456</v>
      </c>
      <c r="N34" s="29">
        <v>2706</v>
      </c>
      <c r="O34" s="29">
        <v>2911</v>
      </c>
      <c r="P34" s="29">
        <v>2929</v>
      </c>
      <c r="Q34" s="29">
        <v>2924</v>
      </c>
      <c r="R34" s="29">
        <v>2917</v>
      </c>
      <c r="S34" s="29">
        <v>2563</v>
      </c>
      <c r="T34" s="29">
        <v>2268</v>
      </c>
      <c r="U34" s="29">
        <v>2412</v>
      </c>
      <c r="V34" s="29">
        <v>2916</v>
      </c>
      <c r="W34" s="29">
        <v>4189</v>
      </c>
      <c r="X34" s="29" t="s">
        <v>0</v>
      </c>
    </row>
    <row r="35" spans="1:24">
      <c r="A35" s="29" t="s">
        <v>0</v>
      </c>
      <c r="B35" s="29">
        <v>3095</v>
      </c>
      <c r="C35" s="29">
        <v>2871</v>
      </c>
      <c r="D35" s="29">
        <v>2566</v>
      </c>
      <c r="E35" s="29">
        <v>2607</v>
      </c>
      <c r="F35" s="29">
        <v>2832</v>
      </c>
      <c r="G35" s="29">
        <v>2882</v>
      </c>
      <c r="H35" s="29">
        <v>2974</v>
      </c>
      <c r="I35" s="29">
        <v>2968</v>
      </c>
      <c r="J35" s="29">
        <v>2950</v>
      </c>
      <c r="K35" s="29">
        <v>2999</v>
      </c>
      <c r="L35" s="29">
        <v>3005</v>
      </c>
      <c r="M35" s="29">
        <v>2419</v>
      </c>
      <c r="N35" s="29">
        <v>2681</v>
      </c>
      <c r="O35" s="29">
        <v>3027</v>
      </c>
      <c r="P35" s="29">
        <v>2906</v>
      </c>
      <c r="Q35" s="29">
        <v>3055</v>
      </c>
      <c r="R35" s="29">
        <v>2831</v>
      </c>
      <c r="S35" s="29">
        <v>2476</v>
      </c>
      <c r="T35" s="29">
        <v>2322</v>
      </c>
      <c r="U35" s="29">
        <v>2767</v>
      </c>
      <c r="V35" s="29">
        <v>2924</v>
      </c>
      <c r="W35" s="29">
        <v>4125</v>
      </c>
      <c r="X35" s="29" t="s">
        <v>0</v>
      </c>
    </row>
    <row r="36" spans="1:24">
      <c r="A36" s="29" t="s">
        <v>0</v>
      </c>
      <c r="B36" s="29">
        <v>3271</v>
      </c>
      <c r="C36" s="29">
        <v>6462</v>
      </c>
      <c r="D36" s="29">
        <v>4990</v>
      </c>
      <c r="E36" s="29">
        <v>3782</v>
      </c>
      <c r="F36" s="29">
        <v>3368</v>
      </c>
      <c r="G36" s="29">
        <v>3273</v>
      </c>
      <c r="H36" s="29">
        <v>3016</v>
      </c>
      <c r="I36" s="29">
        <v>2977</v>
      </c>
      <c r="J36" s="29">
        <v>3065</v>
      </c>
      <c r="K36" s="29">
        <v>3050</v>
      </c>
      <c r="L36" s="29">
        <v>3133</v>
      </c>
      <c r="M36" s="29">
        <v>2891</v>
      </c>
      <c r="N36" s="29">
        <v>3024</v>
      </c>
      <c r="O36" s="29">
        <v>3118</v>
      </c>
      <c r="P36" s="29">
        <v>3038</v>
      </c>
      <c r="Q36" s="29">
        <v>3055</v>
      </c>
      <c r="R36" s="29">
        <v>2073</v>
      </c>
      <c r="S36" s="29">
        <v>2653</v>
      </c>
      <c r="T36" s="29">
        <v>2945</v>
      </c>
      <c r="U36" s="29">
        <v>3110</v>
      </c>
      <c r="V36" s="29">
        <v>3172</v>
      </c>
      <c r="W36" s="29">
        <v>3992</v>
      </c>
      <c r="X36" s="29" t="s">
        <v>0</v>
      </c>
    </row>
    <row r="37" spans="1:24">
      <c r="A37" s="29" t="s">
        <v>0</v>
      </c>
      <c r="B37" s="29">
        <v>3263</v>
      </c>
      <c r="C37" s="29">
        <v>6507</v>
      </c>
      <c r="D37" s="29">
        <v>4795</v>
      </c>
      <c r="E37" s="29">
        <v>3793</v>
      </c>
      <c r="F37" s="29">
        <v>3359</v>
      </c>
      <c r="G37" s="29">
        <v>3246</v>
      </c>
      <c r="H37" s="29">
        <v>3053</v>
      </c>
      <c r="I37" s="29">
        <v>2960</v>
      </c>
      <c r="J37" s="29">
        <v>3163</v>
      </c>
      <c r="K37" s="29">
        <v>3180</v>
      </c>
      <c r="L37" s="29">
        <v>3283</v>
      </c>
      <c r="M37" s="29">
        <v>2841</v>
      </c>
      <c r="N37" s="29">
        <v>3064</v>
      </c>
      <c r="O37" s="29">
        <v>3116</v>
      </c>
      <c r="P37" s="29">
        <v>3246</v>
      </c>
      <c r="Q37" s="29">
        <v>3091</v>
      </c>
      <c r="R37" s="29">
        <v>2227</v>
      </c>
      <c r="S37" s="29">
        <v>2821</v>
      </c>
      <c r="T37" s="29">
        <v>2874</v>
      </c>
      <c r="U37" s="29">
        <v>2932</v>
      </c>
      <c r="V37" s="29">
        <v>3026</v>
      </c>
      <c r="W37" s="29">
        <v>4197</v>
      </c>
      <c r="X37" s="29" t="s">
        <v>0</v>
      </c>
    </row>
    <row r="38" spans="1:24">
      <c r="A38" s="29" t="s">
        <v>0</v>
      </c>
      <c r="B38" s="29">
        <v>3454</v>
      </c>
      <c r="C38" s="29">
        <v>6810</v>
      </c>
      <c r="D38" s="29">
        <v>5032</v>
      </c>
      <c r="E38" s="29">
        <v>4008</v>
      </c>
      <c r="F38" s="29">
        <v>3632</v>
      </c>
      <c r="G38" s="29">
        <v>3470</v>
      </c>
      <c r="H38" s="29">
        <v>3217</v>
      </c>
      <c r="I38" s="29">
        <v>3104</v>
      </c>
      <c r="J38" s="29">
        <v>3329</v>
      </c>
      <c r="K38" s="29">
        <v>3508</v>
      </c>
      <c r="L38" s="29">
        <v>3844</v>
      </c>
      <c r="M38" s="29">
        <v>3132</v>
      </c>
      <c r="N38" s="29">
        <v>3263</v>
      </c>
      <c r="O38" s="29">
        <v>3356</v>
      </c>
      <c r="P38" s="29">
        <v>3273</v>
      </c>
      <c r="Q38" s="29">
        <v>3374</v>
      </c>
      <c r="R38" s="29">
        <v>2330</v>
      </c>
      <c r="S38" s="29">
        <v>2913</v>
      </c>
      <c r="T38" s="29">
        <v>3137</v>
      </c>
      <c r="U38" s="29">
        <v>3321</v>
      </c>
      <c r="V38" s="29">
        <v>3224</v>
      </c>
      <c r="W38" s="29">
        <v>4391</v>
      </c>
      <c r="X38" s="29" t="s">
        <v>0</v>
      </c>
    </row>
    <row r="39" spans="1:24">
      <c r="A39" s="29" t="s">
        <v>0</v>
      </c>
      <c r="B39" s="29">
        <v>3340</v>
      </c>
      <c r="C39" s="29">
        <v>6696</v>
      </c>
      <c r="D39" s="29">
        <v>5074</v>
      </c>
      <c r="E39" s="29">
        <v>4160</v>
      </c>
      <c r="F39" s="29">
        <v>3632</v>
      </c>
      <c r="G39" s="29">
        <v>3408</v>
      </c>
      <c r="H39" s="29">
        <v>3349</v>
      </c>
      <c r="I39" s="29">
        <v>3165</v>
      </c>
      <c r="J39" s="29">
        <v>3238</v>
      </c>
      <c r="K39" s="29">
        <v>3342</v>
      </c>
      <c r="L39" s="29">
        <v>3303</v>
      </c>
      <c r="M39" s="29">
        <v>2993</v>
      </c>
      <c r="N39" s="29">
        <v>3274</v>
      </c>
      <c r="O39" s="29">
        <v>3413</v>
      </c>
      <c r="P39" s="29">
        <v>3256</v>
      </c>
      <c r="Q39" s="29">
        <v>3311</v>
      </c>
      <c r="R39" s="29">
        <v>2293</v>
      </c>
      <c r="S39" s="29">
        <v>2808</v>
      </c>
      <c r="T39" s="29">
        <v>3073</v>
      </c>
      <c r="U39" s="29">
        <v>3399</v>
      </c>
      <c r="V39" s="29">
        <v>3245</v>
      </c>
      <c r="W39" s="29">
        <v>4390</v>
      </c>
      <c r="X39" s="29" t="s">
        <v>0</v>
      </c>
    </row>
    <row r="40" spans="1:24">
      <c r="A40" s="29" t="s">
        <v>0</v>
      </c>
      <c r="B40" s="29">
        <v>3121</v>
      </c>
      <c r="C40" s="29">
        <v>2282</v>
      </c>
      <c r="D40" s="29">
        <v>2534</v>
      </c>
      <c r="E40" s="29">
        <v>2765</v>
      </c>
      <c r="F40" s="29">
        <v>3149</v>
      </c>
      <c r="G40" s="29">
        <v>3174</v>
      </c>
      <c r="H40" s="29">
        <v>3667</v>
      </c>
      <c r="I40" s="29">
        <v>3289</v>
      </c>
      <c r="J40" s="29">
        <v>3052</v>
      </c>
      <c r="K40" s="29">
        <v>3194</v>
      </c>
      <c r="L40" s="29">
        <v>3302</v>
      </c>
      <c r="M40" s="29">
        <v>3052</v>
      </c>
      <c r="N40" s="29">
        <v>3271</v>
      </c>
      <c r="O40" s="29">
        <v>3331</v>
      </c>
      <c r="P40" s="29">
        <v>3205</v>
      </c>
      <c r="Q40" s="29">
        <v>3173</v>
      </c>
      <c r="R40" s="29">
        <v>2632</v>
      </c>
      <c r="S40" s="29">
        <v>2713</v>
      </c>
      <c r="T40" s="29">
        <v>3076</v>
      </c>
      <c r="U40" s="29">
        <v>3135</v>
      </c>
      <c r="V40" s="29">
        <v>3169</v>
      </c>
      <c r="W40" s="29">
        <v>4308</v>
      </c>
      <c r="X40" s="29" t="s">
        <v>0</v>
      </c>
    </row>
    <row r="41" spans="1:24">
      <c r="A41" s="29" t="s">
        <v>0</v>
      </c>
      <c r="B41" s="29">
        <v>3254</v>
      </c>
      <c r="C41" s="29">
        <v>2192</v>
      </c>
      <c r="D41" s="29">
        <v>2536</v>
      </c>
      <c r="E41" s="29">
        <v>2768</v>
      </c>
      <c r="F41" s="29">
        <v>3021</v>
      </c>
      <c r="G41" s="29">
        <v>3215</v>
      </c>
      <c r="H41" s="29">
        <v>3831</v>
      </c>
      <c r="I41" s="29">
        <v>3405</v>
      </c>
      <c r="J41" s="29">
        <v>3217</v>
      </c>
      <c r="K41" s="29">
        <v>3194</v>
      </c>
      <c r="L41" s="29">
        <v>3116</v>
      </c>
      <c r="M41" s="29">
        <v>3191</v>
      </c>
      <c r="N41" s="29">
        <v>3263</v>
      </c>
      <c r="O41" s="29">
        <v>3177</v>
      </c>
      <c r="P41" s="29">
        <v>3249</v>
      </c>
      <c r="Q41" s="29">
        <v>3147</v>
      </c>
      <c r="R41" s="29">
        <v>2584</v>
      </c>
      <c r="S41" s="29">
        <v>2700</v>
      </c>
      <c r="T41" s="29">
        <v>3049</v>
      </c>
      <c r="U41" s="29">
        <v>3173</v>
      </c>
      <c r="V41" s="29">
        <v>3067</v>
      </c>
      <c r="W41" s="29">
        <v>4293</v>
      </c>
      <c r="X41" s="29" t="s">
        <v>0</v>
      </c>
    </row>
    <row r="42" spans="1:24">
      <c r="A42" s="29" t="s">
        <v>0</v>
      </c>
      <c r="B42" s="29">
        <v>3404</v>
      </c>
      <c r="C42" s="29">
        <v>2257</v>
      </c>
      <c r="D42" s="29">
        <v>2525</v>
      </c>
      <c r="E42" s="29">
        <v>2870</v>
      </c>
      <c r="F42" s="29">
        <v>3002</v>
      </c>
      <c r="G42" s="29">
        <v>3239</v>
      </c>
      <c r="H42" s="29">
        <v>3625</v>
      </c>
      <c r="I42" s="29">
        <v>3282</v>
      </c>
      <c r="J42" s="29">
        <v>3189</v>
      </c>
      <c r="K42" s="29">
        <v>3364</v>
      </c>
      <c r="L42" s="29">
        <v>3142</v>
      </c>
      <c r="M42" s="29">
        <v>3275</v>
      </c>
      <c r="N42" s="29">
        <v>3198</v>
      </c>
      <c r="O42" s="29">
        <v>3297</v>
      </c>
      <c r="P42" s="29">
        <v>3245</v>
      </c>
      <c r="Q42" s="29">
        <v>3265</v>
      </c>
      <c r="R42" s="29">
        <v>2675</v>
      </c>
      <c r="S42" s="29">
        <v>2703</v>
      </c>
      <c r="T42" s="29">
        <v>3028</v>
      </c>
      <c r="U42" s="29">
        <v>3076</v>
      </c>
      <c r="V42" s="29">
        <v>3220</v>
      </c>
      <c r="W42" s="29">
        <v>3997</v>
      </c>
      <c r="X42" s="29" t="s">
        <v>0</v>
      </c>
    </row>
    <row r="43" spans="1:24">
      <c r="A43" s="29" t="s">
        <v>0</v>
      </c>
      <c r="B43" s="29">
        <v>3321</v>
      </c>
      <c r="C43" s="29">
        <v>2405</v>
      </c>
      <c r="D43" s="29">
        <v>2623</v>
      </c>
      <c r="E43" s="29">
        <v>2816</v>
      </c>
      <c r="F43" s="29">
        <v>3221</v>
      </c>
      <c r="G43" s="29">
        <v>3137</v>
      </c>
      <c r="H43" s="29">
        <v>4194</v>
      </c>
      <c r="I43" s="29">
        <v>3533</v>
      </c>
      <c r="J43" s="29">
        <v>3345</v>
      </c>
      <c r="K43" s="29">
        <v>3372</v>
      </c>
      <c r="L43" s="29">
        <v>3298</v>
      </c>
      <c r="M43" s="29">
        <v>3246</v>
      </c>
      <c r="N43" s="29">
        <v>3403</v>
      </c>
      <c r="O43" s="29">
        <v>3363</v>
      </c>
      <c r="P43" s="29">
        <v>3292</v>
      </c>
      <c r="Q43" s="29">
        <v>3246</v>
      </c>
      <c r="R43" s="29">
        <v>2692</v>
      </c>
      <c r="S43" s="29">
        <v>2826</v>
      </c>
      <c r="T43" s="29">
        <v>3102</v>
      </c>
      <c r="U43" s="29">
        <v>3296</v>
      </c>
      <c r="V43" s="29">
        <v>3210</v>
      </c>
      <c r="W43" s="29">
        <v>4365</v>
      </c>
      <c r="X43" s="29" t="s">
        <v>0</v>
      </c>
    </row>
    <row r="45" spans="1:24">
      <c r="A45" s="29" t="s">
        <v>741</v>
      </c>
    </row>
    <row r="46" spans="1:24">
      <c r="A46" s="29" t="s">
        <v>398</v>
      </c>
    </row>
    <row r="47" spans="1:24">
      <c r="A47" s="29" t="s">
        <v>0</v>
      </c>
      <c r="B47" s="29">
        <v>23218.253000000001</v>
      </c>
      <c r="C47" s="29">
        <v>14035.651</v>
      </c>
      <c r="D47" s="29">
        <v>18563.472000000002</v>
      </c>
      <c r="E47" s="29">
        <v>20415.469000000001</v>
      </c>
      <c r="F47" s="29">
        <v>22721.252</v>
      </c>
      <c r="G47" s="29">
        <v>23244.664000000001</v>
      </c>
      <c r="H47" s="29">
        <v>1522.894</v>
      </c>
      <c r="I47" s="29">
        <v>2014.702</v>
      </c>
      <c r="J47" s="29">
        <v>5451.31</v>
      </c>
      <c r="K47" s="29">
        <v>17285.812000000002</v>
      </c>
      <c r="L47" s="29">
        <v>22362.723999999998</v>
      </c>
      <c r="M47" s="29">
        <v>13694.444</v>
      </c>
      <c r="N47" s="29">
        <v>19671.808000000001</v>
      </c>
      <c r="O47" s="29">
        <v>21665.613000000001</v>
      </c>
      <c r="P47" s="29">
        <v>22625.458999999999</v>
      </c>
      <c r="Q47" s="29">
        <v>22954.339</v>
      </c>
      <c r="R47" s="29">
        <v>5578.1620000000003</v>
      </c>
      <c r="S47" s="29">
        <v>14309.210999999999</v>
      </c>
      <c r="T47" s="29">
        <v>20253.824000000001</v>
      </c>
      <c r="U47" s="29">
        <v>22665.412</v>
      </c>
      <c r="V47" s="29">
        <v>22898.188999999998</v>
      </c>
      <c r="W47" s="29">
        <v>1630.4349999999999</v>
      </c>
      <c r="X47" s="29" t="s">
        <v>0</v>
      </c>
    </row>
    <row r="48" spans="1:24">
      <c r="A48" s="29" t="s">
        <v>0</v>
      </c>
      <c r="B48" s="29">
        <v>22333.027999999998</v>
      </c>
      <c r="C48" s="29">
        <v>13989.645</v>
      </c>
      <c r="D48" s="29">
        <v>19051.643</v>
      </c>
      <c r="E48" s="29">
        <v>21816.421999999999</v>
      </c>
      <c r="F48" s="29">
        <v>21909.300999999999</v>
      </c>
      <c r="G48" s="29">
        <v>22506.714</v>
      </c>
      <c r="H48" s="29">
        <v>1606.4570000000001</v>
      </c>
      <c r="I48" s="29">
        <v>2176.2849999999999</v>
      </c>
      <c r="J48" s="29">
        <v>4997.0150000000003</v>
      </c>
      <c r="K48" s="29">
        <v>17075.635999999999</v>
      </c>
      <c r="L48" s="29">
        <v>23095.008000000002</v>
      </c>
      <c r="M48" s="29">
        <v>13224.688</v>
      </c>
      <c r="N48" s="29">
        <v>19463.601999999999</v>
      </c>
      <c r="O48" s="29">
        <v>22618.75</v>
      </c>
      <c r="P48" s="29">
        <v>22390.909</v>
      </c>
      <c r="Q48" s="29">
        <v>22839.126</v>
      </c>
      <c r="R48" s="29">
        <v>5093.7809999999999</v>
      </c>
      <c r="S48" s="29">
        <v>13817.485000000001</v>
      </c>
      <c r="T48" s="29">
        <v>20252.874</v>
      </c>
      <c r="U48" s="29">
        <v>22099.721000000001</v>
      </c>
      <c r="V48" s="29">
        <v>22373.293000000001</v>
      </c>
      <c r="W48" s="29">
        <v>1431.3969999999999</v>
      </c>
      <c r="X48" s="29" t="s">
        <v>0</v>
      </c>
    </row>
    <row r="49" spans="1:24">
      <c r="A49" s="29" t="s">
        <v>0</v>
      </c>
      <c r="B49" s="29">
        <v>22821.705000000002</v>
      </c>
      <c r="C49" s="29">
        <v>13912.906999999999</v>
      </c>
      <c r="D49" s="29">
        <v>19180.886999999999</v>
      </c>
      <c r="E49" s="29">
        <v>21303.124</v>
      </c>
      <c r="F49" s="29">
        <v>22894.897000000001</v>
      </c>
      <c r="G49" s="29">
        <v>24366.867999999999</v>
      </c>
      <c r="H49" s="29">
        <v>1642.9739999999999</v>
      </c>
      <c r="I49" s="29">
        <v>1997.789</v>
      </c>
      <c r="J49" s="29">
        <v>5486.4690000000001</v>
      </c>
      <c r="K49" s="29">
        <v>18119.788</v>
      </c>
      <c r="L49" s="29">
        <v>22941.376</v>
      </c>
      <c r="M49" s="29">
        <v>14449.136</v>
      </c>
      <c r="N49" s="29">
        <v>19402.137999999999</v>
      </c>
      <c r="O49" s="29">
        <v>22960.875</v>
      </c>
      <c r="P49" s="29">
        <v>23015.043000000001</v>
      </c>
      <c r="Q49" s="29">
        <v>23753.181</v>
      </c>
      <c r="R49" s="29">
        <v>5090.09</v>
      </c>
      <c r="S49" s="29">
        <v>13441.486999999999</v>
      </c>
      <c r="T49" s="29">
        <v>20490.097000000002</v>
      </c>
      <c r="U49" s="29">
        <v>23331.115000000002</v>
      </c>
      <c r="V49" s="29">
        <v>22304.878000000001</v>
      </c>
      <c r="W49" s="29">
        <v>1532.864</v>
      </c>
      <c r="X49" s="29" t="s">
        <v>0</v>
      </c>
    </row>
    <row r="50" spans="1:24">
      <c r="A50" s="29" t="s">
        <v>0</v>
      </c>
      <c r="B50" s="29">
        <v>22865.151000000002</v>
      </c>
      <c r="C50" s="29">
        <v>13591.754999999999</v>
      </c>
      <c r="D50" s="29">
        <v>18409.145</v>
      </c>
      <c r="E50" s="29">
        <v>21259.238000000001</v>
      </c>
      <c r="F50" s="29">
        <v>22453.875</v>
      </c>
      <c r="G50" s="29">
        <v>23328.02</v>
      </c>
      <c r="H50" s="29">
        <v>1515.5619999999999</v>
      </c>
      <c r="I50" s="29">
        <v>2073.5880000000002</v>
      </c>
      <c r="J50" s="29">
        <v>5330.5649999999996</v>
      </c>
      <c r="K50" s="29">
        <v>17324.955000000002</v>
      </c>
      <c r="L50" s="29">
        <v>22670.955000000002</v>
      </c>
      <c r="M50" s="29">
        <v>14364.958000000001</v>
      </c>
      <c r="N50" s="29">
        <v>19581.812000000002</v>
      </c>
      <c r="O50" s="29">
        <v>22448.843000000001</v>
      </c>
      <c r="P50" s="29">
        <v>23437.398000000001</v>
      </c>
      <c r="Q50" s="29">
        <v>24615.638999999999</v>
      </c>
      <c r="R50" s="29">
        <v>5267.6059999999998</v>
      </c>
      <c r="S50" s="29">
        <v>8821.3060000000005</v>
      </c>
      <c r="T50" s="29">
        <v>21503.948</v>
      </c>
      <c r="U50" s="29">
        <v>22417.303</v>
      </c>
      <c r="V50" s="29">
        <v>24027.223999999998</v>
      </c>
      <c r="W50" s="29">
        <v>1692.047</v>
      </c>
      <c r="X50" s="29" t="s">
        <v>0</v>
      </c>
    </row>
    <row r="51" spans="1:24">
      <c r="A51" s="29" t="s">
        <v>0</v>
      </c>
      <c r="B51" s="29">
        <v>23839.702000000001</v>
      </c>
      <c r="C51" s="29">
        <v>4631.5079999999998</v>
      </c>
      <c r="D51" s="29">
        <v>5067.5680000000002</v>
      </c>
      <c r="E51" s="29">
        <v>9934.0049999999992</v>
      </c>
      <c r="F51" s="29">
        <v>21270.983</v>
      </c>
      <c r="G51" s="29">
        <v>22872.374</v>
      </c>
      <c r="H51" s="29">
        <v>24341.061000000002</v>
      </c>
      <c r="I51" s="29">
        <v>24127.538</v>
      </c>
      <c r="J51" s="29">
        <v>24163.498</v>
      </c>
      <c r="K51" s="29">
        <v>23678.161</v>
      </c>
      <c r="L51" s="29">
        <v>24032.205999999998</v>
      </c>
      <c r="M51" s="29">
        <v>6690.8950000000004</v>
      </c>
      <c r="N51" s="29">
        <v>13783.784</v>
      </c>
      <c r="O51" s="29">
        <v>19317.041000000001</v>
      </c>
      <c r="P51" s="29">
        <v>22973.061000000002</v>
      </c>
      <c r="Q51" s="29">
        <v>23080.314999999999</v>
      </c>
      <c r="R51" s="29">
        <v>1759.1420000000001</v>
      </c>
      <c r="S51" s="29">
        <v>4375.2160000000003</v>
      </c>
      <c r="T51" s="29">
        <v>13357.324000000001</v>
      </c>
      <c r="U51" s="29">
        <v>23377.555</v>
      </c>
      <c r="V51" s="29">
        <v>23830.553</v>
      </c>
      <c r="W51" s="29">
        <v>1514.5540000000001</v>
      </c>
      <c r="X51" s="29" t="s">
        <v>0</v>
      </c>
    </row>
    <row r="52" spans="1:24">
      <c r="A52" s="29" t="s">
        <v>0</v>
      </c>
      <c r="B52" s="29">
        <v>22834.241000000002</v>
      </c>
      <c r="C52" s="29">
        <v>4585.415</v>
      </c>
      <c r="D52" s="29">
        <v>5221.8429999999998</v>
      </c>
      <c r="E52" s="29">
        <v>10201.656000000001</v>
      </c>
      <c r="F52" s="29">
        <v>20789.826000000001</v>
      </c>
      <c r="G52" s="29">
        <v>22901.899000000001</v>
      </c>
      <c r="H52" s="29">
        <v>24623.116000000002</v>
      </c>
      <c r="I52" s="29">
        <v>24350.502</v>
      </c>
      <c r="J52" s="29">
        <v>23369.974999999999</v>
      </c>
      <c r="K52" s="29">
        <v>23944.48</v>
      </c>
      <c r="L52" s="29">
        <v>25483.870999999999</v>
      </c>
      <c r="M52" s="29">
        <v>6288.82</v>
      </c>
      <c r="N52" s="29">
        <v>13767.392</v>
      </c>
      <c r="O52" s="29">
        <v>18537.766</v>
      </c>
      <c r="P52" s="29">
        <v>22192.733</v>
      </c>
      <c r="Q52" s="29">
        <v>23212.37</v>
      </c>
      <c r="R52" s="29">
        <v>1742.498</v>
      </c>
      <c r="S52" s="29">
        <v>4923.0770000000002</v>
      </c>
      <c r="T52" s="29">
        <v>14405.772000000001</v>
      </c>
      <c r="U52" s="29">
        <v>21965.124</v>
      </c>
      <c r="V52" s="29">
        <v>23310.832999999999</v>
      </c>
      <c r="W52" s="29">
        <v>1561.6769999999999</v>
      </c>
      <c r="X52" s="29" t="s">
        <v>0</v>
      </c>
    </row>
    <row r="53" spans="1:24">
      <c r="A53" s="29" t="s">
        <v>0</v>
      </c>
      <c r="B53" s="29">
        <v>24393.14</v>
      </c>
      <c r="C53" s="29">
        <v>4851.4139999999998</v>
      </c>
      <c r="D53" s="29">
        <v>5361.93</v>
      </c>
      <c r="E53" s="29">
        <v>10911.508</v>
      </c>
      <c r="F53" s="29">
        <v>20712.530999999999</v>
      </c>
      <c r="G53" s="29">
        <v>23355.504000000001</v>
      </c>
      <c r="H53" s="29">
        <v>24373.109</v>
      </c>
      <c r="I53" s="29">
        <v>25474.705000000002</v>
      </c>
      <c r="J53" s="29">
        <v>24131.933000000001</v>
      </c>
      <c r="K53" s="29">
        <v>23920.792000000001</v>
      </c>
      <c r="L53" s="29">
        <v>23357.097000000002</v>
      </c>
      <c r="M53" s="29">
        <v>6502.4430000000002</v>
      </c>
      <c r="N53" s="29">
        <v>13385.07</v>
      </c>
      <c r="O53" s="29">
        <v>19677.087</v>
      </c>
      <c r="P53" s="29">
        <v>22983.954000000002</v>
      </c>
      <c r="Q53" s="29">
        <v>23686.731</v>
      </c>
      <c r="R53" s="29">
        <v>1714.09</v>
      </c>
      <c r="S53" s="29">
        <v>4724.9319999999998</v>
      </c>
      <c r="T53" s="29">
        <v>13655.203</v>
      </c>
      <c r="U53" s="29">
        <v>8669.1540000000005</v>
      </c>
      <c r="V53" s="29">
        <v>23659.121999999999</v>
      </c>
      <c r="W53" s="29">
        <v>1494.39</v>
      </c>
      <c r="X53" s="29" t="s">
        <v>0</v>
      </c>
    </row>
    <row r="54" spans="1:24">
      <c r="A54" s="29" t="s">
        <v>0</v>
      </c>
      <c r="B54" s="29">
        <v>23295.637999999999</v>
      </c>
      <c r="C54" s="29">
        <v>4190.1779999999999</v>
      </c>
      <c r="D54" s="29">
        <v>4996.1030000000001</v>
      </c>
      <c r="E54" s="29">
        <v>10563.867</v>
      </c>
      <c r="F54" s="29">
        <v>21027.542000000001</v>
      </c>
      <c r="G54" s="29">
        <v>23736.988000000001</v>
      </c>
      <c r="H54" s="29">
        <v>24246.806</v>
      </c>
      <c r="I54" s="29">
        <v>23844.34</v>
      </c>
      <c r="J54" s="29">
        <v>23830.508000000002</v>
      </c>
      <c r="K54" s="29">
        <v>23414.471000000001</v>
      </c>
      <c r="L54" s="29">
        <v>24156.405999999999</v>
      </c>
      <c r="M54" s="29">
        <v>6916.0810000000001</v>
      </c>
      <c r="N54" s="29">
        <v>14076.837</v>
      </c>
      <c r="O54" s="29">
        <v>18969.276999999998</v>
      </c>
      <c r="P54" s="29">
        <v>23293.187000000002</v>
      </c>
      <c r="Q54" s="29">
        <v>23436.989000000001</v>
      </c>
      <c r="R54" s="29">
        <v>1854.4680000000001</v>
      </c>
      <c r="S54" s="29">
        <v>4753.6350000000002</v>
      </c>
      <c r="T54" s="29">
        <v>13031.869000000001</v>
      </c>
      <c r="U54" s="29">
        <v>22125.044999999998</v>
      </c>
      <c r="V54" s="29">
        <v>22961.696</v>
      </c>
      <c r="W54" s="29">
        <v>1507.8789999999999</v>
      </c>
      <c r="X54" s="29" t="s">
        <v>0</v>
      </c>
    </row>
    <row r="55" spans="1:24">
      <c r="A55" s="29" t="s">
        <v>0</v>
      </c>
      <c r="B55" s="29">
        <v>22916.539000000001</v>
      </c>
      <c r="C55" s="29">
        <v>14865.367</v>
      </c>
      <c r="D55" s="29">
        <v>16166.333000000001</v>
      </c>
      <c r="E55" s="29">
        <v>19524.061000000002</v>
      </c>
      <c r="F55" s="29">
        <v>21781.473000000002</v>
      </c>
      <c r="G55" s="29">
        <v>23574.702000000001</v>
      </c>
      <c r="H55" s="29">
        <v>6840.1859999999997</v>
      </c>
      <c r="I55" s="29">
        <v>16818.945</v>
      </c>
      <c r="J55" s="29">
        <v>21383.361000000001</v>
      </c>
      <c r="K55" s="29">
        <v>23740.984</v>
      </c>
      <c r="L55" s="29">
        <v>23772.741999999998</v>
      </c>
      <c r="M55" s="29">
        <v>15676.236999999999</v>
      </c>
      <c r="N55" s="29">
        <v>19953.704000000002</v>
      </c>
      <c r="O55" s="29">
        <v>22681.205999999998</v>
      </c>
      <c r="P55" s="29">
        <v>24009.217000000001</v>
      </c>
      <c r="Q55" s="29">
        <v>23554.828000000001</v>
      </c>
      <c r="R55" s="29">
        <v>11644.959000000001</v>
      </c>
      <c r="S55" s="29">
        <v>18431.964</v>
      </c>
      <c r="T55" s="29">
        <v>21599.321</v>
      </c>
      <c r="U55" s="29">
        <v>22855.305</v>
      </c>
      <c r="V55" s="29">
        <v>23029.633999999998</v>
      </c>
      <c r="W55" s="29">
        <v>1427.856</v>
      </c>
      <c r="X55" s="29" t="s">
        <v>0</v>
      </c>
    </row>
    <row r="56" spans="1:24">
      <c r="A56" s="29" t="s">
        <v>0</v>
      </c>
      <c r="B56" s="29">
        <v>22329.145</v>
      </c>
      <c r="C56" s="29">
        <v>14973.106</v>
      </c>
      <c r="D56" s="29">
        <v>15837.331</v>
      </c>
      <c r="E56" s="29">
        <v>20031.636999999999</v>
      </c>
      <c r="F56" s="29">
        <v>21949.985000000001</v>
      </c>
      <c r="G56" s="29">
        <v>22994.455000000002</v>
      </c>
      <c r="H56" s="29">
        <v>6613.1670000000004</v>
      </c>
      <c r="I56" s="29">
        <v>16530.404999999999</v>
      </c>
      <c r="J56" s="29">
        <v>20654.441999999999</v>
      </c>
      <c r="K56" s="29">
        <v>22845.912</v>
      </c>
      <c r="L56" s="29">
        <v>22878.465</v>
      </c>
      <c r="M56" s="29">
        <v>15452.306</v>
      </c>
      <c r="N56" s="29">
        <v>20437.337</v>
      </c>
      <c r="O56" s="29">
        <v>22339.538</v>
      </c>
      <c r="P56" s="29">
        <v>22353.666000000001</v>
      </c>
      <c r="Q56" s="29">
        <v>23183.436000000002</v>
      </c>
      <c r="R56" s="29">
        <v>10700.494000000001</v>
      </c>
      <c r="S56" s="29">
        <v>17398.085999999999</v>
      </c>
      <c r="T56" s="29">
        <v>22157.272000000001</v>
      </c>
      <c r="U56" s="29">
        <v>23755.116000000002</v>
      </c>
      <c r="V56" s="29">
        <v>24160.608</v>
      </c>
      <c r="W56" s="29">
        <v>1462.95</v>
      </c>
      <c r="X56" s="29" t="s">
        <v>0</v>
      </c>
    </row>
    <row r="57" spans="1:24">
      <c r="A57" s="29" t="s">
        <v>0</v>
      </c>
      <c r="B57" s="29">
        <v>22544.876</v>
      </c>
      <c r="C57" s="29">
        <v>14732.745999999999</v>
      </c>
      <c r="D57" s="29">
        <v>16110.89</v>
      </c>
      <c r="E57" s="29">
        <v>19945.11</v>
      </c>
      <c r="F57" s="29">
        <v>21338.106</v>
      </c>
      <c r="G57" s="29">
        <v>22674.351999999999</v>
      </c>
      <c r="H57" s="29">
        <v>6919.49</v>
      </c>
      <c r="I57" s="29">
        <v>17464.562000000002</v>
      </c>
      <c r="J57" s="29">
        <v>21147.491999999998</v>
      </c>
      <c r="K57" s="29">
        <v>21696.123</v>
      </c>
      <c r="L57" s="29">
        <v>18212.798999999999</v>
      </c>
      <c r="M57" s="29">
        <v>15031.928</v>
      </c>
      <c r="N57" s="29">
        <v>20042.904999999999</v>
      </c>
      <c r="O57" s="29">
        <v>21707.39</v>
      </c>
      <c r="P57" s="29">
        <v>23003.361000000001</v>
      </c>
      <c r="Q57" s="29">
        <v>22202.133999999998</v>
      </c>
      <c r="R57" s="29">
        <v>11064.378000000001</v>
      </c>
      <c r="S57" s="29">
        <v>17998.627</v>
      </c>
      <c r="T57" s="29">
        <v>21520.561000000002</v>
      </c>
      <c r="U57" s="29">
        <v>22011.441999999999</v>
      </c>
      <c r="V57" s="29">
        <v>23002.481</v>
      </c>
      <c r="W57" s="29">
        <v>1641.9949999999999</v>
      </c>
      <c r="X57" s="29" t="s">
        <v>0</v>
      </c>
    </row>
    <row r="58" spans="1:24">
      <c r="A58" s="29" t="s">
        <v>0</v>
      </c>
      <c r="B58" s="29">
        <v>22994.011999999999</v>
      </c>
      <c r="C58" s="29">
        <v>15004.48</v>
      </c>
      <c r="D58" s="29">
        <v>15869.137000000001</v>
      </c>
      <c r="E58" s="29">
        <v>19276.441999999999</v>
      </c>
      <c r="F58" s="29">
        <v>20754.404999999999</v>
      </c>
      <c r="G58" s="29">
        <v>22764.084999999999</v>
      </c>
      <c r="H58" s="29">
        <v>6849.8059999999996</v>
      </c>
      <c r="I58" s="29">
        <v>16733.017</v>
      </c>
      <c r="J58" s="29">
        <v>21226.064999999999</v>
      </c>
      <c r="K58" s="29">
        <v>22977.258999999998</v>
      </c>
      <c r="L58" s="29">
        <v>23136.543000000001</v>
      </c>
      <c r="M58" s="29">
        <v>16137.655000000001</v>
      </c>
      <c r="N58" s="29">
        <v>19395.235000000001</v>
      </c>
      <c r="O58" s="29">
        <v>21488.427</v>
      </c>
      <c r="P58" s="29">
        <v>22982.187000000002</v>
      </c>
      <c r="Q58" s="29">
        <v>23415.885999999999</v>
      </c>
      <c r="R58" s="29">
        <v>11282.163</v>
      </c>
      <c r="S58" s="29">
        <v>18397.436000000002</v>
      </c>
      <c r="T58" s="29">
        <v>21714.937000000002</v>
      </c>
      <c r="U58" s="29">
        <v>21206.237000000001</v>
      </c>
      <c r="V58" s="29">
        <v>23016.949000000001</v>
      </c>
      <c r="W58" s="29">
        <v>1576.31</v>
      </c>
      <c r="X58" s="29" t="s">
        <v>0</v>
      </c>
    </row>
    <row r="59" spans="1:24">
      <c r="A59" s="29" t="s">
        <v>0</v>
      </c>
      <c r="B59" s="29">
        <v>23892.983</v>
      </c>
      <c r="C59" s="29">
        <v>6148.116</v>
      </c>
      <c r="D59" s="29">
        <v>14992.107</v>
      </c>
      <c r="E59" s="29">
        <v>21895.117999999999</v>
      </c>
      <c r="F59" s="29">
        <v>22337.25</v>
      </c>
      <c r="G59" s="29">
        <v>24051.67</v>
      </c>
      <c r="H59" s="29">
        <v>12148.896000000001</v>
      </c>
      <c r="I59" s="29">
        <v>21587.109</v>
      </c>
      <c r="J59" s="29">
        <v>21828.309000000001</v>
      </c>
      <c r="K59" s="29">
        <v>23850.971000000001</v>
      </c>
      <c r="L59" s="29">
        <v>23255.602999999999</v>
      </c>
      <c r="M59" s="29">
        <v>23892.528999999999</v>
      </c>
      <c r="N59" s="29">
        <v>23151.940999999999</v>
      </c>
      <c r="O59" s="29">
        <v>22476.734</v>
      </c>
      <c r="P59" s="29">
        <v>22939.157999999999</v>
      </c>
      <c r="Q59" s="29">
        <v>23498.267</v>
      </c>
      <c r="R59" s="29">
        <v>6371.5810000000001</v>
      </c>
      <c r="S59" s="29">
        <v>17674.161</v>
      </c>
      <c r="T59" s="29">
        <v>20887.516</v>
      </c>
      <c r="U59" s="29">
        <v>22500.796999999999</v>
      </c>
      <c r="V59" s="29">
        <v>23382.771000000001</v>
      </c>
      <c r="W59" s="29">
        <v>1487.9290000000001</v>
      </c>
      <c r="X59" s="29" t="s">
        <v>0</v>
      </c>
    </row>
    <row r="60" spans="1:24">
      <c r="A60" s="29" t="s">
        <v>0</v>
      </c>
      <c r="B60" s="29">
        <v>23030.116999999998</v>
      </c>
      <c r="C60" s="29">
        <v>6578.4669999999996</v>
      </c>
      <c r="D60" s="29">
        <v>15031.546</v>
      </c>
      <c r="E60" s="29">
        <v>20917.63</v>
      </c>
      <c r="F60" s="29">
        <v>23349.883999999998</v>
      </c>
      <c r="G60" s="29">
        <v>23032.659</v>
      </c>
      <c r="H60" s="29">
        <v>12294.44</v>
      </c>
      <c r="I60" s="29">
        <v>21961.821</v>
      </c>
      <c r="J60" s="29">
        <v>22959.278999999999</v>
      </c>
      <c r="K60" s="29">
        <v>23509.705999999998</v>
      </c>
      <c r="L60" s="29">
        <v>22878.690999999999</v>
      </c>
      <c r="M60" s="29">
        <v>23456.597000000002</v>
      </c>
      <c r="N60" s="29">
        <v>22549.800999999999</v>
      </c>
      <c r="O60" s="29">
        <v>23692.162</v>
      </c>
      <c r="P60" s="29">
        <v>23379.501</v>
      </c>
      <c r="Q60" s="29">
        <v>23895.774000000001</v>
      </c>
      <c r="R60" s="29">
        <v>12511.61</v>
      </c>
      <c r="S60" s="29">
        <v>18281.481</v>
      </c>
      <c r="T60" s="29">
        <v>21128.239000000001</v>
      </c>
      <c r="U60" s="29">
        <v>22158.84</v>
      </c>
      <c r="V60" s="29">
        <v>23964.786</v>
      </c>
      <c r="W60" s="29">
        <v>1586.3030000000001</v>
      </c>
      <c r="X60" s="29" t="s">
        <v>0</v>
      </c>
    </row>
    <row r="61" spans="1:24">
      <c r="A61" s="29" t="s">
        <v>0</v>
      </c>
      <c r="B61" s="29">
        <v>23066.98</v>
      </c>
      <c r="C61" s="29">
        <v>6189.6319999999996</v>
      </c>
      <c r="D61" s="29">
        <v>15409.901</v>
      </c>
      <c r="E61" s="29">
        <v>21508.710999999999</v>
      </c>
      <c r="F61" s="29">
        <v>23864.091</v>
      </c>
      <c r="G61" s="29">
        <v>23013.276000000002</v>
      </c>
      <c r="H61" s="29">
        <v>13760</v>
      </c>
      <c r="I61" s="29">
        <v>24015.844000000001</v>
      </c>
      <c r="J61" s="29">
        <v>24164.314999999999</v>
      </c>
      <c r="K61" s="29">
        <v>22925.089</v>
      </c>
      <c r="L61" s="29">
        <v>24293.444</v>
      </c>
      <c r="M61" s="29">
        <v>22830.534</v>
      </c>
      <c r="N61" s="29">
        <v>23686.679</v>
      </c>
      <c r="O61" s="29">
        <v>22872.308000000001</v>
      </c>
      <c r="P61" s="29">
        <v>22970.723999999998</v>
      </c>
      <c r="Q61" s="29">
        <v>22633.996999999999</v>
      </c>
      <c r="R61" s="29">
        <v>6971.9629999999997</v>
      </c>
      <c r="S61" s="29">
        <v>18379.578000000001</v>
      </c>
      <c r="T61" s="29">
        <v>21261.559000000001</v>
      </c>
      <c r="U61" s="29">
        <v>23302.991000000002</v>
      </c>
      <c r="V61" s="29">
        <v>22804.348000000002</v>
      </c>
      <c r="W61" s="29">
        <v>1453.59</v>
      </c>
      <c r="X61" s="29" t="s">
        <v>0</v>
      </c>
    </row>
    <row r="62" spans="1:24">
      <c r="A62" s="29" t="s">
        <v>0</v>
      </c>
      <c r="B62" s="29">
        <v>23020.174999999999</v>
      </c>
      <c r="C62" s="29">
        <v>5954.2619999999997</v>
      </c>
      <c r="D62" s="29">
        <v>14765.536</v>
      </c>
      <c r="E62" s="29">
        <v>21367.187999999998</v>
      </c>
      <c r="F62" s="29">
        <v>22005.588</v>
      </c>
      <c r="G62" s="29">
        <v>23257.89</v>
      </c>
      <c r="H62" s="29">
        <v>3462.0889999999999</v>
      </c>
      <c r="I62" s="29">
        <v>20498.16</v>
      </c>
      <c r="J62" s="29">
        <v>22451.42</v>
      </c>
      <c r="K62" s="29">
        <v>22651.245999999999</v>
      </c>
      <c r="L62" s="29">
        <v>22728.927</v>
      </c>
      <c r="M62" s="29">
        <v>23287.123</v>
      </c>
      <c r="N62" s="29">
        <v>22406.7</v>
      </c>
      <c r="O62" s="29">
        <v>22643.473000000002</v>
      </c>
      <c r="P62" s="29">
        <v>23359.66</v>
      </c>
      <c r="Q62" s="29">
        <v>22914.356</v>
      </c>
      <c r="R62" s="29">
        <v>8020.0590000000002</v>
      </c>
      <c r="S62" s="29">
        <v>18598.725999999999</v>
      </c>
      <c r="T62" s="29">
        <v>22037.395</v>
      </c>
      <c r="U62" s="29">
        <v>22208.738000000001</v>
      </c>
      <c r="V62" s="29">
        <v>22778.815999999999</v>
      </c>
      <c r="W62" s="29">
        <v>1523.482</v>
      </c>
      <c r="X62" s="29"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25</vt:i4>
      </vt:variant>
    </vt:vector>
  </HeadingPairs>
  <TitlesOfParts>
    <vt:vector size="26" baseType="lpstr">
      <vt:lpstr>(raw)Template</vt:lpstr>
      <vt:lpstr>'(raw)Template'!CPD_CONC</vt:lpstr>
      <vt:lpstr>TSUKUBA_TEMPLATE!CPD_CONC</vt:lpstr>
      <vt:lpstr>TSUKUBA_TEMPLATE!CPD_HIT</vt:lpstr>
      <vt:lpstr>'(raw)Template'!CPD_RESULT</vt:lpstr>
      <vt:lpstr>TSUKUBA_TEMPLATE!CPD_RESULT</vt:lpstr>
      <vt:lpstr>'(raw)Template'!PLATE_FORMAT</vt:lpstr>
      <vt:lpstr>TSUKUBA_TEMPLATE!PLATE_FORMAT</vt:lpstr>
      <vt:lpstr>'(raw)Template'!PLATE_READER</vt:lpstr>
      <vt:lpstr>TSUKUBA_TEMPLATE!PLATE_READER</vt:lpstr>
      <vt:lpstr>'(raw)Template'!PLATE_TYPE</vt:lpstr>
      <vt:lpstr>TSUKUBA_TEMPLATE!PLATE_TYPE</vt:lpstr>
      <vt:lpstr>'(raw)Template'!Print_Area</vt:lpstr>
      <vt:lpstr>TSUKUBA_TEMPLATE!Print_Area</vt:lpstr>
      <vt:lpstr>'(raw)Template'!RAW_DATA</vt:lpstr>
      <vt:lpstr>TSUKUBA_TEMPLATE!RAW_DATA</vt:lpstr>
      <vt:lpstr>TSUKUBA_TEMPLATE!TABLE</vt:lpstr>
      <vt:lpstr>'(raw)Template'!TEST_ASSAY</vt:lpstr>
      <vt:lpstr>TSUKUBA_TEMPLATE!TEST_ASSAY</vt:lpstr>
      <vt:lpstr>'(raw)Template'!TEST_DATE</vt:lpstr>
      <vt:lpstr>TSUKUBA_TEMPLATE!TEST_DATE</vt:lpstr>
      <vt:lpstr>'(raw)Template'!TEST_TIME</vt:lpstr>
      <vt:lpstr>TSUKUBA_TEMPLATE!TEST_TIME</vt:lpstr>
      <vt:lpstr>TSUKUBA_TEMPLATE!WELL_POS</vt:lpstr>
      <vt:lpstr>'(raw)Template'!WELL_ROLE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2016-08-27T15:14:36Z</dcterms:modified>
</cp:coreProperties>
</file>